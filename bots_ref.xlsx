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defaultThemeVersion="202300"/>
  <mc:AlternateContent xmlns:mc="http://schemas.openxmlformats.org/markup-compatibility/2006">
    <mc:Choice Requires="x15">
      <x15ac:absPath xmlns:x15ac="http://schemas.microsoft.com/office/spreadsheetml/2010/11/ac" url="/Users/kesiyun/Desktop/00workspace/bots/"/>
    </mc:Choice>
  </mc:AlternateContent>
  <xr:revisionPtr revIDLastSave="0" documentId="13_ncr:1_{0D1DE1FF-869C-5E44-B92F-6723138F19E2}" xr6:coauthVersionLast="47" xr6:coauthVersionMax="47" xr10:uidLastSave="{00000000-0000-0000-0000-000000000000}"/>
  <bookViews>
    <workbookView xWindow="240" yWindow="500" windowWidth="28560" windowHeight="16260" activeTab="5" xr2:uid="{493DA924-0C70-2C43-B59C-3C219C390FF1}"/>
  </bookViews>
  <sheets>
    <sheet name="latex" sheetId="49" r:id="rId1"/>
    <sheet name="Charts-new" sheetId="31" r:id="rId2"/>
    <sheet name="charts" sheetId="6" r:id="rId3"/>
    <sheet name="train_c difference" sheetId="11" r:id="rId4"/>
    <sheet name="train_c 6v6g" sheetId="24" r:id="rId5"/>
    <sheet name="playground" sheetId="3" r:id="rId6"/>
    <sheet name="c 6-235bseg 32bns" sheetId="45" r:id="rId7"/>
    <sheet name="a 6-235bseg 32bns" sheetId="46" r:id="rId8"/>
    <sheet name="b 6-235bseg 32bns" sheetId="47" r:id="rId9"/>
    <sheet name="d 6-235bseg 32bns" sheetId="48" r:id="rId10"/>
    <sheet name="train_c 6-32b (2)" sheetId="42" r:id="rId11"/>
    <sheet name="train_a 6-32b (2)" sheetId="41" r:id="rId12"/>
    <sheet name="train_b 6-32b (2)" sheetId="43" r:id="rId13"/>
    <sheet name="train_d 6-32b (2)" sheetId="44" r:id="rId14"/>
    <sheet name="train_c 6-235b" sheetId="32" r:id="rId15"/>
    <sheet name="train_a 6-235b" sheetId="33" r:id="rId16"/>
    <sheet name="train_b 6-235b" sheetId="34" r:id="rId17"/>
    <sheet name="train_d 6-235b" sheetId="35" r:id="rId18"/>
    <sheet name="train_n 6-ubuntu" sheetId="30" r:id="rId19"/>
    <sheet name="train_c 6-ubuntu" sheetId="26" r:id="rId20"/>
    <sheet name="train_a 6-ubuntu" sheetId="27" r:id="rId21"/>
    <sheet name="train_b 6-ubuntu" sheetId="28" r:id="rId22"/>
    <sheet name="train_d 6-ubuntu" sheetId="29" r:id="rId23"/>
    <sheet name="train_c 6v dig no score" sheetId="25" r:id="rId24"/>
    <sheet name="train_c 5v dignose" sheetId="20" r:id="rId25"/>
    <sheet name="train_a 5v" sheetId="21" r:id="rId26"/>
    <sheet name="train_b 5v" sheetId="22" r:id="rId27"/>
    <sheet name="train_d 5v" sheetId="23" r:id="rId28"/>
    <sheet name="train_c 4v" sheetId="19" r:id="rId29"/>
    <sheet name="train_c 3v" sheetId="18" r:id="rId30"/>
    <sheet name="train_c 2v" sheetId="7" r:id="rId31"/>
    <sheet name="train_c 2m" sheetId="12" r:id="rId32"/>
    <sheet name="train_c 1v" sheetId="13" r:id="rId33"/>
    <sheet name="train_c 1m" sheetId="1" r:id="rId34"/>
    <sheet name="train_n 2v" sheetId="17" r:id="rId35"/>
    <sheet name="train_a 2v" sheetId="8" r:id="rId36"/>
    <sheet name="train_a 2m" sheetId="14" r:id="rId37"/>
    <sheet name="train_a 1m" sheetId="2" r:id="rId38"/>
    <sheet name="train_b 2v" sheetId="9" r:id="rId39"/>
    <sheet name="train_b 2m" sheetId="15" r:id="rId40"/>
    <sheet name="train_b 1m" sheetId="4" r:id="rId41"/>
    <sheet name="train_d 2v" sheetId="16" r:id="rId42"/>
    <sheet name="train_d 2m" sheetId="10" r:id="rId43"/>
    <sheet name="train_d 1m" sheetId="5" r:id="rId44"/>
  </sheets>
  <definedNames>
    <definedName name="_xlnm._FilterDatabase" localSheetId="7" hidden="1">'a 6-235bseg 32bns'!$A$1:$N$142</definedName>
    <definedName name="_xlnm._FilterDatabase" localSheetId="8" hidden="1">'b 6-235bseg 32bns'!$A$1:$N$142</definedName>
    <definedName name="_xlnm._FilterDatabase" localSheetId="6" hidden="1">'c 6-235bseg 32bns'!$A$1:$N$144</definedName>
    <definedName name="_xlnm._FilterDatabase" localSheetId="9" hidden="1">'d 6-235bseg 32bns'!$A$1:$N$142</definedName>
    <definedName name="_xlnm._FilterDatabase" localSheetId="37" hidden="1">'train_a 1m'!$A$1:$I$56</definedName>
    <definedName name="_xlnm._FilterDatabase" localSheetId="36" hidden="1">'train_a 2m'!$A$1:$I$56</definedName>
    <definedName name="_xlnm._FilterDatabase" localSheetId="35" hidden="1">'train_a 2v'!$A$1:$I$56</definedName>
    <definedName name="_xlnm._FilterDatabase" localSheetId="25" hidden="1">'train_a 5v'!$A$1:$L$142</definedName>
    <definedName name="_xlnm._FilterDatabase" localSheetId="15" hidden="1">'train_a 6-235b'!$A$1:$N$142</definedName>
    <definedName name="_xlnm._FilterDatabase" localSheetId="11" hidden="1">'train_a 6-32b (2)'!$A$1:$N$142</definedName>
    <definedName name="_xlnm._FilterDatabase" localSheetId="20" hidden="1">'train_a 6-ubuntu'!$A$1:$L$142</definedName>
    <definedName name="_xlnm._FilterDatabase" localSheetId="40" hidden="1">'train_b 1m'!$A$1:$I$21</definedName>
    <definedName name="_xlnm._FilterDatabase" localSheetId="39" hidden="1">'train_b 2m'!$A$1:$I$21</definedName>
    <definedName name="_xlnm._FilterDatabase" localSheetId="38" hidden="1">'train_b 2v'!$A$1:$I$21</definedName>
    <definedName name="_xlnm._FilterDatabase" localSheetId="26" hidden="1">'train_b 5v'!$A$1:$L$142</definedName>
    <definedName name="_xlnm._FilterDatabase" localSheetId="16" hidden="1">'train_b 6-235b'!$A$1:$N$142</definedName>
    <definedName name="_xlnm._FilterDatabase" localSheetId="12" hidden="1">'train_b 6-32b (2)'!$A$1:$N$142</definedName>
    <definedName name="_xlnm._FilterDatabase" localSheetId="21" hidden="1">'train_b 6-ubuntu'!$A$1:$L$142</definedName>
    <definedName name="_xlnm._FilterDatabase" localSheetId="33" hidden="1">'train_c 1m'!$A$1:$I$145</definedName>
    <definedName name="_xlnm._FilterDatabase" localSheetId="32" hidden="1">'train_c 1v'!$A$1:$I$145</definedName>
    <definedName name="_xlnm._FilterDatabase" localSheetId="31" hidden="1">'train_c 2m'!$A$1:$I$144</definedName>
    <definedName name="_xlnm._FilterDatabase" localSheetId="30" hidden="1">'train_c 2v'!$A$1:$K$142</definedName>
    <definedName name="_xlnm._FilterDatabase" localSheetId="29" hidden="1">'train_c 3v'!$A$1:$K$142</definedName>
    <definedName name="_xlnm._FilterDatabase" localSheetId="28" hidden="1">'train_c 4v'!$A$1:$K$142</definedName>
    <definedName name="_xlnm._FilterDatabase" localSheetId="24" hidden="1">'train_c 5v dignose'!$A$1:$K$142</definedName>
    <definedName name="_xlnm._FilterDatabase" localSheetId="14" hidden="1">'train_c 6-235b'!$A$1:$M$142</definedName>
    <definedName name="_xlnm._FilterDatabase" localSheetId="10" hidden="1">'train_c 6-32b (2)'!$A$1:$N$144</definedName>
    <definedName name="_xlnm._FilterDatabase" localSheetId="19" hidden="1">'train_c 6-ubuntu'!$A$1:$K$142</definedName>
    <definedName name="_xlnm._FilterDatabase" localSheetId="23" hidden="1">'train_c 6v dig no score'!$A$1:$L$142</definedName>
    <definedName name="_xlnm._FilterDatabase" localSheetId="4" hidden="1">'train_c 6v6g'!$A$1:$M$145</definedName>
    <definedName name="_xlnm._FilterDatabase" localSheetId="3" hidden="1">'train_c difference'!$A$1:$L$142</definedName>
    <definedName name="_xlnm._FilterDatabase" localSheetId="43" hidden="1">'train_d 1m'!$A$1:$I$56</definedName>
    <definedName name="_xlnm._FilterDatabase" localSheetId="42" hidden="1">'train_d 2m'!$A$1:$I$56</definedName>
    <definedName name="_xlnm._FilterDatabase" localSheetId="41" hidden="1">'train_d 2v'!$A$1:$I$56</definedName>
    <definedName name="_xlnm._FilterDatabase" localSheetId="27" hidden="1">'train_d 5v'!$A$1:$L$142</definedName>
    <definedName name="_xlnm._FilterDatabase" localSheetId="17" hidden="1">'train_d 6-235b'!$A$1:$N$142</definedName>
    <definedName name="_xlnm._FilterDatabase" localSheetId="13" hidden="1">'train_d 6-32b (2)'!$A$1:$N$142</definedName>
    <definedName name="_xlnm._FilterDatabase" localSheetId="22" hidden="1">'train_d 6-ubuntu'!$A$1:$L$142</definedName>
    <definedName name="_xlnm._FilterDatabase" localSheetId="34" hidden="1">'train_n 2v'!$A$1:$I$144</definedName>
    <definedName name="_xlnm._FilterDatabase" localSheetId="18" hidden="1">'train_n 6-ubuntu'!$A$1:$I$144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 i="6" l="1"/>
  <c r="D15" i="6"/>
  <c r="C191" i="6"/>
  <c r="D20" i="6"/>
  <c r="I20" i="6"/>
  <c r="I9" i="6"/>
  <c r="D9" i="6"/>
  <c r="D119" i="6"/>
  <c r="D163" i="6"/>
  <c r="D31" i="6"/>
  <c r="D42" i="6"/>
  <c r="D53" i="6"/>
  <c r="D64" i="6"/>
  <c r="D75" i="6"/>
  <c r="D86" i="6"/>
  <c r="D97" i="6"/>
  <c r="D108" i="6"/>
  <c r="D130" i="6"/>
  <c r="D141" i="6"/>
  <c r="D152" i="6"/>
  <c r="D174" i="6"/>
  <c r="D207" i="6"/>
  <c r="D185" i="6"/>
  <c r="D196" i="6"/>
  <c r="L202" i="6"/>
  <c r="M202" i="6"/>
  <c r="N202" i="6" s="1"/>
  <c r="D203" i="6"/>
  <c r="G203" i="6"/>
  <c r="G202" i="6" s="1"/>
  <c r="H203" i="6"/>
  <c r="H202" i="6" s="1"/>
  <c r="C202" i="6" s="1"/>
  <c r="I203" i="6"/>
  <c r="N203" i="6"/>
  <c r="D204" i="6"/>
  <c r="I204" i="6"/>
  <c r="N204" i="6"/>
  <c r="D205" i="6"/>
  <c r="N205" i="6"/>
  <c r="B206" i="6"/>
  <c r="C206" i="6"/>
  <c r="D206" i="6"/>
  <c r="N206" i="6"/>
  <c r="H192" i="6"/>
  <c r="G192" i="6"/>
  <c r="N195" i="6"/>
  <c r="D195" i="6"/>
  <c r="C195" i="6"/>
  <c r="B195" i="6"/>
  <c r="N194" i="6"/>
  <c r="D194" i="6"/>
  <c r="N193" i="6"/>
  <c r="I193" i="6"/>
  <c r="D193" i="6"/>
  <c r="N192" i="6"/>
  <c r="D192" i="6"/>
  <c r="M191" i="6"/>
  <c r="H191" i="6" s="1"/>
  <c r="L191" i="6"/>
  <c r="N184" i="6"/>
  <c r="D184" i="6"/>
  <c r="C184" i="6"/>
  <c r="B184" i="6"/>
  <c r="N183" i="6"/>
  <c r="D183" i="6"/>
  <c r="N182" i="6"/>
  <c r="I182" i="6"/>
  <c r="D182" i="6"/>
  <c r="N181" i="6"/>
  <c r="I181" i="6"/>
  <c r="D181" i="6"/>
  <c r="M180" i="6"/>
  <c r="L180" i="6"/>
  <c r="H180" i="6"/>
  <c r="G180" i="6"/>
  <c r="D180" i="6"/>
  <c r="N118" i="6"/>
  <c r="D118" i="6"/>
  <c r="C118" i="6"/>
  <c r="B118" i="6"/>
  <c r="N117" i="6"/>
  <c r="D117" i="6"/>
  <c r="N116" i="6"/>
  <c r="I116" i="6"/>
  <c r="D116" i="6"/>
  <c r="N115" i="6"/>
  <c r="I115" i="6"/>
  <c r="D115" i="6"/>
  <c r="M114" i="6"/>
  <c r="L114" i="6"/>
  <c r="H114" i="6"/>
  <c r="I114" i="6" s="1"/>
  <c r="G114" i="6"/>
  <c r="D114" i="6"/>
  <c r="N173" i="6"/>
  <c r="D173" i="6"/>
  <c r="C173" i="6"/>
  <c r="B173" i="6"/>
  <c r="N172" i="6"/>
  <c r="D172" i="6"/>
  <c r="N171" i="6"/>
  <c r="I171" i="6"/>
  <c r="D171" i="6"/>
  <c r="N170" i="6"/>
  <c r="I170" i="6"/>
  <c r="D170" i="6"/>
  <c r="M169" i="6"/>
  <c r="L169" i="6"/>
  <c r="H169" i="6"/>
  <c r="G169" i="6"/>
  <c r="I169" i="6" s="1"/>
  <c r="D169" i="6"/>
  <c r="L142" i="48"/>
  <c r="L141" i="48"/>
  <c r="L140" i="48"/>
  <c r="L139" i="48"/>
  <c r="L138" i="48"/>
  <c r="L137" i="48"/>
  <c r="L136" i="48"/>
  <c r="L135" i="48"/>
  <c r="L134" i="48"/>
  <c r="L133" i="48"/>
  <c r="L132" i="48"/>
  <c r="L131" i="48"/>
  <c r="L130" i="48"/>
  <c r="L129" i="48"/>
  <c r="L128" i="48"/>
  <c r="L127" i="48"/>
  <c r="L126" i="48"/>
  <c r="L125" i="48"/>
  <c r="L124" i="48"/>
  <c r="L123" i="48"/>
  <c r="L122" i="48"/>
  <c r="L121" i="48"/>
  <c r="L120" i="48"/>
  <c r="L119" i="48"/>
  <c r="L118" i="48"/>
  <c r="L117" i="48"/>
  <c r="L116" i="48"/>
  <c r="L115" i="48"/>
  <c r="L114" i="48"/>
  <c r="L113" i="48"/>
  <c r="L112" i="48"/>
  <c r="L111" i="48"/>
  <c r="L110" i="48"/>
  <c r="L109" i="48"/>
  <c r="L108" i="48"/>
  <c r="L107" i="48"/>
  <c r="L106" i="48"/>
  <c r="L105" i="48"/>
  <c r="L104" i="48"/>
  <c r="L103" i="48"/>
  <c r="L102" i="48"/>
  <c r="L101" i="48"/>
  <c r="L100" i="48"/>
  <c r="L99" i="48"/>
  <c r="L98" i="48"/>
  <c r="L97" i="48"/>
  <c r="L96" i="48"/>
  <c r="L95" i="48"/>
  <c r="L94" i="48"/>
  <c r="L93" i="48"/>
  <c r="L92" i="48"/>
  <c r="L91" i="48"/>
  <c r="L90" i="48"/>
  <c r="L89" i="48"/>
  <c r="L88" i="48"/>
  <c r="L87" i="48"/>
  <c r="L86" i="48"/>
  <c r="L85" i="48"/>
  <c r="L84" i="48"/>
  <c r="L83" i="48"/>
  <c r="L82" i="48"/>
  <c r="L81" i="48"/>
  <c r="L80" i="48"/>
  <c r="L79" i="48"/>
  <c r="L78" i="48"/>
  <c r="L77" i="48"/>
  <c r="L76" i="48"/>
  <c r="L75" i="48"/>
  <c r="L74" i="48"/>
  <c r="L73" i="48"/>
  <c r="L72" i="48"/>
  <c r="L71" i="48"/>
  <c r="L70" i="48"/>
  <c r="L69" i="48"/>
  <c r="L68" i="48"/>
  <c r="L67" i="48"/>
  <c r="L66" i="48"/>
  <c r="L65" i="48"/>
  <c r="L64" i="48"/>
  <c r="L63" i="48"/>
  <c r="L62" i="48"/>
  <c r="L61" i="48"/>
  <c r="L60" i="48"/>
  <c r="L59" i="48"/>
  <c r="L58" i="48"/>
  <c r="L57" i="48"/>
  <c r="L56" i="48"/>
  <c r="L55" i="48"/>
  <c r="L54" i="48"/>
  <c r="L53" i="48"/>
  <c r="L52" i="48"/>
  <c r="L51" i="48"/>
  <c r="L50" i="48"/>
  <c r="L49" i="48"/>
  <c r="L48" i="48"/>
  <c r="L47" i="48"/>
  <c r="L46" i="48"/>
  <c r="L45" i="48"/>
  <c r="L44" i="48"/>
  <c r="L43" i="48"/>
  <c r="L42" i="48"/>
  <c r="L41" i="48"/>
  <c r="L40" i="48"/>
  <c r="L39" i="48"/>
  <c r="L38" i="48"/>
  <c r="L37" i="48"/>
  <c r="L36" i="48"/>
  <c r="L35" i="48"/>
  <c r="L34" i="48"/>
  <c r="L33" i="48"/>
  <c r="L32" i="48"/>
  <c r="L31" i="48"/>
  <c r="L30" i="48"/>
  <c r="L29" i="48"/>
  <c r="L28" i="48"/>
  <c r="L27" i="48"/>
  <c r="L26" i="48"/>
  <c r="L25" i="48"/>
  <c r="L24" i="48"/>
  <c r="L23" i="48"/>
  <c r="L22" i="48"/>
  <c r="L21" i="48"/>
  <c r="L20" i="48"/>
  <c r="L19" i="48"/>
  <c r="L18" i="48"/>
  <c r="L17" i="48"/>
  <c r="L16" i="48"/>
  <c r="L15" i="48"/>
  <c r="L14" i="48"/>
  <c r="L13" i="48"/>
  <c r="L12" i="48"/>
  <c r="L11" i="48"/>
  <c r="L10" i="48"/>
  <c r="L9" i="48"/>
  <c r="L8" i="48"/>
  <c r="L7" i="48"/>
  <c r="L6" i="48"/>
  <c r="L5" i="48"/>
  <c r="L4" i="48"/>
  <c r="L3" i="48"/>
  <c r="L2" i="48"/>
  <c r="L142" i="47"/>
  <c r="L141" i="47"/>
  <c r="L140" i="47"/>
  <c r="L139" i="47"/>
  <c r="L138" i="47"/>
  <c r="L137" i="47"/>
  <c r="L136" i="47"/>
  <c r="L135" i="47"/>
  <c r="L134" i="47"/>
  <c r="L133" i="47"/>
  <c r="L132" i="47"/>
  <c r="L131" i="47"/>
  <c r="L130" i="47"/>
  <c r="L129" i="47"/>
  <c r="L128" i="47"/>
  <c r="L127" i="47"/>
  <c r="L126" i="47"/>
  <c r="L125" i="47"/>
  <c r="L124" i="47"/>
  <c r="L123" i="47"/>
  <c r="L122" i="47"/>
  <c r="L121" i="47"/>
  <c r="L120" i="47"/>
  <c r="L119" i="47"/>
  <c r="L118" i="47"/>
  <c r="L117" i="47"/>
  <c r="L116" i="47"/>
  <c r="L115" i="47"/>
  <c r="L114" i="47"/>
  <c r="L113" i="47"/>
  <c r="L112" i="47"/>
  <c r="L111" i="47"/>
  <c r="L110" i="47"/>
  <c r="L109" i="47"/>
  <c r="L108" i="47"/>
  <c r="L107" i="47"/>
  <c r="L106" i="47"/>
  <c r="L105" i="47"/>
  <c r="L104" i="47"/>
  <c r="L103" i="47"/>
  <c r="L102" i="47"/>
  <c r="L101" i="47"/>
  <c r="L100" i="47"/>
  <c r="L99" i="47"/>
  <c r="L98" i="47"/>
  <c r="L97" i="47"/>
  <c r="L96" i="47"/>
  <c r="L95" i="47"/>
  <c r="L94" i="47"/>
  <c r="L93" i="47"/>
  <c r="L92" i="47"/>
  <c r="L91" i="47"/>
  <c r="L90" i="47"/>
  <c r="L89" i="47"/>
  <c r="L88" i="47"/>
  <c r="L87" i="47"/>
  <c r="L86" i="47"/>
  <c r="L85" i="47"/>
  <c r="L84" i="47"/>
  <c r="L83" i="47"/>
  <c r="L82" i="47"/>
  <c r="L81" i="47"/>
  <c r="L80" i="47"/>
  <c r="L79" i="47"/>
  <c r="L78" i="47"/>
  <c r="L77" i="47"/>
  <c r="L76" i="47"/>
  <c r="L75" i="47"/>
  <c r="L74" i="47"/>
  <c r="L73" i="47"/>
  <c r="L72" i="47"/>
  <c r="L71" i="47"/>
  <c r="L70" i="47"/>
  <c r="L69" i="47"/>
  <c r="L68" i="47"/>
  <c r="L67" i="47"/>
  <c r="L66" i="47"/>
  <c r="L65" i="47"/>
  <c r="L64" i="47"/>
  <c r="L63" i="47"/>
  <c r="L62" i="47"/>
  <c r="L61" i="47"/>
  <c r="L60" i="47"/>
  <c r="L59" i="47"/>
  <c r="L58" i="47"/>
  <c r="L57" i="47"/>
  <c r="L56" i="47"/>
  <c r="L55" i="47"/>
  <c r="L54" i="47"/>
  <c r="L53" i="47"/>
  <c r="L52" i="47"/>
  <c r="L51" i="47"/>
  <c r="L50" i="47"/>
  <c r="L49" i="47"/>
  <c r="L48" i="47"/>
  <c r="L47" i="47"/>
  <c r="L46" i="47"/>
  <c r="L45" i="47"/>
  <c r="L44" i="47"/>
  <c r="L43" i="47"/>
  <c r="L42" i="47"/>
  <c r="L41" i="47"/>
  <c r="L40" i="47"/>
  <c r="L39" i="47"/>
  <c r="L38" i="47"/>
  <c r="L37" i="47"/>
  <c r="L36" i="47"/>
  <c r="L35" i="47"/>
  <c r="L34" i="47"/>
  <c r="L33" i="47"/>
  <c r="L32" i="47"/>
  <c r="L31" i="47"/>
  <c r="L30" i="47"/>
  <c r="L29" i="47"/>
  <c r="L28" i="47"/>
  <c r="L27" i="47"/>
  <c r="L26" i="47"/>
  <c r="L25" i="47"/>
  <c r="L24" i="47"/>
  <c r="L23" i="47"/>
  <c r="L22" i="47"/>
  <c r="L21" i="47"/>
  <c r="L20" i="47"/>
  <c r="L19" i="47"/>
  <c r="L18" i="47"/>
  <c r="L17" i="47"/>
  <c r="L16" i="47"/>
  <c r="L15" i="47"/>
  <c r="L14" i="47"/>
  <c r="L13" i="47"/>
  <c r="L12" i="47"/>
  <c r="L11" i="47"/>
  <c r="L10" i="47"/>
  <c r="L9" i="47"/>
  <c r="L8" i="47"/>
  <c r="L7" i="47"/>
  <c r="L6" i="47"/>
  <c r="L5" i="47"/>
  <c r="L4" i="47"/>
  <c r="L3" i="47"/>
  <c r="L2" i="47"/>
  <c r="L142" i="46"/>
  <c r="L141" i="46"/>
  <c r="L140" i="46"/>
  <c r="L139" i="46"/>
  <c r="L138" i="46"/>
  <c r="L137" i="46"/>
  <c r="L136" i="46"/>
  <c r="L135" i="46"/>
  <c r="L134" i="46"/>
  <c r="L133" i="46"/>
  <c r="L132" i="46"/>
  <c r="L131" i="46"/>
  <c r="L130" i="46"/>
  <c r="L129" i="46"/>
  <c r="L128" i="46"/>
  <c r="L127" i="46"/>
  <c r="L126" i="46"/>
  <c r="L125" i="46"/>
  <c r="L124" i="46"/>
  <c r="L123" i="46"/>
  <c r="L122" i="46"/>
  <c r="L121" i="46"/>
  <c r="L120" i="46"/>
  <c r="L119" i="46"/>
  <c r="L118" i="46"/>
  <c r="L117" i="46"/>
  <c r="L116" i="46"/>
  <c r="L115" i="46"/>
  <c r="L114" i="46"/>
  <c r="L113" i="46"/>
  <c r="L112" i="46"/>
  <c r="L111" i="46"/>
  <c r="L110" i="46"/>
  <c r="L109" i="46"/>
  <c r="L108" i="46"/>
  <c r="L107" i="46"/>
  <c r="L106" i="46"/>
  <c r="L105" i="46"/>
  <c r="L104" i="46"/>
  <c r="L103" i="46"/>
  <c r="L102" i="46"/>
  <c r="L101" i="46"/>
  <c r="L100" i="46"/>
  <c r="L99" i="46"/>
  <c r="L98" i="46"/>
  <c r="L97" i="46"/>
  <c r="L96" i="46"/>
  <c r="L95" i="46"/>
  <c r="L94" i="46"/>
  <c r="L93" i="46"/>
  <c r="L92" i="46"/>
  <c r="L91" i="46"/>
  <c r="L90" i="46"/>
  <c r="L89" i="46"/>
  <c r="L88" i="46"/>
  <c r="L87" i="46"/>
  <c r="L86" i="46"/>
  <c r="L85" i="46"/>
  <c r="L84" i="46"/>
  <c r="L83" i="46"/>
  <c r="L82" i="46"/>
  <c r="L81" i="46"/>
  <c r="L80" i="46"/>
  <c r="L79" i="46"/>
  <c r="L78" i="46"/>
  <c r="L77" i="46"/>
  <c r="L76" i="46"/>
  <c r="L75" i="46"/>
  <c r="L74" i="46"/>
  <c r="L73" i="46"/>
  <c r="L72" i="46"/>
  <c r="L71" i="46"/>
  <c r="L70" i="46"/>
  <c r="L69" i="46"/>
  <c r="L68" i="46"/>
  <c r="L67" i="46"/>
  <c r="L66" i="46"/>
  <c r="L65" i="46"/>
  <c r="L64" i="46"/>
  <c r="L63" i="46"/>
  <c r="L62" i="46"/>
  <c r="L61" i="46"/>
  <c r="L60" i="46"/>
  <c r="L59" i="46"/>
  <c r="L58" i="46"/>
  <c r="L57" i="46"/>
  <c r="L56" i="46"/>
  <c r="L55" i="46"/>
  <c r="L54" i="46"/>
  <c r="L53" i="46"/>
  <c r="L52" i="46"/>
  <c r="L51" i="46"/>
  <c r="L50" i="46"/>
  <c r="L49" i="46"/>
  <c r="L48" i="46"/>
  <c r="L47" i="46"/>
  <c r="L46" i="46"/>
  <c r="L45" i="46"/>
  <c r="L44" i="46"/>
  <c r="L43" i="46"/>
  <c r="L42" i="46"/>
  <c r="L41" i="46"/>
  <c r="L40" i="46"/>
  <c r="L39" i="46"/>
  <c r="L38" i="46"/>
  <c r="L37" i="46"/>
  <c r="L36" i="46"/>
  <c r="L35" i="46"/>
  <c r="L34" i="46"/>
  <c r="L33" i="46"/>
  <c r="L32" i="46"/>
  <c r="L31" i="46"/>
  <c r="L30" i="46"/>
  <c r="L29" i="46"/>
  <c r="L28" i="46"/>
  <c r="L27" i="46"/>
  <c r="L26" i="46"/>
  <c r="L25" i="46"/>
  <c r="L24" i="46"/>
  <c r="L23" i="46"/>
  <c r="L22" i="46"/>
  <c r="L21" i="46"/>
  <c r="L20" i="46"/>
  <c r="L19" i="46"/>
  <c r="L18" i="46"/>
  <c r="L17" i="46"/>
  <c r="L16" i="46"/>
  <c r="L15" i="46"/>
  <c r="L14" i="46"/>
  <c r="L13" i="46"/>
  <c r="L12" i="46"/>
  <c r="L11" i="46"/>
  <c r="L10" i="46"/>
  <c r="L9" i="46"/>
  <c r="L8" i="46"/>
  <c r="L7" i="46"/>
  <c r="L6" i="46"/>
  <c r="L5" i="46"/>
  <c r="L4" i="46"/>
  <c r="L3" i="46"/>
  <c r="L2" i="46"/>
  <c r="L142" i="45"/>
  <c r="L141" i="45"/>
  <c r="L140" i="45"/>
  <c r="L139" i="45"/>
  <c r="L138" i="45"/>
  <c r="L137" i="45"/>
  <c r="L136" i="45"/>
  <c r="L135" i="45"/>
  <c r="L134" i="45"/>
  <c r="L133" i="45"/>
  <c r="L132" i="45"/>
  <c r="L131" i="45"/>
  <c r="L130" i="45"/>
  <c r="L129" i="45"/>
  <c r="L128" i="45"/>
  <c r="L127" i="45"/>
  <c r="L126" i="45"/>
  <c r="L125" i="45"/>
  <c r="L124" i="45"/>
  <c r="L123" i="45"/>
  <c r="L122" i="45"/>
  <c r="L121" i="45"/>
  <c r="L120" i="45"/>
  <c r="L119" i="45"/>
  <c r="L118" i="45"/>
  <c r="L117" i="45"/>
  <c r="L116" i="45"/>
  <c r="L115" i="45"/>
  <c r="L114" i="45"/>
  <c r="L113" i="45"/>
  <c r="L112" i="45"/>
  <c r="L111" i="45"/>
  <c r="L110" i="45"/>
  <c r="L109" i="45"/>
  <c r="L108" i="45"/>
  <c r="L107" i="45"/>
  <c r="L106" i="45"/>
  <c r="L105" i="45"/>
  <c r="L104" i="45"/>
  <c r="L103" i="45"/>
  <c r="L102" i="45"/>
  <c r="L101" i="45"/>
  <c r="L100" i="45"/>
  <c r="L99" i="45"/>
  <c r="L98" i="45"/>
  <c r="L97" i="45"/>
  <c r="L96" i="45"/>
  <c r="L95" i="45"/>
  <c r="L94" i="45"/>
  <c r="L93" i="45"/>
  <c r="L92" i="45"/>
  <c r="L91" i="45"/>
  <c r="L90" i="45"/>
  <c r="L89" i="45"/>
  <c r="L88" i="45"/>
  <c r="L87" i="45"/>
  <c r="L86" i="45"/>
  <c r="L85" i="45"/>
  <c r="L84" i="45"/>
  <c r="L83" i="45"/>
  <c r="L82" i="45"/>
  <c r="L81" i="45"/>
  <c r="L80" i="45"/>
  <c r="L79" i="45"/>
  <c r="L78" i="45"/>
  <c r="L77" i="45"/>
  <c r="L76" i="45"/>
  <c r="L75" i="45"/>
  <c r="L74" i="45"/>
  <c r="L73" i="45"/>
  <c r="L72" i="45"/>
  <c r="L71" i="45"/>
  <c r="L70" i="45"/>
  <c r="L69" i="45"/>
  <c r="L68" i="45"/>
  <c r="L67" i="45"/>
  <c r="L66" i="45"/>
  <c r="L65" i="45"/>
  <c r="L64" i="45"/>
  <c r="L63" i="45"/>
  <c r="L62" i="45"/>
  <c r="L61" i="45"/>
  <c r="L60" i="45"/>
  <c r="L59" i="45"/>
  <c r="L58" i="45"/>
  <c r="L57" i="45"/>
  <c r="L56" i="45"/>
  <c r="L55" i="45"/>
  <c r="L54" i="45"/>
  <c r="L53" i="45"/>
  <c r="L52" i="45"/>
  <c r="L51" i="45"/>
  <c r="L50" i="45"/>
  <c r="L49" i="45"/>
  <c r="L48" i="45"/>
  <c r="L47" i="45"/>
  <c r="L46" i="45"/>
  <c r="L45" i="45"/>
  <c r="L44" i="45"/>
  <c r="L43" i="45"/>
  <c r="L42" i="45"/>
  <c r="L41" i="45"/>
  <c r="L40" i="45"/>
  <c r="L39" i="45"/>
  <c r="L38" i="45"/>
  <c r="L37" i="45"/>
  <c r="L36" i="45"/>
  <c r="L35" i="45"/>
  <c r="L34" i="45"/>
  <c r="L33" i="45"/>
  <c r="L32" i="45"/>
  <c r="L31" i="45"/>
  <c r="L30" i="45"/>
  <c r="L29" i="45"/>
  <c r="L28" i="45"/>
  <c r="L27" i="45"/>
  <c r="L26" i="45"/>
  <c r="L25" i="45"/>
  <c r="L24" i="45"/>
  <c r="L23" i="45"/>
  <c r="L22" i="45"/>
  <c r="L21" i="45"/>
  <c r="L20" i="45"/>
  <c r="L19" i="45"/>
  <c r="L18" i="45"/>
  <c r="L17" i="45"/>
  <c r="L16" i="45"/>
  <c r="L15" i="45"/>
  <c r="L14" i="45"/>
  <c r="L13" i="45"/>
  <c r="L12" i="45"/>
  <c r="L11" i="45"/>
  <c r="L10" i="45"/>
  <c r="L9" i="45"/>
  <c r="L8" i="45"/>
  <c r="L7" i="45"/>
  <c r="L6" i="45"/>
  <c r="L5" i="45"/>
  <c r="L4" i="45"/>
  <c r="L3" i="45"/>
  <c r="L2" i="45"/>
  <c r="D103" i="6"/>
  <c r="N107" i="6"/>
  <c r="D107" i="6"/>
  <c r="C107" i="6"/>
  <c r="B107" i="6"/>
  <c r="N106" i="6"/>
  <c r="D106" i="6"/>
  <c r="N105" i="6"/>
  <c r="I105" i="6"/>
  <c r="D105" i="6"/>
  <c r="N104" i="6"/>
  <c r="I104" i="6"/>
  <c r="D104" i="6"/>
  <c r="M103" i="6"/>
  <c r="L103" i="6"/>
  <c r="N103" i="6" s="1"/>
  <c r="H103" i="6"/>
  <c r="G103" i="6"/>
  <c r="L142" i="44"/>
  <c r="L141" i="44"/>
  <c r="L140" i="44"/>
  <c r="L139" i="44"/>
  <c r="L138" i="44"/>
  <c r="L137" i="44"/>
  <c r="L136" i="44"/>
  <c r="L135" i="44"/>
  <c r="L134" i="44"/>
  <c r="L133" i="44"/>
  <c r="L132" i="44"/>
  <c r="L131" i="44"/>
  <c r="L130" i="44"/>
  <c r="L129" i="44"/>
  <c r="L128" i="44"/>
  <c r="L127" i="44"/>
  <c r="L126" i="44"/>
  <c r="L125" i="44"/>
  <c r="L124" i="44"/>
  <c r="L123" i="44"/>
  <c r="L122" i="44"/>
  <c r="L121" i="44"/>
  <c r="L120" i="44"/>
  <c r="L119" i="44"/>
  <c r="L118" i="44"/>
  <c r="L117" i="44"/>
  <c r="L116" i="44"/>
  <c r="L115" i="44"/>
  <c r="L114" i="44"/>
  <c r="L113" i="44"/>
  <c r="L112" i="44"/>
  <c r="L111" i="44"/>
  <c r="L110" i="44"/>
  <c r="L109" i="44"/>
  <c r="L108" i="44"/>
  <c r="L107" i="44"/>
  <c r="L106" i="44"/>
  <c r="L105" i="44"/>
  <c r="L104" i="44"/>
  <c r="L103" i="44"/>
  <c r="L102" i="44"/>
  <c r="L101" i="44"/>
  <c r="L100" i="44"/>
  <c r="L99" i="44"/>
  <c r="L98" i="44"/>
  <c r="L97" i="44"/>
  <c r="L96" i="44"/>
  <c r="L95" i="44"/>
  <c r="L94" i="44"/>
  <c r="L93" i="44"/>
  <c r="L92" i="44"/>
  <c r="L91" i="44"/>
  <c r="L90" i="44"/>
  <c r="L89" i="44"/>
  <c r="L88" i="44"/>
  <c r="L87" i="44"/>
  <c r="L86" i="44"/>
  <c r="L85" i="44"/>
  <c r="L84" i="44"/>
  <c r="L83" i="44"/>
  <c r="L82" i="44"/>
  <c r="L81" i="44"/>
  <c r="L80" i="44"/>
  <c r="L79" i="44"/>
  <c r="L78" i="44"/>
  <c r="L77" i="44"/>
  <c r="L76" i="44"/>
  <c r="L75" i="44"/>
  <c r="L74" i="44"/>
  <c r="L73" i="44"/>
  <c r="L72" i="44"/>
  <c r="L71" i="44"/>
  <c r="L70" i="44"/>
  <c r="L69" i="44"/>
  <c r="L68" i="44"/>
  <c r="L67" i="44"/>
  <c r="L66" i="44"/>
  <c r="L65" i="44"/>
  <c r="L64" i="44"/>
  <c r="L63" i="44"/>
  <c r="L62" i="44"/>
  <c r="L61" i="44"/>
  <c r="L60" i="44"/>
  <c r="L59" i="44"/>
  <c r="L58" i="44"/>
  <c r="L57" i="44"/>
  <c r="L56" i="44"/>
  <c r="L55" i="44"/>
  <c r="L54" i="44"/>
  <c r="L53" i="44"/>
  <c r="L52" i="44"/>
  <c r="L51" i="44"/>
  <c r="L50" i="44"/>
  <c r="L49" i="44"/>
  <c r="L48" i="44"/>
  <c r="L47" i="44"/>
  <c r="L46" i="44"/>
  <c r="L45" i="44"/>
  <c r="L44" i="44"/>
  <c r="L43" i="44"/>
  <c r="L42" i="44"/>
  <c r="L41" i="44"/>
  <c r="L40" i="44"/>
  <c r="L39" i="44"/>
  <c r="L38" i="44"/>
  <c r="L37" i="44"/>
  <c r="L36" i="44"/>
  <c r="L35" i="44"/>
  <c r="L34" i="44"/>
  <c r="L33" i="44"/>
  <c r="L32" i="44"/>
  <c r="L31" i="44"/>
  <c r="L30" i="44"/>
  <c r="L29" i="44"/>
  <c r="L28" i="44"/>
  <c r="L27" i="44"/>
  <c r="L26" i="44"/>
  <c r="L25" i="44"/>
  <c r="L24" i="44"/>
  <c r="L23" i="44"/>
  <c r="L22" i="44"/>
  <c r="L21" i="44"/>
  <c r="L20" i="44"/>
  <c r="L19" i="44"/>
  <c r="L18" i="44"/>
  <c r="L17" i="44"/>
  <c r="L16" i="44"/>
  <c r="L15" i="44"/>
  <c r="L14" i="44"/>
  <c r="L13" i="44"/>
  <c r="L12" i="44"/>
  <c r="L11" i="44"/>
  <c r="L10" i="44"/>
  <c r="L9" i="44"/>
  <c r="L8" i="44"/>
  <c r="L7" i="44"/>
  <c r="L6" i="44"/>
  <c r="L5" i="44"/>
  <c r="L4" i="44"/>
  <c r="L3" i="44"/>
  <c r="L2" i="44"/>
  <c r="L142" i="43"/>
  <c r="L141" i="43"/>
  <c r="L140" i="43"/>
  <c r="L139" i="43"/>
  <c r="L138" i="43"/>
  <c r="L137" i="43"/>
  <c r="L136" i="43"/>
  <c r="L135" i="43"/>
  <c r="L134" i="43"/>
  <c r="L133" i="43"/>
  <c r="L132" i="43"/>
  <c r="L131" i="43"/>
  <c r="L130" i="43"/>
  <c r="L129" i="43"/>
  <c r="L128" i="43"/>
  <c r="L127" i="43"/>
  <c r="L126" i="43"/>
  <c r="L125" i="43"/>
  <c r="L124" i="43"/>
  <c r="L123" i="43"/>
  <c r="L122" i="43"/>
  <c r="L121" i="43"/>
  <c r="L120" i="43"/>
  <c r="L119" i="43"/>
  <c r="L118" i="43"/>
  <c r="L117" i="43"/>
  <c r="L116" i="43"/>
  <c r="L115" i="43"/>
  <c r="L114" i="43"/>
  <c r="L113" i="43"/>
  <c r="L112" i="43"/>
  <c r="L111" i="43"/>
  <c r="L110" i="43"/>
  <c r="L109" i="43"/>
  <c r="L108" i="43"/>
  <c r="L107" i="43"/>
  <c r="L106" i="43"/>
  <c r="L105" i="43"/>
  <c r="L104" i="43"/>
  <c r="L103" i="43"/>
  <c r="L102" i="43"/>
  <c r="L101" i="43"/>
  <c r="L100" i="43"/>
  <c r="L99" i="43"/>
  <c r="L98" i="43"/>
  <c r="L97" i="43"/>
  <c r="L96" i="43"/>
  <c r="L95" i="43"/>
  <c r="L94" i="43"/>
  <c r="L93" i="43"/>
  <c r="L92" i="43"/>
  <c r="L91" i="43"/>
  <c r="L90" i="43"/>
  <c r="L89" i="43"/>
  <c r="L88" i="43"/>
  <c r="L87" i="43"/>
  <c r="L86" i="43"/>
  <c r="L85" i="43"/>
  <c r="L84" i="43"/>
  <c r="L83" i="43"/>
  <c r="L82" i="43"/>
  <c r="L81" i="43"/>
  <c r="L80" i="43"/>
  <c r="L79" i="43"/>
  <c r="L78" i="43"/>
  <c r="L77" i="43"/>
  <c r="L76" i="43"/>
  <c r="L75" i="43"/>
  <c r="L74" i="43"/>
  <c r="L73" i="43"/>
  <c r="L72" i="43"/>
  <c r="L71" i="43"/>
  <c r="L70" i="43"/>
  <c r="L69" i="43"/>
  <c r="L68" i="43"/>
  <c r="L67" i="43"/>
  <c r="L66" i="43"/>
  <c r="L65" i="43"/>
  <c r="L64" i="43"/>
  <c r="L63" i="43"/>
  <c r="L62" i="43"/>
  <c r="L61" i="43"/>
  <c r="L60" i="43"/>
  <c r="L59" i="43"/>
  <c r="L58" i="43"/>
  <c r="L57" i="43"/>
  <c r="L56" i="43"/>
  <c r="L55" i="43"/>
  <c r="L54" i="43"/>
  <c r="L53" i="43"/>
  <c r="L52" i="43"/>
  <c r="L51" i="43"/>
  <c r="L50" i="43"/>
  <c r="L49" i="43"/>
  <c r="L48" i="43"/>
  <c r="L47" i="43"/>
  <c r="L46" i="43"/>
  <c r="L45" i="43"/>
  <c r="L44" i="43"/>
  <c r="L43" i="43"/>
  <c r="L42" i="43"/>
  <c r="L41" i="43"/>
  <c r="L40" i="43"/>
  <c r="L39" i="43"/>
  <c r="L38" i="43"/>
  <c r="L37" i="43"/>
  <c r="L36" i="43"/>
  <c r="L35" i="43"/>
  <c r="L34" i="43"/>
  <c r="L33" i="43"/>
  <c r="L32" i="43"/>
  <c r="L31" i="43"/>
  <c r="L30" i="43"/>
  <c r="L29" i="43"/>
  <c r="L28" i="43"/>
  <c r="L27" i="43"/>
  <c r="L26" i="43"/>
  <c r="L25" i="43"/>
  <c r="L24" i="43"/>
  <c r="L23" i="43"/>
  <c r="L22" i="43"/>
  <c r="L21" i="43"/>
  <c r="L20" i="43"/>
  <c r="L19" i="43"/>
  <c r="L18" i="43"/>
  <c r="L17" i="43"/>
  <c r="L16" i="43"/>
  <c r="L15" i="43"/>
  <c r="L14" i="43"/>
  <c r="L13" i="43"/>
  <c r="L12" i="43"/>
  <c r="L11" i="43"/>
  <c r="L10" i="43"/>
  <c r="L9" i="43"/>
  <c r="L8" i="43"/>
  <c r="L7" i="43"/>
  <c r="L6" i="43"/>
  <c r="L5" i="43"/>
  <c r="L4" i="43"/>
  <c r="L3" i="43"/>
  <c r="L2" i="43"/>
  <c r="L142" i="42"/>
  <c r="L141" i="42"/>
  <c r="L140" i="42"/>
  <c r="L139" i="42"/>
  <c r="L138" i="42"/>
  <c r="L137" i="42"/>
  <c r="L136" i="42"/>
  <c r="L135" i="42"/>
  <c r="L134" i="42"/>
  <c r="L133" i="42"/>
  <c r="L132" i="42"/>
  <c r="L131" i="42"/>
  <c r="L130" i="42"/>
  <c r="L129" i="42"/>
  <c r="L128" i="42"/>
  <c r="L127" i="42"/>
  <c r="L126" i="42"/>
  <c r="L125" i="42"/>
  <c r="L124" i="42"/>
  <c r="L123" i="42"/>
  <c r="L122" i="42"/>
  <c r="L121" i="42"/>
  <c r="L120" i="42"/>
  <c r="L119" i="42"/>
  <c r="L118" i="42"/>
  <c r="L117" i="42"/>
  <c r="L116" i="42"/>
  <c r="L115" i="42"/>
  <c r="L114" i="42"/>
  <c r="L113" i="42"/>
  <c r="L112" i="42"/>
  <c r="L111" i="42"/>
  <c r="L110" i="42"/>
  <c r="L109" i="42"/>
  <c r="L108" i="42"/>
  <c r="L107" i="42"/>
  <c r="L106" i="42"/>
  <c r="L105" i="42"/>
  <c r="L104" i="42"/>
  <c r="L103" i="42"/>
  <c r="L102" i="42"/>
  <c r="L101" i="42"/>
  <c r="L100" i="42"/>
  <c r="L99" i="42"/>
  <c r="L98" i="42"/>
  <c r="L97" i="42"/>
  <c r="L96" i="42"/>
  <c r="L95" i="42"/>
  <c r="L94" i="42"/>
  <c r="L93" i="42"/>
  <c r="L92" i="42"/>
  <c r="L91" i="42"/>
  <c r="L90" i="42"/>
  <c r="L89" i="42"/>
  <c r="L88" i="42"/>
  <c r="L87" i="42"/>
  <c r="L86" i="42"/>
  <c r="L85" i="42"/>
  <c r="L84" i="42"/>
  <c r="L83" i="42"/>
  <c r="L82" i="42"/>
  <c r="L81" i="42"/>
  <c r="L80" i="42"/>
  <c r="L79" i="42"/>
  <c r="L78" i="42"/>
  <c r="L77" i="42"/>
  <c r="L76" i="42"/>
  <c r="L75" i="42"/>
  <c r="L74" i="42"/>
  <c r="L73" i="42"/>
  <c r="L72" i="42"/>
  <c r="L71" i="42"/>
  <c r="L70" i="42"/>
  <c r="L69" i="42"/>
  <c r="L68" i="42"/>
  <c r="L67" i="42"/>
  <c r="L66" i="42"/>
  <c r="L65" i="42"/>
  <c r="L64" i="42"/>
  <c r="L63" i="42"/>
  <c r="L62" i="42"/>
  <c r="L61" i="42"/>
  <c r="L60" i="42"/>
  <c r="L59" i="42"/>
  <c r="L58" i="42"/>
  <c r="L57" i="42"/>
  <c r="L56" i="42"/>
  <c r="L55" i="42"/>
  <c r="L54" i="42"/>
  <c r="L53" i="42"/>
  <c r="L52" i="42"/>
  <c r="L51" i="42"/>
  <c r="L50" i="42"/>
  <c r="L49" i="42"/>
  <c r="L48" i="42"/>
  <c r="L47" i="42"/>
  <c r="L46" i="42"/>
  <c r="L45" i="42"/>
  <c r="L44" i="42"/>
  <c r="L43" i="42"/>
  <c r="L42" i="42"/>
  <c r="L41" i="42"/>
  <c r="L40" i="42"/>
  <c r="L39" i="42"/>
  <c r="L38" i="42"/>
  <c r="L37" i="42"/>
  <c r="L36" i="42"/>
  <c r="L35" i="42"/>
  <c r="L34" i="42"/>
  <c r="L33" i="42"/>
  <c r="L32" i="42"/>
  <c r="L31" i="42"/>
  <c r="L30" i="42"/>
  <c r="L29" i="42"/>
  <c r="L28" i="42"/>
  <c r="L27" i="42"/>
  <c r="L26" i="42"/>
  <c r="L25" i="42"/>
  <c r="L24" i="42"/>
  <c r="L23" i="42"/>
  <c r="L22" i="42"/>
  <c r="L21" i="42"/>
  <c r="L20" i="42"/>
  <c r="L19" i="42"/>
  <c r="L18" i="42"/>
  <c r="L17" i="42"/>
  <c r="L16" i="42"/>
  <c r="L15" i="42"/>
  <c r="L14" i="42"/>
  <c r="L13" i="42"/>
  <c r="L12" i="42"/>
  <c r="L11" i="42"/>
  <c r="L10" i="42"/>
  <c r="L9" i="42"/>
  <c r="L8" i="42"/>
  <c r="L7" i="42"/>
  <c r="L6" i="42"/>
  <c r="L5" i="42"/>
  <c r="L4" i="42"/>
  <c r="L3" i="42"/>
  <c r="L2" i="42"/>
  <c r="L142" i="41"/>
  <c r="L141" i="41"/>
  <c r="L140" i="41"/>
  <c r="L139" i="41"/>
  <c r="L138" i="41"/>
  <c r="L137" i="41"/>
  <c r="L136" i="41"/>
  <c r="L135" i="41"/>
  <c r="L134" i="41"/>
  <c r="L133" i="41"/>
  <c r="L132" i="41"/>
  <c r="L131" i="41"/>
  <c r="L130" i="41"/>
  <c r="L129" i="41"/>
  <c r="L128" i="41"/>
  <c r="L127" i="41"/>
  <c r="L126" i="41"/>
  <c r="L125" i="41"/>
  <c r="L124" i="41"/>
  <c r="L123" i="41"/>
  <c r="L122" i="41"/>
  <c r="L121" i="41"/>
  <c r="L120" i="41"/>
  <c r="L119" i="41"/>
  <c r="L118" i="41"/>
  <c r="L117" i="41"/>
  <c r="L116" i="41"/>
  <c r="L115" i="41"/>
  <c r="L114" i="41"/>
  <c r="L113" i="41"/>
  <c r="L112" i="41"/>
  <c r="L111" i="41"/>
  <c r="L110" i="41"/>
  <c r="L109" i="41"/>
  <c r="L108" i="41"/>
  <c r="L107" i="41"/>
  <c r="L106" i="41"/>
  <c r="L105" i="41"/>
  <c r="L104" i="41"/>
  <c r="L103" i="41"/>
  <c r="L102" i="41"/>
  <c r="L101" i="41"/>
  <c r="L100" i="41"/>
  <c r="L99" i="41"/>
  <c r="L98" i="41"/>
  <c r="L97" i="41"/>
  <c r="L96" i="41"/>
  <c r="L95" i="41"/>
  <c r="L94" i="41"/>
  <c r="L93" i="41"/>
  <c r="L92" i="41"/>
  <c r="L91" i="41"/>
  <c r="L90" i="41"/>
  <c r="L89" i="41"/>
  <c r="L88" i="41"/>
  <c r="L87" i="41"/>
  <c r="L86" i="41"/>
  <c r="L85" i="41"/>
  <c r="L84" i="41"/>
  <c r="L83" i="41"/>
  <c r="L82" i="41"/>
  <c r="L81" i="41"/>
  <c r="L80" i="41"/>
  <c r="L79" i="41"/>
  <c r="L78" i="41"/>
  <c r="L77" i="41"/>
  <c r="L76" i="41"/>
  <c r="L75" i="41"/>
  <c r="L74" i="41"/>
  <c r="L73" i="41"/>
  <c r="L72" i="41"/>
  <c r="L71" i="41"/>
  <c r="L70" i="41"/>
  <c r="L69" i="41"/>
  <c r="L68" i="41"/>
  <c r="L67" i="41"/>
  <c r="L66" i="41"/>
  <c r="L65" i="41"/>
  <c r="L64" i="41"/>
  <c r="L63" i="41"/>
  <c r="L62" i="41"/>
  <c r="L61" i="41"/>
  <c r="L60" i="41"/>
  <c r="L59" i="41"/>
  <c r="L58" i="41"/>
  <c r="L57" i="41"/>
  <c r="L56" i="41"/>
  <c r="L55" i="41"/>
  <c r="L54" i="41"/>
  <c r="L53" i="41"/>
  <c r="L52" i="41"/>
  <c r="L51" i="41"/>
  <c r="L50" i="41"/>
  <c r="L49" i="41"/>
  <c r="L48" i="41"/>
  <c r="L47" i="41"/>
  <c r="L46" i="41"/>
  <c r="L45" i="41"/>
  <c r="L44" i="41"/>
  <c r="L43" i="41"/>
  <c r="L42" i="41"/>
  <c r="L41" i="41"/>
  <c r="L40" i="41"/>
  <c r="L39" i="41"/>
  <c r="L38" i="41"/>
  <c r="L37" i="41"/>
  <c r="L36" i="41"/>
  <c r="L35" i="41"/>
  <c r="L34" i="41"/>
  <c r="L33" i="41"/>
  <c r="L32" i="41"/>
  <c r="L31" i="41"/>
  <c r="L30" i="41"/>
  <c r="L29" i="41"/>
  <c r="L28" i="41"/>
  <c r="L27" i="41"/>
  <c r="L26" i="41"/>
  <c r="L25" i="41"/>
  <c r="L24" i="41"/>
  <c r="L23" i="41"/>
  <c r="L22" i="41"/>
  <c r="L21" i="41"/>
  <c r="L20" i="41"/>
  <c r="L19" i="41"/>
  <c r="L18" i="41"/>
  <c r="L17" i="41"/>
  <c r="L16" i="41"/>
  <c r="L15" i="41"/>
  <c r="L14" i="41"/>
  <c r="L13" i="41"/>
  <c r="L12" i="41"/>
  <c r="L11" i="41"/>
  <c r="L10" i="41"/>
  <c r="L9" i="41"/>
  <c r="L8" i="41"/>
  <c r="L7" i="41"/>
  <c r="L6" i="41"/>
  <c r="L5" i="41"/>
  <c r="L4" i="41"/>
  <c r="L3" i="41"/>
  <c r="L2" i="41"/>
  <c r="N129" i="6"/>
  <c r="D129" i="6"/>
  <c r="C129" i="6"/>
  <c r="B129" i="6"/>
  <c r="N128" i="6"/>
  <c r="D128" i="6"/>
  <c r="N127" i="6"/>
  <c r="I127" i="6"/>
  <c r="D127" i="6"/>
  <c r="N126" i="6"/>
  <c r="I126" i="6"/>
  <c r="D126" i="6"/>
  <c r="M125" i="6"/>
  <c r="L125" i="6"/>
  <c r="H125" i="6"/>
  <c r="G125" i="6"/>
  <c r="D125" i="6"/>
  <c r="N162" i="6"/>
  <c r="D162" i="6"/>
  <c r="C162" i="6"/>
  <c r="B162" i="6"/>
  <c r="N161" i="6"/>
  <c r="D161" i="6"/>
  <c r="N160" i="6"/>
  <c r="I160" i="6"/>
  <c r="D160" i="6"/>
  <c r="N159" i="6"/>
  <c r="I159" i="6"/>
  <c r="D159" i="6"/>
  <c r="M158" i="6"/>
  <c r="L158" i="6"/>
  <c r="H158" i="6"/>
  <c r="G158" i="6"/>
  <c r="D158" i="6"/>
  <c r="N151" i="6"/>
  <c r="D151" i="6"/>
  <c r="C151" i="6"/>
  <c r="B151" i="6"/>
  <c r="N150" i="6"/>
  <c r="D150" i="6"/>
  <c r="N149" i="6"/>
  <c r="I149" i="6"/>
  <c r="D149" i="6"/>
  <c r="N148" i="6"/>
  <c r="I148" i="6"/>
  <c r="D148" i="6"/>
  <c r="M147" i="6"/>
  <c r="L147" i="6"/>
  <c r="H147" i="6"/>
  <c r="G147" i="6"/>
  <c r="D147" i="6"/>
  <c r="E79" i="3"/>
  <c r="E80" i="3"/>
  <c r="E81" i="3"/>
  <c r="E82" i="3"/>
  <c r="E83" i="3"/>
  <c r="E84" i="3"/>
  <c r="E85" i="3"/>
  <c r="E86" i="3"/>
  <c r="E87" i="3"/>
  <c r="E88" i="3"/>
  <c r="E89" i="3"/>
  <c r="E90" i="3"/>
  <c r="E91" i="3"/>
  <c r="E92" i="3"/>
  <c r="E93" i="3"/>
  <c r="E94" i="3"/>
  <c r="E95" i="3"/>
  <c r="E96" i="3"/>
  <c r="E97" i="3"/>
  <c r="E98" i="3"/>
  <c r="E99" i="3"/>
  <c r="E100" i="3"/>
  <c r="E101" i="3"/>
  <c r="E102" i="3"/>
  <c r="E103" i="3"/>
  <c r="E104" i="3"/>
  <c r="E105" i="3"/>
  <c r="E106" i="3"/>
  <c r="E107" i="3"/>
  <c r="E108" i="3"/>
  <c r="E109" i="3"/>
  <c r="E110" i="3"/>
  <c r="E111" i="3"/>
  <c r="E112" i="3"/>
  <c r="E113" i="3"/>
  <c r="E114" i="3"/>
  <c r="E115" i="3"/>
  <c r="E116" i="3"/>
  <c r="E117" i="3"/>
  <c r="E118" i="3"/>
  <c r="E119" i="3"/>
  <c r="E120" i="3"/>
  <c r="E121" i="3"/>
  <c r="E122" i="3"/>
  <c r="E123" i="3"/>
  <c r="E124" i="3"/>
  <c r="E125" i="3"/>
  <c r="E126" i="3"/>
  <c r="E127" i="3"/>
  <c r="E128" i="3"/>
  <c r="E129" i="3"/>
  <c r="E130" i="3"/>
  <c r="E131" i="3"/>
  <c r="E132" i="3"/>
  <c r="E133" i="3"/>
  <c r="E134" i="3"/>
  <c r="E135" i="3"/>
  <c r="E136" i="3"/>
  <c r="E137" i="3"/>
  <c r="E138" i="3"/>
  <c r="E139" i="3"/>
  <c r="E140" i="3"/>
  <c r="E141" i="3"/>
  <c r="E142" i="3"/>
  <c r="E36" i="3"/>
  <c r="E37" i="3"/>
  <c r="E38" i="3"/>
  <c r="E39" i="3"/>
  <c r="E40" i="3"/>
  <c r="E41" i="3"/>
  <c r="E42" i="3"/>
  <c r="E43" i="3"/>
  <c r="E44" i="3"/>
  <c r="E45" i="3"/>
  <c r="E46" i="3"/>
  <c r="E47" i="3"/>
  <c r="E48" i="3"/>
  <c r="E49" i="3"/>
  <c r="E50" i="3"/>
  <c r="E51" i="3"/>
  <c r="E52" i="3"/>
  <c r="E53" i="3"/>
  <c r="E54" i="3"/>
  <c r="E55" i="3"/>
  <c r="E56" i="3"/>
  <c r="E57" i="3"/>
  <c r="E58" i="3"/>
  <c r="E59" i="3"/>
  <c r="E60" i="3"/>
  <c r="E61" i="3"/>
  <c r="E62" i="3"/>
  <c r="E63" i="3"/>
  <c r="E64" i="3"/>
  <c r="E65" i="3"/>
  <c r="E66" i="3"/>
  <c r="E67" i="3"/>
  <c r="E68" i="3"/>
  <c r="E69" i="3"/>
  <c r="E70" i="3"/>
  <c r="E71" i="3"/>
  <c r="E72" i="3"/>
  <c r="E73" i="3"/>
  <c r="E74" i="3"/>
  <c r="E75" i="3"/>
  <c r="E76" i="3"/>
  <c r="E77" i="3"/>
  <c r="E78" i="3"/>
  <c r="L92" i="6"/>
  <c r="N140" i="6"/>
  <c r="D140" i="6"/>
  <c r="C140" i="6"/>
  <c r="B140" i="6"/>
  <c r="N139" i="6"/>
  <c r="D139" i="6"/>
  <c r="N138" i="6"/>
  <c r="I138" i="6"/>
  <c r="D138" i="6"/>
  <c r="N137" i="6"/>
  <c r="I137" i="6"/>
  <c r="D137" i="6"/>
  <c r="M136" i="6"/>
  <c r="L136" i="6"/>
  <c r="H136" i="6"/>
  <c r="G136" i="6"/>
  <c r="D136" i="6"/>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2" i="3"/>
  <c r="L142" i="35"/>
  <c r="L141" i="35"/>
  <c r="L140" i="35"/>
  <c r="L139" i="35"/>
  <c r="L138" i="35"/>
  <c r="L137" i="35"/>
  <c r="L136" i="35"/>
  <c r="L135" i="35"/>
  <c r="L134" i="35"/>
  <c r="L133" i="35"/>
  <c r="L132" i="35"/>
  <c r="L131" i="35"/>
  <c r="L130" i="35"/>
  <c r="L129" i="35"/>
  <c r="L128" i="35"/>
  <c r="L127" i="35"/>
  <c r="L126" i="35"/>
  <c r="L125" i="35"/>
  <c r="L124" i="35"/>
  <c r="L123" i="35"/>
  <c r="L122" i="35"/>
  <c r="L121" i="35"/>
  <c r="L120" i="35"/>
  <c r="L119" i="35"/>
  <c r="L118" i="35"/>
  <c r="L117" i="35"/>
  <c r="L116" i="35"/>
  <c r="L115" i="35"/>
  <c r="L114" i="35"/>
  <c r="L113" i="35"/>
  <c r="L112" i="35"/>
  <c r="L111" i="35"/>
  <c r="L110" i="35"/>
  <c r="L109" i="35"/>
  <c r="L108" i="35"/>
  <c r="L107" i="35"/>
  <c r="L106" i="35"/>
  <c r="L105" i="35"/>
  <c r="L104" i="35"/>
  <c r="L103" i="35"/>
  <c r="L102" i="35"/>
  <c r="L101" i="35"/>
  <c r="L100" i="35"/>
  <c r="L99" i="35"/>
  <c r="L98" i="35"/>
  <c r="L97" i="35"/>
  <c r="L96" i="35"/>
  <c r="L95" i="35"/>
  <c r="L94" i="35"/>
  <c r="L93" i="35"/>
  <c r="L92" i="35"/>
  <c r="L91" i="35"/>
  <c r="L90" i="35"/>
  <c r="L89" i="35"/>
  <c r="L88" i="35"/>
  <c r="L87" i="35"/>
  <c r="L86" i="35"/>
  <c r="L85" i="35"/>
  <c r="L84" i="35"/>
  <c r="L83" i="35"/>
  <c r="L82" i="35"/>
  <c r="L81" i="35"/>
  <c r="L80" i="35"/>
  <c r="L79" i="35"/>
  <c r="L78" i="35"/>
  <c r="L77" i="35"/>
  <c r="L76" i="35"/>
  <c r="L75" i="35"/>
  <c r="L74" i="35"/>
  <c r="L73" i="35"/>
  <c r="L72" i="35"/>
  <c r="L71" i="35"/>
  <c r="L70" i="35"/>
  <c r="L69" i="35"/>
  <c r="L68" i="35"/>
  <c r="L67" i="35"/>
  <c r="L66" i="35"/>
  <c r="L65" i="35"/>
  <c r="L64" i="35"/>
  <c r="L63" i="35"/>
  <c r="L62" i="35"/>
  <c r="L61" i="35"/>
  <c r="L60" i="35"/>
  <c r="L59" i="35"/>
  <c r="L58" i="35"/>
  <c r="L57" i="35"/>
  <c r="L56" i="35"/>
  <c r="L55" i="35"/>
  <c r="L54" i="35"/>
  <c r="L53" i="35"/>
  <c r="L52" i="35"/>
  <c r="L51" i="35"/>
  <c r="L50" i="35"/>
  <c r="L49" i="35"/>
  <c r="L48" i="35"/>
  <c r="L47" i="35"/>
  <c r="L46" i="35"/>
  <c r="L45" i="35"/>
  <c r="L44" i="35"/>
  <c r="L43" i="35"/>
  <c r="L42" i="35"/>
  <c r="L41" i="35"/>
  <c r="L40" i="35"/>
  <c r="L39" i="35"/>
  <c r="L38" i="35"/>
  <c r="L37" i="35"/>
  <c r="L36" i="35"/>
  <c r="L35" i="35"/>
  <c r="L34" i="35"/>
  <c r="L33" i="35"/>
  <c r="L32" i="35"/>
  <c r="L31" i="35"/>
  <c r="L30" i="35"/>
  <c r="L29" i="35"/>
  <c r="L28" i="35"/>
  <c r="L27" i="35"/>
  <c r="L26" i="35"/>
  <c r="L25" i="35"/>
  <c r="L24" i="35"/>
  <c r="L23" i="35"/>
  <c r="L22" i="35"/>
  <c r="L21" i="35"/>
  <c r="L20" i="35"/>
  <c r="L19" i="35"/>
  <c r="L18" i="35"/>
  <c r="L17" i="35"/>
  <c r="L16" i="35"/>
  <c r="L15" i="35"/>
  <c r="L14" i="35"/>
  <c r="L13" i="35"/>
  <c r="L12" i="35"/>
  <c r="L11" i="35"/>
  <c r="L10" i="35"/>
  <c r="L9" i="35"/>
  <c r="L8" i="35"/>
  <c r="L7" i="35"/>
  <c r="L6" i="35"/>
  <c r="L5" i="35"/>
  <c r="L4" i="35"/>
  <c r="L3" i="35"/>
  <c r="L2" i="35"/>
  <c r="L142" i="34"/>
  <c r="L141" i="34"/>
  <c r="L140" i="34"/>
  <c r="L139" i="34"/>
  <c r="L138" i="34"/>
  <c r="L137" i="34"/>
  <c r="L136" i="34"/>
  <c r="L135" i="34"/>
  <c r="L134" i="34"/>
  <c r="L133" i="34"/>
  <c r="L132" i="34"/>
  <c r="L131" i="34"/>
  <c r="L130" i="34"/>
  <c r="L129" i="34"/>
  <c r="L128" i="34"/>
  <c r="L127" i="34"/>
  <c r="L126" i="34"/>
  <c r="L125" i="34"/>
  <c r="L124" i="34"/>
  <c r="L123" i="34"/>
  <c r="L122" i="34"/>
  <c r="L121" i="34"/>
  <c r="L120" i="34"/>
  <c r="L119" i="34"/>
  <c r="L118" i="34"/>
  <c r="L117" i="34"/>
  <c r="L116" i="34"/>
  <c r="L115" i="34"/>
  <c r="L114" i="34"/>
  <c r="L113" i="34"/>
  <c r="L112" i="34"/>
  <c r="L111" i="34"/>
  <c r="L110" i="34"/>
  <c r="L109" i="34"/>
  <c r="L108" i="34"/>
  <c r="L107" i="34"/>
  <c r="L106" i="34"/>
  <c r="L105" i="34"/>
  <c r="L104" i="34"/>
  <c r="L103" i="34"/>
  <c r="L102" i="34"/>
  <c r="L101" i="34"/>
  <c r="L100" i="34"/>
  <c r="L99" i="34"/>
  <c r="L98" i="34"/>
  <c r="L97" i="34"/>
  <c r="L96" i="34"/>
  <c r="L95" i="34"/>
  <c r="L94" i="34"/>
  <c r="L93" i="34"/>
  <c r="L92" i="34"/>
  <c r="L91" i="34"/>
  <c r="L90" i="34"/>
  <c r="L89" i="34"/>
  <c r="L88" i="34"/>
  <c r="L87" i="34"/>
  <c r="L86" i="34"/>
  <c r="L85" i="34"/>
  <c r="L84" i="34"/>
  <c r="L83" i="34"/>
  <c r="L82" i="34"/>
  <c r="L81" i="34"/>
  <c r="L80" i="34"/>
  <c r="L79" i="34"/>
  <c r="L78" i="34"/>
  <c r="L77" i="34"/>
  <c r="L76" i="34"/>
  <c r="L75" i="34"/>
  <c r="L74" i="34"/>
  <c r="L73" i="34"/>
  <c r="L72" i="34"/>
  <c r="L71" i="34"/>
  <c r="L70" i="34"/>
  <c r="L69" i="34"/>
  <c r="L68" i="34"/>
  <c r="L67" i="34"/>
  <c r="L66" i="34"/>
  <c r="L65" i="34"/>
  <c r="L64" i="34"/>
  <c r="L63" i="34"/>
  <c r="L62" i="34"/>
  <c r="L61" i="34"/>
  <c r="L60" i="34"/>
  <c r="L59" i="34"/>
  <c r="L58" i="34"/>
  <c r="L57" i="34"/>
  <c r="L56" i="34"/>
  <c r="L55" i="34"/>
  <c r="L54" i="34"/>
  <c r="L53" i="34"/>
  <c r="L52" i="34"/>
  <c r="L51" i="34"/>
  <c r="L50" i="34"/>
  <c r="L49" i="34"/>
  <c r="L48" i="34"/>
  <c r="L47" i="34"/>
  <c r="L46" i="34"/>
  <c r="L45" i="34"/>
  <c r="L44" i="34"/>
  <c r="L43" i="34"/>
  <c r="L42" i="34"/>
  <c r="L41" i="34"/>
  <c r="L40" i="34"/>
  <c r="L39" i="34"/>
  <c r="L38" i="34"/>
  <c r="L37" i="34"/>
  <c r="L36" i="34"/>
  <c r="L35" i="34"/>
  <c r="L34" i="34"/>
  <c r="L33" i="34"/>
  <c r="L32" i="34"/>
  <c r="L31" i="34"/>
  <c r="L30" i="34"/>
  <c r="L29" i="34"/>
  <c r="L28" i="34"/>
  <c r="L27" i="34"/>
  <c r="L26" i="34"/>
  <c r="L25" i="34"/>
  <c r="L24" i="34"/>
  <c r="L23" i="34"/>
  <c r="L22" i="34"/>
  <c r="L21" i="34"/>
  <c r="L20" i="34"/>
  <c r="L19" i="34"/>
  <c r="L18" i="34"/>
  <c r="L17" i="34"/>
  <c r="L16" i="34"/>
  <c r="L15" i="34"/>
  <c r="L14" i="34"/>
  <c r="L13" i="34"/>
  <c r="L12" i="34"/>
  <c r="L11" i="34"/>
  <c r="L10" i="34"/>
  <c r="L9" i="34"/>
  <c r="L8" i="34"/>
  <c r="L7" i="34"/>
  <c r="L6" i="34"/>
  <c r="L5" i="34"/>
  <c r="L4" i="34"/>
  <c r="L3" i="34"/>
  <c r="L2" i="34"/>
  <c r="L142" i="33"/>
  <c r="L141" i="33"/>
  <c r="L140" i="33"/>
  <c r="L139" i="33"/>
  <c r="L138" i="33"/>
  <c r="L137" i="33"/>
  <c r="L136" i="33"/>
  <c r="L135" i="33"/>
  <c r="L134" i="33"/>
  <c r="L133" i="33"/>
  <c r="L132" i="33"/>
  <c r="L131" i="33"/>
  <c r="L130" i="33"/>
  <c r="L129" i="33"/>
  <c r="L128" i="33"/>
  <c r="L127" i="33"/>
  <c r="L126" i="33"/>
  <c r="L125" i="33"/>
  <c r="L124" i="33"/>
  <c r="L123" i="33"/>
  <c r="L122" i="33"/>
  <c r="L121" i="33"/>
  <c r="L120" i="33"/>
  <c r="L119" i="33"/>
  <c r="L118" i="33"/>
  <c r="L117" i="33"/>
  <c r="L116" i="33"/>
  <c r="L115" i="33"/>
  <c r="L114" i="33"/>
  <c r="L113" i="33"/>
  <c r="L112" i="33"/>
  <c r="L111" i="33"/>
  <c r="L110" i="33"/>
  <c r="L109" i="33"/>
  <c r="L108" i="33"/>
  <c r="L107" i="33"/>
  <c r="L106" i="33"/>
  <c r="L105" i="33"/>
  <c r="L104" i="33"/>
  <c r="L103" i="33"/>
  <c r="L102" i="33"/>
  <c r="L101" i="33"/>
  <c r="L100" i="33"/>
  <c r="L99" i="33"/>
  <c r="L98" i="33"/>
  <c r="L97" i="33"/>
  <c r="L96" i="33"/>
  <c r="L95" i="33"/>
  <c r="L94" i="33"/>
  <c r="L93" i="33"/>
  <c r="L92" i="33"/>
  <c r="L91" i="33"/>
  <c r="L90" i="33"/>
  <c r="L89" i="33"/>
  <c r="L88" i="33"/>
  <c r="L87" i="33"/>
  <c r="L86" i="33"/>
  <c r="L85" i="33"/>
  <c r="L84" i="33"/>
  <c r="L83" i="33"/>
  <c r="L82" i="33"/>
  <c r="L81" i="33"/>
  <c r="L80" i="33"/>
  <c r="L79" i="33"/>
  <c r="L78" i="33"/>
  <c r="L77" i="33"/>
  <c r="L76" i="33"/>
  <c r="L75" i="33"/>
  <c r="L74" i="33"/>
  <c r="L73" i="33"/>
  <c r="L72" i="33"/>
  <c r="L71" i="33"/>
  <c r="L70" i="33"/>
  <c r="L69" i="33"/>
  <c r="L68" i="33"/>
  <c r="L67" i="33"/>
  <c r="L66" i="33"/>
  <c r="L65" i="33"/>
  <c r="L64" i="33"/>
  <c r="L63" i="33"/>
  <c r="L62" i="33"/>
  <c r="L61" i="33"/>
  <c r="L60" i="33"/>
  <c r="L59" i="33"/>
  <c r="L58" i="33"/>
  <c r="L57" i="33"/>
  <c r="L56" i="33"/>
  <c r="L55" i="33"/>
  <c r="L54" i="33"/>
  <c r="L53" i="33"/>
  <c r="L52" i="33"/>
  <c r="L51" i="33"/>
  <c r="L50" i="33"/>
  <c r="L49" i="33"/>
  <c r="L48" i="33"/>
  <c r="L47" i="33"/>
  <c r="L46" i="33"/>
  <c r="L45" i="33"/>
  <c r="L44" i="33"/>
  <c r="L43" i="33"/>
  <c r="L42" i="33"/>
  <c r="L41" i="33"/>
  <c r="L40" i="33"/>
  <c r="L39" i="33"/>
  <c r="L38" i="33"/>
  <c r="L37" i="33"/>
  <c r="L36" i="33"/>
  <c r="L35" i="33"/>
  <c r="L34" i="33"/>
  <c r="L33" i="33"/>
  <c r="L32" i="33"/>
  <c r="L31" i="33"/>
  <c r="L30" i="33"/>
  <c r="L29" i="33"/>
  <c r="L28" i="33"/>
  <c r="L27" i="33"/>
  <c r="L26" i="33"/>
  <c r="L25" i="33"/>
  <c r="L24" i="33"/>
  <c r="L23" i="33"/>
  <c r="L22" i="33"/>
  <c r="L21" i="33"/>
  <c r="L20" i="33"/>
  <c r="L19" i="33"/>
  <c r="L18" i="33"/>
  <c r="L17" i="33"/>
  <c r="L16" i="33"/>
  <c r="L15" i="33"/>
  <c r="L14" i="33"/>
  <c r="L13" i="33"/>
  <c r="L12" i="33"/>
  <c r="L11" i="33"/>
  <c r="L10" i="33"/>
  <c r="L9" i="33"/>
  <c r="L8" i="33"/>
  <c r="L7" i="33"/>
  <c r="L6" i="33"/>
  <c r="L5" i="33"/>
  <c r="L4" i="33"/>
  <c r="L3" i="33"/>
  <c r="L2" i="33"/>
  <c r="L142" i="32"/>
  <c r="L141" i="32"/>
  <c r="L140" i="32"/>
  <c r="L139" i="32"/>
  <c r="L138" i="32"/>
  <c r="L137" i="32"/>
  <c r="L136" i="32"/>
  <c r="L135" i="32"/>
  <c r="L134" i="32"/>
  <c r="L133" i="32"/>
  <c r="L132" i="32"/>
  <c r="L131" i="32"/>
  <c r="L130" i="32"/>
  <c r="L129" i="32"/>
  <c r="L128" i="32"/>
  <c r="L127" i="32"/>
  <c r="L126" i="32"/>
  <c r="L125" i="32"/>
  <c r="L124" i="32"/>
  <c r="L123" i="32"/>
  <c r="L122" i="32"/>
  <c r="L121" i="32"/>
  <c r="L120" i="32"/>
  <c r="L119" i="32"/>
  <c r="L118" i="32"/>
  <c r="L117" i="32"/>
  <c r="L116" i="32"/>
  <c r="L115" i="32"/>
  <c r="L114" i="32"/>
  <c r="L113" i="32"/>
  <c r="L112" i="32"/>
  <c r="L111" i="32"/>
  <c r="L110" i="32"/>
  <c r="L109" i="32"/>
  <c r="L108" i="32"/>
  <c r="L107" i="32"/>
  <c r="L106" i="32"/>
  <c r="L105" i="32"/>
  <c r="L104" i="32"/>
  <c r="L103" i="32"/>
  <c r="L102" i="32"/>
  <c r="L101" i="32"/>
  <c r="L100" i="32"/>
  <c r="L99" i="32"/>
  <c r="L98" i="32"/>
  <c r="L97" i="32"/>
  <c r="L96" i="32"/>
  <c r="L95" i="32"/>
  <c r="L94" i="32"/>
  <c r="L93" i="32"/>
  <c r="L92" i="32"/>
  <c r="L91" i="32"/>
  <c r="L90" i="32"/>
  <c r="L89" i="32"/>
  <c r="L88" i="32"/>
  <c r="L87" i="32"/>
  <c r="L86" i="32"/>
  <c r="L85" i="32"/>
  <c r="L84" i="32"/>
  <c r="L83" i="32"/>
  <c r="L82" i="32"/>
  <c r="L81" i="32"/>
  <c r="L80" i="32"/>
  <c r="L79" i="32"/>
  <c r="L78" i="32"/>
  <c r="L77" i="32"/>
  <c r="L76" i="32"/>
  <c r="L75" i="32"/>
  <c r="L74" i="32"/>
  <c r="L73" i="32"/>
  <c r="L72" i="32"/>
  <c r="L71" i="32"/>
  <c r="L70" i="32"/>
  <c r="L69" i="32"/>
  <c r="L68" i="32"/>
  <c r="L67" i="32"/>
  <c r="L66" i="32"/>
  <c r="L65" i="32"/>
  <c r="L64" i="32"/>
  <c r="L63" i="32"/>
  <c r="L62" i="32"/>
  <c r="L61" i="32"/>
  <c r="L60" i="32"/>
  <c r="L59" i="32"/>
  <c r="L58" i="32"/>
  <c r="L57" i="32"/>
  <c r="L56" i="32"/>
  <c r="L55" i="32"/>
  <c r="L54" i="32"/>
  <c r="L53" i="32"/>
  <c r="L52" i="32"/>
  <c r="L51" i="32"/>
  <c r="L50" i="32"/>
  <c r="L49" i="32"/>
  <c r="L48" i="32"/>
  <c r="L47" i="32"/>
  <c r="L46" i="32"/>
  <c r="L45" i="32"/>
  <c r="L44" i="32"/>
  <c r="L43" i="32"/>
  <c r="L42" i="32"/>
  <c r="L41" i="32"/>
  <c r="L40" i="32"/>
  <c r="L39" i="32"/>
  <c r="L38" i="32"/>
  <c r="L37" i="32"/>
  <c r="L36" i="32"/>
  <c r="L35" i="32"/>
  <c r="L34" i="32"/>
  <c r="L33" i="32"/>
  <c r="L32" i="32"/>
  <c r="L31" i="32"/>
  <c r="L30" i="32"/>
  <c r="L29" i="32"/>
  <c r="L28" i="32"/>
  <c r="L27" i="32"/>
  <c r="L26" i="32"/>
  <c r="L25" i="32"/>
  <c r="L24" i="32"/>
  <c r="L23" i="32"/>
  <c r="L22" i="32"/>
  <c r="L21" i="32"/>
  <c r="L20" i="32"/>
  <c r="L19" i="32"/>
  <c r="L18" i="32"/>
  <c r="L17" i="32"/>
  <c r="L16" i="32"/>
  <c r="L15" i="32"/>
  <c r="L14" i="32"/>
  <c r="L13" i="32"/>
  <c r="L12" i="32"/>
  <c r="L11" i="32"/>
  <c r="L10" i="32"/>
  <c r="L9" i="32"/>
  <c r="L8" i="32"/>
  <c r="L7" i="32"/>
  <c r="L6" i="32"/>
  <c r="L5" i="32"/>
  <c r="L4" i="32"/>
  <c r="L3" i="32"/>
  <c r="L2" i="32"/>
  <c r="D26" i="6"/>
  <c r="D81" i="6"/>
  <c r="D92" i="6"/>
  <c r="N96" i="6"/>
  <c r="D96" i="6"/>
  <c r="C96" i="6"/>
  <c r="B96" i="6"/>
  <c r="N95" i="6"/>
  <c r="D95" i="6"/>
  <c r="N94" i="6"/>
  <c r="I94" i="6"/>
  <c r="D94" i="6"/>
  <c r="N93" i="6"/>
  <c r="I93" i="6"/>
  <c r="D93" i="6"/>
  <c r="M92" i="6"/>
  <c r="H92" i="6"/>
  <c r="G92" i="6"/>
  <c r="C85" i="6"/>
  <c r="B85" i="6"/>
  <c r="D63" i="6"/>
  <c r="H81" i="6"/>
  <c r="G81" i="6"/>
  <c r="I82" i="6"/>
  <c r="M81" i="6"/>
  <c r="L81" i="6"/>
  <c r="N85" i="6"/>
  <c r="D85" i="6"/>
  <c r="N84" i="6"/>
  <c r="D84" i="6"/>
  <c r="N83" i="6"/>
  <c r="I83" i="6"/>
  <c r="D83" i="6"/>
  <c r="N82" i="6"/>
  <c r="D82" i="6"/>
  <c r="J142" i="29"/>
  <c r="J141" i="29"/>
  <c r="J140" i="29"/>
  <c r="J139" i="29"/>
  <c r="J138" i="29"/>
  <c r="J137" i="29"/>
  <c r="J136" i="29"/>
  <c r="J135" i="29"/>
  <c r="J134" i="29"/>
  <c r="J133" i="29"/>
  <c r="J132" i="29"/>
  <c r="J131" i="29"/>
  <c r="J130" i="29"/>
  <c r="J129" i="29"/>
  <c r="J128" i="29"/>
  <c r="J127" i="29"/>
  <c r="J126" i="29"/>
  <c r="J125" i="29"/>
  <c r="J124" i="29"/>
  <c r="J123" i="29"/>
  <c r="J122" i="29"/>
  <c r="J121" i="29"/>
  <c r="J120" i="29"/>
  <c r="J119" i="29"/>
  <c r="J118" i="29"/>
  <c r="J117" i="29"/>
  <c r="J116" i="29"/>
  <c r="J115" i="29"/>
  <c r="J114" i="29"/>
  <c r="J113" i="29"/>
  <c r="J112" i="29"/>
  <c r="J111" i="29"/>
  <c r="J110" i="29"/>
  <c r="J109" i="29"/>
  <c r="J108" i="29"/>
  <c r="J107" i="29"/>
  <c r="J106" i="29"/>
  <c r="J105" i="29"/>
  <c r="J104" i="29"/>
  <c r="J103" i="29"/>
  <c r="J102" i="29"/>
  <c r="J101" i="29"/>
  <c r="J100" i="29"/>
  <c r="J99" i="29"/>
  <c r="J98" i="29"/>
  <c r="J97" i="29"/>
  <c r="J96" i="29"/>
  <c r="J95" i="29"/>
  <c r="J94" i="29"/>
  <c r="J93" i="29"/>
  <c r="J92" i="29"/>
  <c r="J91" i="29"/>
  <c r="J90" i="29"/>
  <c r="J89" i="29"/>
  <c r="J88" i="29"/>
  <c r="J87" i="29"/>
  <c r="J86" i="29"/>
  <c r="J85" i="29"/>
  <c r="J84" i="29"/>
  <c r="J83" i="29"/>
  <c r="J82" i="29"/>
  <c r="J81" i="29"/>
  <c r="J80" i="29"/>
  <c r="J79" i="29"/>
  <c r="J78" i="29"/>
  <c r="J77" i="29"/>
  <c r="J76" i="29"/>
  <c r="J75" i="29"/>
  <c r="J74" i="29"/>
  <c r="J73" i="29"/>
  <c r="J72" i="29"/>
  <c r="J71" i="29"/>
  <c r="J70" i="29"/>
  <c r="J69" i="29"/>
  <c r="J68" i="29"/>
  <c r="J67" i="29"/>
  <c r="J66" i="29"/>
  <c r="J65" i="29"/>
  <c r="J64" i="29"/>
  <c r="J63" i="29"/>
  <c r="J62" i="29"/>
  <c r="J61" i="29"/>
  <c r="J60" i="29"/>
  <c r="J59" i="29"/>
  <c r="J58" i="29"/>
  <c r="J57" i="29"/>
  <c r="J56" i="29"/>
  <c r="J55" i="29"/>
  <c r="J54" i="29"/>
  <c r="J53" i="29"/>
  <c r="J52" i="29"/>
  <c r="J51" i="29"/>
  <c r="J50" i="29"/>
  <c r="J49" i="29"/>
  <c r="J48" i="29"/>
  <c r="J47" i="29"/>
  <c r="J46" i="29"/>
  <c r="J45" i="29"/>
  <c r="J44" i="29"/>
  <c r="J43" i="29"/>
  <c r="J42" i="29"/>
  <c r="J41" i="29"/>
  <c r="J40" i="29"/>
  <c r="J39" i="29"/>
  <c r="J38" i="29"/>
  <c r="J37" i="29"/>
  <c r="J36" i="29"/>
  <c r="J35" i="29"/>
  <c r="J34" i="29"/>
  <c r="J33" i="29"/>
  <c r="J32" i="29"/>
  <c r="J31" i="29"/>
  <c r="J30" i="29"/>
  <c r="J29" i="29"/>
  <c r="J28" i="29"/>
  <c r="J27" i="29"/>
  <c r="J26" i="29"/>
  <c r="J25" i="29"/>
  <c r="J24" i="29"/>
  <c r="J23" i="29"/>
  <c r="J22" i="29"/>
  <c r="J21" i="29"/>
  <c r="J20" i="29"/>
  <c r="J19" i="29"/>
  <c r="J18" i="29"/>
  <c r="J17" i="29"/>
  <c r="J16" i="29"/>
  <c r="J15" i="29"/>
  <c r="J14" i="29"/>
  <c r="J13" i="29"/>
  <c r="J12" i="29"/>
  <c r="J11" i="29"/>
  <c r="J10" i="29"/>
  <c r="J9" i="29"/>
  <c r="J8" i="29"/>
  <c r="J7" i="29"/>
  <c r="J6" i="29"/>
  <c r="J5" i="29"/>
  <c r="J4" i="29"/>
  <c r="J3" i="29"/>
  <c r="J2" i="29"/>
  <c r="J142" i="28"/>
  <c r="J141" i="28"/>
  <c r="J140" i="28"/>
  <c r="J139" i="28"/>
  <c r="J138" i="28"/>
  <c r="J137" i="28"/>
  <c r="J136" i="28"/>
  <c r="J135" i="28"/>
  <c r="J134" i="28"/>
  <c r="J133" i="28"/>
  <c r="J132" i="28"/>
  <c r="J131" i="28"/>
  <c r="J130" i="28"/>
  <c r="J129" i="28"/>
  <c r="J128" i="28"/>
  <c r="J127" i="28"/>
  <c r="J126" i="28"/>
  <c r="J125" i="28"/>
  <c r="J124" i="28"/>
  <c r="J123" i="28"/>
  <c r="J122" i="28"/>
  <c r="J121" i="28"/>
  <c r="J120" i="28"/>
  <c r="J119" i="28"/>
  <c r="J118" i="28"/>
  <c r="J117" i="28"/>
  <c r="J116" i="28"/>
  <c r="J115" i="28"/>
  <c r="J114" i="28"/>
  <c r="J113" i="28"/>
  <c r="J112" i="28"/>
  <c r="J111" i="28"/>
  <c r="J110" i="28"/>
  <c r="J109" i="28"/>
  <c r="J108" i="28"/>
  <c r="J107" i="28"/>
  <c r="J106" i="28"/>
  <c r="J105" i="28"/>
  <c r="J104" i="28"/>
  <c r="J103" i="28"/>
  <c r="J102" i="28"/>
  <c r="J101" i="28"/>
  <c r="J100" i="28"/>
  <c r="J99" i="28"/>
  <c r="J98" i="28"/>
  <c r="J97" i="28"/>
  <c r="J96" i="28"/>
  <c r="J95" i="28"/>
  <c r="J94" i="28"/>
  <c r="J93" i="28"/>
  <c r="J92" i="28"/>
  <c r="J91" i="28"/>
  <c r="J90" i="28"/>
  <c r="J89" i="28"/>
  <c r="J88" i="28"/>
  <c r="J87" i="28"/>
  <c r="J86" i="28"/>
  <c r="J85" i="28"/>
  <c r="J84" i="28"/>
  <c r="J83" i="28"/>
  <c r="J82" i="28"/>
  <c r="J81" i="28"/>
  <c r="J80" i="28"/>
  <c r="J79" i="28"/>
  <c r="J78" i="28"/>
  <c r="J77" i="28"/>
  <c r="J76" i="28"/>
  <c r="J75" i="28"/>
  <c r="J74" i="28"/>
  <c r="J73" i="28"/>
  <c r="J72" i="28"/>
  <c r="J71" i="28"/>
  <c r="J70" i="28"/>
  <c r="J69" i="28"/>
  <c r="J68" i="28"/>
  <c r="J67" i="28"/>
  <c r="J66" i="28"/>
  <c r="J65" i="28"/>
  <c r="J64" i="28"/>
  <c r="J63" i="28"/>
  <c r="J62" i="28"/>
  <c r="J61" i="28"/>
  <c r="J60" i="28"/>
  <c r="J59" i="28"/>
  <c r="J58" i="28"/>
  <c r="J57" i="28"/>
  <c r="J56" i="28"/>
  <c r="J55" i="28"/>
  <c r="J54" i="28"/>
  <c r="J53" i="28"/>
  <c r="J52" i="28"/>
  <c r="J51" i="28"/>
  <c r="J50" i="28"/>
  <c r="J49" i="28"/>
  <c r="J48" i="28"/>
  <c r="J47" i="28"/>
  <c r="J46" i="28"/>
  <c r="J45" i="28"/>
  <c r="J44" i="28"/>
  <c r="J43" i="28"/>
  <c r="J42" i="28"/>
  <c r="J41" i="28"/>
  <c r="J40" i="28"/>
  <c r="J39" i="28"/>
  <c r="J38" i="28"/>
  <c r="J37" i="28"/>
  <c r="J36" i="28"/>
  <c r="J35" i="28"/>
  <c r="J34" i="28"/>
  <c r="J33" i="28"/>
  <c r="J32" i="28"/>
  <c r="J31" i="28"/>
  <c r="J30" i="28"/>
  <c r="J29" i="28"/>
  <c r="J28" i="28"/>
  <c r="J27" i="28"/>
  <c r="J26" i="28"/>
  <c r="J25" i="28"/>
  <c r="J24" i="28"/>
  <c r="J23" i="28"/>
  <c r="J22" i="28"/>
  <c r="J21" i="28"/>
  <c r="J20" i="28"/>
  <c r="J19" i="28"/>
  <c r="J18" i="28"/>
  <c r="J17" i="28"/>
  <c r="J16" i="28"/>
  <c r="J15" i="28"/>
  <c r="J14" i="28"/>
  <c r="J13" i="28"/>
  <c r="J12" i="28"/>
  <c r="J11" i="28"/>
  <c r="J10" i="28"/>
  <c r="J9" i="28"/>
  <c r="J8" i="28"/>
  <c r="J7" i="28"/>
  <c r="J6" i="28"/>
  <c r="J5" i="28"/>
  <c r="J4" i="28"/>
  <c r="J3" i="28"/>
  <c r="J2" i="28"/>
  <c r="J142" i="27"/>
  <c r="J141" i="27"/>
  <c r="J140" i="27"/>
  <c r="J139" i="27"/>
  <c r="J138" i="27"/>
  <c r="J137" i="27"/>
  <c r="J136" i="27"/>
  <c r="J135" i="27"/>
  <c r="J134" i="27"/>
  <c r="J133" i="27"/>
  <c r="J132" i="27"/>
  <c r="J131" i="27"/>
  <c r="J130" i="27"/>
  <c r="J129" i="27"/>
  <c r="J128" i="27"/>
  <c r="J127" i="27"/>
  <c r="J126" i="27"/>
  <c r="J125" i="27"/>
  <c r="J124" i="27"/>
  <c r="J123" i="27"/>
  <c r="J122" i="27"/>
  <c r="J121" i="27"/>
  <c r="J120" i="27"/>
  <c r="J119" i="27"/>
  <c r="J118" i="27"/>
  <c r="J117" i="27"/>
  <c r="J116" i="27"/>
  <c r="J115" i="27"/>
  <c r="J114" i="27"/>
  <c r="J113" i="27"/>
  <c r="J112" i="27"/>
  <c r="J111" i="27"/>
  <c r="J110" i="27"/>
  <c r="J109" i="27"/>
  <c r="J108" i="27"/>
  <c r="J107" i="27"/>
  <c r="J106" i="27"/>
  <c r="J105" i="27"/>
  <c r="J104" i="27"/>
  <c r="J103" i="27"/>
  <c r="J102" i="27"/>
  <c r="J101" i="27"/>
  <c r="J100" i="27"/>
  <c r="J99" i="27"/>
  <c r="J98" i="27"/>
  <c r="J97" i="27"/>
  <c r="J96" i="27"/>
  <c r="J95" i="27"/>
  <c r="J94" i="27"/>
  <c r="J93" i="27"/>
  <c r="J92" i="27"/>
  <c r="J91" i="27"/>
  <c r="J90" i="27"/>
  <c r="J89" i="27"/>
  <c r="J88" i="27"/>
  <c r="J87" i="27"/>
  <c r="J86" i="27"/>
  <c r="J85" i="27"/>
  <c r="J84" i="27"/>
  <c r="J83" i="27"/>
  <c r="J82" i="27"/>
  <c r="J81" i="27"/>
  <c r="J80" i="27"/>
  <c r="J79" i="27"/>
  <c r="J78" i="27"/>
  <c r="J77" i="27"/>
  <c r="J76" i="27"/>
  <c r="J75" i="27"/>
  <c r="J74" i="27"/>
  <c r="J73" i="27"/>
  <c r="J72" i="27"/>
  <c r="J71" i="27"/>
  <c r="J70" i="27"/>
  <c r="J69" i="27"/>
  <c r="J68" i="27"/>
  <c r="J67" i="27"/>
  <c r="J66" i="27"/>
  <c r="J65" i="27"/>
  <c r="J64" i="27"/>
  <c r="J63" i="27"/>
  <c r="J62" i="27"/>
  <c r="J61" i="27"/>
  <c r="J60" i="27"/>
  <c r="J59" i="27"/>
  <c r="J58" i="27"/>
  <c r="J57" i="27"/>
  <c r="J56" i="27"/>
  <c r="J55" i="27"/>
  <c r="J54" i="27"/>
  <c r="J53" i="27"/>
  <c r="J52" i="27"/>
  <c r="J51" i="27"/>
  <c r="J50" i="27"/>
  <c r="J49" i="27"/>
  <c r="J48" i="27"/>
  <c r="J47" i="27"/>
  <c r="J46" i="27"/>
  <c r="J45" i="27"/>
  <c r="J44" i="27"/>
  <c r="J43" i="27"/>
  <c r="J42" i="27"/>
  <c r="J41" i="27"/>
  <c r="J40" i="27"/>
  <c r="J39" i="27"/>
  <c r="J38" i="27"/>
  <c r="J37" i="27"/>
  <c r="J36" i="27"/>
  <c r="J35" i="27"/>
  <c r="J34" i="27"/>
  <c r="J33" i="27"/>
  <c r="J32" i="27"/>
  <c r="J31" i="27"/>
  <c r="J30" i="27"/>
  <c r="J29" i="27"/>
  <c r="J28" i="27"/>
  <c r="J27" i="27"/>
  <c r="J26" i="27"/>
  <c r="J25" i="27"/>
  <c r="J24" i="27"/>
  <c r="J23" i="27"/>
  <c r="J22" i="27"/>
  <c r="J21" i="27"/>
  <c r="J20" i="27"/>
  <c r="J19" i="27"/>
  <c r="J18" i="27"/>
  <c r="J17" i="27"/>
  <c r="J16" i="27"/>
  <c r="J15" i="27"/>
  <c r="J14" i="27"/>
  <c r="J13" i="27"/>
  <c r="J12" i="27"/>
  <c r="J11" i="27"/>
  <c r="J10" i="27"/>
  <c r="J9" i="27"/>
  <c r="J8" i="27"/>
  <c r="J7" i="27"/>
  <c r="J6" i="27"/>
  <c r="J5" i="27"/>
  <c r="J4" i="27"/>
  <c r="J3" i="27"/>
  <c r="J2" i="27"/>
  <c r="J142" i="26"/>
  <c r="J141" i="26"/>
  <c r="J140" i="26"/>
  <c r="J139" i="26"/>
  <c r="J138" i="26"/>
  <c r="J137" i="26"/>
  <c r="J136" i="26"/>
  <c r="J135" i="26"/>
  <c r="J134" i="26"/>
  <c r="J133" i="26"/>
  <c r="J132" i="26"/>
  <c r="J131" i="26"/>
  <c r="J130" i="26"/>
  <c r="J129" i="26"/>
  <c r="J128" i="26"/>
  <c r="J127" i="26"/>
  <c r="J126" i="26"/>
  <c r="J125" i="26"/>
  <c r="J124" i="26"/>
  <c r="J123" i="26"/>
  <c r="J122" i="26"/>
  <c r="J121" i="26"/>
  <c r="J120" i="26"/>
  <c r="J119" i="26"/>
  <c r="J118" i="26"/>
  <c r="J117" i="26"/>
  <c r="J116" i="26"/>
  <c r="J115" i="26"/>
  <c r="J114" i="26"/>
  <c r="J113" i="26"/>
  <c r="J112" i="26"/>
  <c r="J111" i="26"/>
  <c r="J110" i="26"/>
  <c r="J109" i="26"/>
  <c r="J108" i="26"/>
  <c r="J107" i="26"/>
  <c r="J106" i="26"/>
  <c r="J105" i="26"/>
  <c r="J104" i="26"/>
  <c r="J103" i="26"/>
  <c r="J102" i="26"/>
  <c r="J101" i="26"/>
  <c r="J100" i="26"/>
  <c r="J99" i="26"/>
  <c r="J98" i="26"/>
  <c r="J97" i="26"/>
  <c r="J96" i="26"/>
  <c r="J95" i="26"/>
  <c r="J94" i="26"/>
  <c r="J93" i="26"/>
  <c r="J92" i="26"/>
  <c r="J91" i="26"/>
  <c r="J90" i="26"/>
  <c r="J89" i="26"/>
  <c r="J88" i="26"/>
  <c r="J87" i="26"/>
  <c r="J86" i="26"/>
  <c r="J85" i="26"/>
  <c r="J84" i="26"/>
  <c r="J83" i="26"/>
  <c r="J82" i="26"/>
  <c r="J81" i="26"/>
  <c r="J80" i="26"/>
  <c r="J79" i="26"/>
  <c r="J78" i="26"/>
  <c r="J77" i="26"/>
  <c r="J76" i="26"/>
  <c r="J75" i="26"/>
  <c r="J74" i="26"/>
  <c r="J73" i="26"/>
  <c r="J72" i="26"/>
  <c r="J71" i="26"/>
  <c r="J70" i="26"/>
  <c r="J69" i="26"/>
  <c r="J68" i="26"/>
  <c r="J67" i="26"/>
  <c r="J66" i="26"/>
  <c r="J65" i="26"/>
  <c r="J64" i="26"/>
  <c r="J63" i="26"/>
  <c r="J62" i="26"/>
  <c r="J61" i="26"/>
  <c r="J60" i="26"/>
  <c r="J59" i="26"/>
  <c r="J58" i="26"/>
  <c r="J57" i="26"/>
  <c r="J56" i="26"/>
  <c r="J55" i="26"/>
  <c r="J54" i="26"/>
  <c r="J53" i="26"/>
  <c r="J52" i="26"/>
  <c r="J51" i="26"/>
  <c r="J50" i="26"/>
  <c r="J49" i="26"/>
  <c r="J48" i="26"/>
  <c r="J47" i="26"/>
  <c r="J46" i="26"/>
  <c r="J45" i="26"/>
  <c r="J44" i="26"/>
  <c r="J43" i="26"/>
  <c r="J42" i="26"/>
  <c r="J41" i="26"/>
  <c r="J40" i="26"/>
  <c r="J39" i="26"/>
  <c r="J38" i="26"/>
  <c r="J37" i="26"/>
  <c r="J36" i="26"/>
  <c r="J35" i="26"/>
  <c r="J34" i="26"/>
  <c r="J33" i="26"/>
  <c r="J32" i="26"/>
  <c r="J31" i="26"/>
  <c r="J30" i="26"/>
  <c r="J29" i="26"/>
  <c r="J28" i="26"/>
  <c r="J27" i="26"/>
  <c r="J26" i="26"/>
  <c r="J25" i="26"/>
  <c r="J24" i="26"/>
  <c r="J23" i="26"/>
  <c r="J22" i="26"/>
  <c r="J21" i="26"/>
  <c r="J20" i="26"/>
  <c r="J19" i="26"/>
  <c r="J18" i="26"/>
  <c r="J17" i="26"/>
  <c r="J16" i="26"/>
  <c r="J15" i="26"/>
  <c r="J14" i="26"/>
  <c r="J13" i="26"/>
  <c r="J12" i="26"/>
  <c r="J11" i="26"/>
  <c r="J10" i="26"/>
  <c r="J9" i="26"/>
  <c r="J8" i="26"/>
  <c r="J7" i="26"/>
  <c r="J6" i="26"/>
  <c r="J5" i="26"/>
  <c r="J4" i="26"/>
  <c r="J3" i="26"/>
  <c r="J2" i="26"/>
  <c r="N74" i="6"/>
  <c r="N73" i="6"/>
  <c r="N72" i="6"/>
  <c r="I72" i="6"/>
  <c r="N71" i="6"/>
  <c r="I71" i="6"/>
  <c r="N70" i="6"/>
  <c r="I70" i="6"/>
  <c r="D74" i="6"/>
  <c r="D73" i="6"/>
  <c r="D72" i="6"/>
  <c r="D71" i="6"/>
  <c r="D70" i="6"/>
  <c r="N62" i="6"/>
  <c r="N63" i="6"/>
  <c r="N61" i="6"/>
  <c r="N60" i="6"/>
  <c r="N59" i="6"/>
  <c r="I63" i="6"/>
  <c r="K142" i="25"/>
  <c r="K141" i="25"/>
  <c r="K140" i="25"/>
  <c r="K139" i="25"/>
  <c r="K138" i="25"/>
  <c r="K137" i="25"/>
  <c r="K136" i="25"/>
  <c r="K135" i="25"/>
  <c r="K134" i="25"/>
  <c r="K133" i="25"/>
  <c r="K132" i="25"/>
  <c r="K131" i="25"/>
  <c r="K130" i="25"/>
  <c r="K129" i="25"/>
  <c r="K128" i="25"/>
  <c r="K127" i="25"/>
  <c r="K126" i="25"/>
  <c r="K125" i="25"/>
  <c r="K124" i="25"/>
  <c r="K123" i="25"/>
  <c r="K122" i="25"/>
  <c r="K121" i="25"/>
  <c r="K120" i="25"/>
  <c r="K119" i="25"/>
  <c r="K118" i="25"/>
  <c r="K117" i="25"/>
  <c r="K116" i="25"/>
  <c r="K115" i="25"/>
  <c r="K114" i="25"/>
  <c r="K113" i="25"/>
  <c r="K112" i="25"/>
  <c r="K111" i="25"/>
  <c r="K110" i="25"/>
  <c r="K109" i="25"/>
  <c r="K108" i="25"/>
  <c r="K107" i="25"/>
  <c r="K106" i="25"/>
  <c r="K105" i="25"/>
  <c r="K104" i="25"/>
  <c r="K103" i="25"/>
  <c r="K102" i="25"/>
  <c r="K101" i="25"/>
  <c r="K100" i="25"/>
  <c r="K99" i="25"/>
  <c r="K98" i="25"/>
  <c r="K97" i="25"/>
  <c r="K96" i="25"/>
  <c r="K95" i="25"/>
  <c r="K94" i="25"/>
  <c r="K93" i="25"/>
  <c r="K92" i="25"/>
  <c r="K91" i="25"/>
  <c r="K90" i="25"/>
  <c r="K89" i="25"/>
  <c r="K88" i="25"/>
  <c r="K87" i="25"/>
  <c r="K86" i="25"/>
  <c r="K85" i="25"/>
  <c r="K84" i="25"/>
  <c r="K83" i="25"/>
  <c r="K82" i="25"/>
  <c r="K81" i="25"/>
  <c r="K80" i="25"/>
  <c r="K79" i="25"/>
  <c r="K78" i="25"/>
  <c r="K77" i="25"/>
  <c r="K76" i="25"/>
  <c r="K75" i="25"/>
  <c r="K74" i="25"/>
  <c r="K73" i="25"/>
  <c r="K72" i="25"/>
  <c r="K71" i="25"/>
  <c r="K70" i="25"/>
  <c r="K69" i="25"/>
  <c r="K68" i="25"/>
  <c r="K67" i="25"/>
  <c r="K66" i="25"/>
  <c r="K65" i="25"/>
  <c r="K64" i="25"/>
  <c r="K63" i="25"/>
  <c r="K62" i="25"/>
  <c r="K61" i="25"/>
  <c r="K60" i="25"/>
  <c r="K59" i="25"/>
  <c r="K58" i="25"/>
  <c r="K57" i="25"/>
  <c r="K56" i="25"/>
  <c r="K55" i="25"/>
  <c r="K54" i="25"/>
  <c r="K53" i="25"/>
  <c r="K52" i="25"/>
  <c r="K51" i="25"/>
  <c r="K50" i="25"/>
  <c r="K49" i="25"/>
  <c r="K48" i="25"/>
  <c r="K47" i="25"/>
  <c r="K46" i="25"/>
  <c r="K45" i="25"/>
  <c r="K44" i="25"/>
  <c r="K43" i="25"/>
  <c r="K42" i="25"/>
  <c r="K41" i="25"/>
  <c r="K40" i="25"/>
  <c r="K39" i="25"/>
  <c r="K38" i="25"/>
  <c r="K37" i="25"/>
  <c r="K36" i="25"/>
  <c r="K35" i="25"/>
  <c r="K34" i="25"/>
  <c r="K33" i="25"/>
  <c r="K32" i="25"/>
  <c r="K31" i="25"/>
  <c r="K30" i="25"/>
  <c r="K29" i="25"/>
  <c r="K28" i="25"/>
  <c r="K27" i="25"/>
  <c r="K26" i="25"/>
  <c r="K25" i="25"/>
  <c r="K24" i="25"/>
  <c r="K23" i="25"/>
  <c r="K22" i="25"/>
  <c r="K21" i="25"/>
  <c r="K20" i="25"/>
  <c r="K19" i="25"/>
  <c r="K18" i="25"/>
  <c r="K17" i="25"/>
  <c r="K16" i="25"/>
  <c r="K15" i="25"/>
  <c r="K14" i="25"/>
  <c r="K13" i="25"/>
  <c r="K12" i="25"/>
  <c r="K11" i="25"/>
  <c r="K10" i="25"/>
  <c r="K9" i="25"/>
  <c r="K8" i="25"/>
  <c r="K7" i="25"/>
  <c r="K6" i="25"/>
  <c r="K5" i="25"/>
  <c r="K4" i="25"/>
  <c r="K3" i="25"/>
  <c r="K2" i="25"/>
  <c r="D59" i="6"/>
  <c r="I59" i="6"/>
  <c r="S59" i="6"/>
  <c r="D60" i="6"/>
  <c r="I60" i="6"/>
  <c r="S60" i="6"/>
  <c r="D61" i="6"/>
  <c r="I61" i="6"/>
  <c r="S61" i="6"/>
  <c r="D62" i="6"/>
  <c r="S62" i="6"/>
  <c r="S63" i="6"/>
  <c r="L142" i="24"/>
  <c r="L141" i="24"/>
  <c r="L140" i="24"/>
  <c r="L139" i="24"/>
  <c r="L138" i="24"/>
  <c r="L137" i="24"/>
  <c r="L136" i="24"/>
  <c r="L135" i="24"/>
  <c r="L134" i="24"/>
  <c r="L133" i="24"/>
  <c r="L132" i="24"/>
  <c r="L131" i="24"/>
  <c r="L130" i="24"/>
  <c r="L129" i="24"/>
  <c r="L128" i="24"/>
  <c r="L127" i="24"/>
  <c r="L126" i="24"/>
  <c r="L125" i="24"/>
  <c r="L124" i="24"/>
  <c r="L123" i="24"/>
  <c r="L122" i="24"/>
  <c r="L121" i="24"/>
  <c r="L120" i="24"/>
  <c r="L119" i="24"/>
  <c r="L118" i="24"/>
  <c r="L117" i="24"/>
  <c r="L116" i="24"/>
  <c r="L115" i="24"/>
  <c r="L114" i="24"/>
  <c r="L113" i="24"/>
  <c r="L112" i="24"/>
  <c r="L111" i="24"/>
  <c r="L110" i="24"/>
  <c r="L109" i="24"/>
  <c r="L108" i="24"/>
  <c r="L107" i="24"/>
  <c r="L106" i="24"/>
  <c r="L105" i="24"/>
  <c r="L104" i="24"/>
  <c r="L103" i="24"/>
  <c r="L102" i="24"/>
  <c r="L101" i="24"/>
  <c r="L100" i="24"/>
  <c r="L99" i="24"/>
  <c r="L98" i="24"/>
  <c r="L97" i="24"/>
  <c r="L96" i="24"/>
  <c r="L95" i="24"/>
  <c r="L94" i="24"/>
  <c r="L93" i="24"/>
  <c r="L92" i="24"/>
  <c r="L91" i="24"/>
  <c r="L90" i="24"/>
  <c r="L89" i="24"/>
  <c r="L88" i="24"/>
  <c r="L87" i="24"/>
  <c r="L86" i="24"/>
  <c r="L85" i="24"/>
  <c r="L84" i="24"/>
  <c r="L83" i="24"/>
  <c r="L82" i="24"/>
  <c r="L81" i="24"/>
  <c r="L80" i="24"/>
  <c r="L79" i="24"/>
  <c r="L78" i="24"/>
  <c r="L77" i="24"/>
  <c r="L76" i="24"/>
  <c r="L75" i="24"/>
  <c r="L74" i="24"/>
  <c r="L73" i="24"/>
  <c r="L72" i="24"/>
  <c r="L71" i="24"/>
  <c r="L70" i="24"/>
  <c r="L69" i="24"/>
  <c r="L68" i="24"/>
  <c r="L67" i="24"/>
  <c r="L66" i="24"/>
  <c r="L65" i="24"/>
  <c r="L64" i="24"/>
  <c r="L63" i="24"/>
  <c r="L62" i="24"/>
  <c r="L61" i="24"/>
  <c r="L60" i="24"/>
  <c r="L59" i="24"/>
  <c r="L58" i="24"/>
  <c r="L57" i="24"/>
  <c r="L56" i="24"/>
  <c r="L55" i="24"/>
  <c r="L54" i="24"/>
  <c r="L53" i="24"/>
  <c r="L52" i="24"/>
  <c r="L51" i="24"/>
  <c r="L50" i="24"/>
  <c r="L49" i="24"/>
  <c r="L48" i="24"/>
  <c r="L47" i="24"/>
  <c r="L46" i="24"/>
  <c r="L45" i="24"/>
  <c r="L44" i="24"/>
  <c r="L43" i="24"/>
  <c r="L42" i="24"/>
  <c r="L41" i="24"/>
  <c r="L40" i="24"/>
  <c r="L39" i="24"/>
  <c r="L38" i="24"/>
  <c r="L37" i="24"/>
  <c r="L36" i="24"/>
  <c r="L35" i="24"/>
  <c r="L34" i="24"/>
  <c r="L33" i="24"/>
  <c r="L32" i="24"/>
  <c r="L31" i="24"/>
  <c r="L30" i="24"/>
  <c r="L29" i="24"/>
  <c r="L28" i="24"/>
  <c r="L27" i="24"/>
  <c r="L26" i="24"/>
  <c r="L25" i="24"/>
  <c r="L24" i="24"/>
  <c r="L23" i="24"/>
  <c r="L22" i="24"/>
  <c r="L21" i="24"/>
  <c r="L20" i="24"/>
  <c r="L19" i="24"/>
  <c r="L18" i="24"/>
  <c r="L17" i="24"/>
  <c r="L16" i="24"/>
  <c r="L15" i="24"/>
  <c r="L14" i="24"/>
  <c r="L13" i="24"/>
  <c r="L12" i="24"/>
  <c r="L11" i="24"/>
  <c r="L10" i="24"/>
  <c r="L9" i="24"/>
  <c r="L8" i="24"/>
  <c r="L7" i="24"/>
  <c r="L6" i="24"/>
  <c r="L5" i="24"/>
  <c r="L4" i="24"/>
  <c r="L3" i="24"/>
  <c r="L2" i="24"/>
  <c r="J142" i="23"/>
  <c r="J141" i="23"/>
  <c r="J140" i="23"/>
  <c r="J139" i="23"/>
  <c r="J138" i="23"/>
  <c r="J137" i="23"/>
  <c r="J136" i="23"/>
  <c r="J135" i="23"/>
  <c r="J134" i="23"/>
  <c r="J133" i="23"/>
  <c r="J132" i="23"/>
  <c r="J131" i="23"/>
  <c r="J130" i="23"/>
  <c r="J129" i="23"/>
  <c r="J128" i="23"/>
  <c r="J127" i="23"/>
  <c r="J126" i="23"/>
  <c r="J125" i="23"/>
  <c r="J124" i="23"/>
  <c r="J123" i="23"/>
  <c r="J122" i="23"/>
  <c r="J121" i="23"/>
  <c r="J120" i="23"/>
  <c r="J119" i="23"/>
  <c r="J118" i="23"/>
  <c r="J117" i="23"/>
  <c r="J116" i="23"/>
  <c r="J115" i="23"/>
  <c r="J114" i="23"/>
  <c r="J113" i="23"/>
  <c r="J112" i="23"/>
  <c r="J111" i="23"/>
  <c r="J110" i="23"/>
  <c r="J109" i="23"/>
  <c r="J108" i="23"/>
  <c r="J107" i="23"/>
  <c r="J106" i="23"/>
  <c r="J105" i="23"/>
  <c r="J104" i="23"/>
  <c r="J103" i="23"/>
  <c r="J102" i="23"/>
  <c r="J101" i="23"/>
  <c r="J100" i="23"/>
  <c r="J99" i="23"/>
  <c r="J98" i="23"/>
  <c r="J97" i="23"/>
  <c r="J96" i="23"/>
  <c r="J95" i="23"/>
  <c r="J94" i="23"/>
  <c r="J93" i="23"/>
  <c r="J92" i="23"/>
  <c r="J91" i="23"/>
  <c r="J90" i="23"/>
  <c r="J89" i="23"/>
  <c r="J88" i="23"/>
  <c r="J87" i="23"/>
  <c r="J86" i="23"/>
  <c r="J85" i="23"/>
  <c r="J84" i="23"/>
  <c r="J83" i="23"/>
  <c r="J82" i="23"/>
  <c r="J81" i="23"/>
  <c r="J80" i="23"/>
  <c r="J79" i="23"/>
  <c r="J78" i="23"/>
  <c r="J77" i="23"/>
  <c r="J76" i="23"/>
  <c r="J75" i="23"/>
  <c r="J74" i="23"/>
  <c r="J73" i="23"/>
  <c r="J72" i="23"/>
  <c r="J71" i="23"/>
  <c r="J70" i="23"/>
  <c r="J69" i="23"/>
  <c r="J68" i="23"/>
  <c r="J67" i="23"/>
  <c r="J66" i="23"/>
  <c r="J65" i="23"/>
  <c r="J64" i="23"/>
  <c r="J63" i="23"/>
  <c r="J62" i="23"/>
  <c r="J61" i="23"/>
  <c r="J60" i="23"/>
  <c r="J59" i="23"/>
  <c r="J58" i="23"/>
  <c r="J57" i="23"/>
  <c r="J56" i="23"/>
  <c r="J55" i="23"/>
  <c r="J54" i="23"/>
  <c r="J53" i="23"/>
  <c r="J52" i="23"/>
  <c r="J51" i="23"/>
  <c r="J50" i="23"/>
  <c r="J49" i="23"/>
  <c r="J48" i="23"/>
  <c r="J47" i="23"/>
  <c r="J46" i="23"/>
  <c r="J45" i="23"/>
  <c r="J44" i="23"/>
  <c r="J43" i="23"/>
  <c r="J42" i="23"/>
  <c r="J41" i="23"/>
  <c r="J40" i="23"/>
  <c r="J39" i="23"/>
  <c r="J38" i="23"/>
  <c r="J37" i="23"/>
  <c r="J36" i="23"/>
  <c r="J35" i="23"/>
  <c r="J34" i="23"/>
  <c r="J33" i="23"/>
  <c r="J32" i="23"/>
  <c r="J31" i="23"/>
  <c r="J30" i="23"/>
  <c r="J29" i="23"/>
  <c r="J28" i="23"/>
  <c r="J27" i="23"/>
  <c r="J26" i="23"/>
  <c r="J25" i="23"/>
  <c r="J24" i="23"/>
  <c r="J23" i="23"/>
  <c r="J22" i="23"/>
  <c r="J21" i="23"/>
  <c r="J20" i="23"/>
  <c r="J19" i="23"/>
  <c r="J18" i="23"/>
  <c r="J17" i="23"/>
  <c r="J16" i="23"/>
  <c r="J15" i="23"/>
  <c r="J14" i="23"/>
  <c r="J13" i="23"/>
  <c r="J12" i="23"/>
  <c r="J11" i="23"/>
  <c r="J10" i="23"/>
  <c r="J9" i="23"/>
  <c r="J8" i="23"/>
  <c r="J7" i="23"/>
  <c r="J6" i="23"/>
  <c r="J5" i="23"/>
  <c r="J4" i="23"/>
  <c r="J3" i="23"/>
  <c r="J2" i="23"/>
  <c r="J142" i="22"/>
  <c r="J141" i="22"/>
  <c r="J140" i="22"/>
  <c r="J139" i="22"/>
  <c r="J138" i="22"/>
  <c r="J137" i="22"/>
  <c r="J136" i="22"/>
  <c r="J135" i="22"/>
  <c r="J134" i="22"/>
  <c r="J133" i="22"/>
  <c r="J132" i="22"/>
  <c r="J131" i="22"/>
  <c r="J130" i="22"/>
  <c r="J129" i="22"/>
  <c r="J128" i="22"/>
  <c r="J127" i="22"/>
  <c r="J126" i="22"/>
  <c r="J125" i="22"/>
  <c r="J124" i="22"/>
  <c r="J123" i="22"/>
  <c r="J122" i="22"/>
  <c r="J121" i="22"/>
  <c r="J120" i="22"/>
  <c r="J119" i="22"/>
  <c r="J118" i="22"/>
  <c r="J117" i="22"/>
  <c r="J116" i="22"/>
  <c r="J115" i="22"/>
  <c r="J114" i="22"/>
  <c r="J113" i="22"/>
  <c r="J112" i="22"/>
  <c r="J111" i="22"/>
  <c r="J110" i="22"/>
  <c r="J109" i="22"/>
  <c r="J108" i="22"/>
  <c r="J107" i="22"/>
  <c r="J106" i="22"/>
  <c r="J105" i="22"/>
  <c r="J104" i="22"/>
  <c r="J103" i="22"/>
  <c r="J102" i="22"/>
  <c r="J101" i="22"/>
  <c r="J100" i="22"/>
  <c r="J99" i="22"/>
  <c r="J98" i="22"/>
  <c r="J97" i="22"/>
  <c r="J96" i="22"/>
  <c r="J95" i="22"/>
  <c r="J94" i="22"/>
  <c r="J93" i="22"/>
  <c r="J92" i="22"/>
  <c r="J91" i="22"/>
  <c r="J90" i="22"/>
  <c r="J89" i="22"/>
  <c r="J88" i="22"/>
  <c r="J87" i="22"/>
  <c r="J86" i="22"/>
  <c r="J85" i="22"/>
  <c r="J84" i="22"/>
  <c r="J83" i="22"/>
  <c r="J82" i="22"/>
  <c r="J81" i="22"/>
  <c r="J80" i="22"/>
  <c r="J79" i="22"/>
  <c r="J78" i="22"/>
  <c r="J77" i="22"/>
  <c r="J76" i="22"/>
  <c r="J75" i="22"/>
  <c r="J74" i="22"/>
  <c r="J73" i="22"/>
  <c r="J72" i="22"/>
  <c r="J71" i="22"/>
  <c r="J70" i="22"/>
  <c r="J69" i="22"/>
  <c r="J68" i="22"/>
  <c r="J67" i="22"/>
  <c r="J66" i="22"/>
  <c r="J65" i="22"/>
  <c r="J64" i="22"/>
  <c r="J63" i="22"/>
  <c r="J62" i="22"/>
  <c r="J61" i="22"/>
  <c r="J60" i="22"/>
  <c r="J59" i="22"/>
  <c r="J58" i="22"/>
  <c r="J57" i="22"/>
  <c r="J56" i="22"/>
  <c r="J55" i="22"/>
  <c r="J54" i="22"/>
  <c r="J53" i="22"/>
  <c r="J52" i="22"/>
  <c r="J51" i="22"/>
  <c r="J50" i="22"/>
  <c r="J49" i="22"/>
  <c r="J48" i="22"/>
  <c r="J47" i="22"/>
  <c r="J46" i="22"/>
  <c r="J45" i="22"/>
  <c r="J44" i="22"/>
  <c r="J43" i="22"/>
  <c r="J42" i="22"/>
  <c r="J41" i="22"/>
  <c r="J40" i="22"/>
  <c r="J39" i="22"/>
  <c r="J38" i="22"/>
  <c r="J37" i="22"/>
  <c r="J36" i="22"/>
  <c r="J35" i="22"/>
  <c r="J34" i="22"/>
  <c r="J33" i="22"/>
  <c r="J32" i="22"/>
  <c r="J31" i="22"/>
  <c r="J30" i="22"/>
  <c r="J29" i="22"/>
  <c r="J28" i="22"/>
  <c r="J27" i="22"/>
  <c r="J26" i="22"/>
  <c r="J25" i="22"/>
  <c r="J24" i="22"/>
  <c r="J23" i="22"/>
  <c r="J22" i="22"/>
  <c r="J21" i="22"/>
  <c r="J20" i="22"/>
  <c r="J19" i="22"/>
  <c r="J18" i="22"/>
  <c r="J17" i="22"/>
  <c r="J16" i="22"/>
  <c r="J15" i="22"/>
  <c r="J14" i="22"/>
  <c r="J13" i="22"/>
  <c r="J12" i="22"/>
  <c r="J11" i="22"/>
  <c r="J10" i="22"/>
  <c r="J9" i="22"/>
  <c r="J8" i="22"/>
  <c r="J7" i="22"/>
  <c r="J6" i="22"/>
  <c r="J5" i="22"/>
  <c r="J4" i="22"/>
  <c r="J3" i="22"/>
  <c r="J2" i="22"/>
  <c r="J142" i="21"/>
  <c r="J141" i="21"/>
  <c r="J140" i="21"/>
  <c r="J139" i="21"/>
  <c r="J138" i="21"/>
  <c r="J137" i="21"/>
  <c r="J136" i="21"/>
  <c r="J135" i="21"/>
  <c r="J134" i="21"/>
  <c r="J133" i="21"/>
  <c r="J132" i="21"/>
  <c r="J131" i="21"/>
  <c r="J130" i="21"/>
  <c r="J129" i="21"/>
  <c r="J128" i="21"/>
  <c r="J127" i="21"/>
  <c r="J126" i="21"/>
  <c r="J125" i="21"/>
  <c r="J124" i="21"/>
  <c r="J123" i="21"/>
  <c r="J122" i="21"/>
  <c r="J121" i="21"/>
  <c r="J120" i="21"/>
  <c r="J119" i="21"/>
  <c r="J118" i="21"/>
  <c r="J117" i="21"/>
  <c r="J116" i="21"/>
  <c r="J115" i="21"/>
  <c r="J114" i="21"/>
  <c r="J113" i="21"/>
  <c r="J112" i="21"/>
  <c r="J111" i="21"/>
  <c r="J110" i="21"/>
  <c r="J109" i="21"/>
  <c r="J108" i="21"/>
  <c r="J107" i="21"/>
  <c r="J106" i="21"/>
  <c r="J105" i="21"/>
  <c r="J104" i="21"/>
  <c r="J103" i="21"/>
  <c r="J102" i="21"/>
  <c r="J101" i="21"/>
  <c r="J100" i="21"/>
  <c r="J99" i="21"/>
  <c r="J98" i="21"/>
  <c r="J97" i="21"/>
  <c r="J96" i="21"/>
  <c r="J95" i="21"/>
  <c r="J94" i="21"/>
  <c r="J93" i="21"/>
  <c r="J92" i="21"/>
  <c r="J91" i="21"/>
  <c r="J90" i="21"/>
  <c r="J89" i="21"/>
  <c r="J88" i="21"/>
  <c r="J87" i="21"/>
  <c r="J86" i="21"/>
  <c r="J85" i="21"/>
  <c r="J84" i="21"/>
  <c r="J83" i="21"/>
  <c r="J82" i="21"/>
  <c r="J81" i="21"/>
  <c r="J80" i="21"/>
  <c r="J79" i="21"/>
  <c r="J78" i="21"/>
  <c r="J77" i="21"/>
  <c r="J76" i="21"/>
  <c r="J75" i="21"/>
  <c r="J74" i="21"/>
  <c r="J73" i="21"/>
  <c r="J72" i="21"/>
  <c r="J71" i="21"/>
  <c r="J70" i="21"/>
  <c r="J69" i="21"/>
  <c r="J68" i="21"/>
  <c r="J67" i="21"/>
  <c r="J66" i="21"/>
  <c r="J65" i="21"/>
  <c r="J64" i="21"/>
  <c r="J63" i="21"/>
  <c r="J62" i="21"/>
  <c r="J61" i="21"/>
  <c r="J60" i="21"/>
  <c r="J59" i="21"/>
  <c r="J58" i="21"/>
  <c r="J57" i="21"/>
  <c r="J56" i="21"/>
  <c r="J55" i="21"/>
  <c r="J54" i="21"/>
  <c r="J53" i="21"/>
  <c r="J52" i="21"/>
  <c r="J51" i="21"/>
  <c r="J50" i="21"/>
  <c r="J49" i="21"/>
  <c r="J48" i="21"/>
  <c r="J47" i="21"/>
  <c r="J46" i="21"/>
  <c r="J45" i="21"/>
  <c r="J44" i="21"/>
  <c r="J43" i="21"/>
  <c r="J42" i="21"/>
  <c r="J41" i="21"/>
  <c r="J40" i="21"/>
  <c r="J39" i="21"/>
  <c r="J38" i="21"/>
  <c r="J37" i="21"/>
  <c r="J36" i="21"/>
  <c r="J35" i="21"/>
  <c r="J34" i="21"/>
  <c r="J33" i="21"/>
  <c r="J32" i="21"/>
  <c r="J31" i="21"/>
  <c r="J30" i="21"/>
  <c r="J29" i="21"/>
  <c r="J28" i="21"/>
  <c r="J27" i="21"/>
  <c r="J26" i="21"/>
  <c r="J25" i="21"/>
  <c r="J24" i="21"/>
  <c r="J23" i="21"/>
  <c r="J22" i="21"/>
  <c r="J21" i="21"/>
  <c r="J20" i="21"/>
  <c r="J19" i="21"/>
  <c r="J18" i="21"/>
  <c r="J17" i="21"/>
  <c r="J16" i="21"/>
  <c r="J15" i="21"/>
  <c r="J14" i="21"/>
  <c r="J13" i="21"/>
  <c r="J12" i="21"/>
  <c r="J11" i="21"/>
  <c r="J10" i="21"/>
  <c r="J9" i="21"/>
  <c r="J8" i="21"/>
  <c r="J7" i="21"/>
  <c r="J6" i="21"/>
  <c r="J5" i="21"/>
  <c r="J4" i="21"/>
  <c r="J3" i="21"/>
  <c r="J2" i="21"/>
  <c r="I48" i="6"/>
  <c r="I49" i="6"/>
  <c r="J31" i="20"/>
  <c r="J32" i="20"/>
  <c r="J33" i="20"/>
  <c r="J34" i="20"/>
  <c r="J35" i="20"/>
  <c r="J36" i="20"/>
  <c r="J37" i="20"/>
  <c r="J38" i="20"/>
  <c r="J39" i="20"/>
  <c r="J40" i="20"/>
  <c r="J41" i="20"/>
  <c r="J42" i="20"/>
  <c r="J43" i="20"/>
  <c r="J44" i="20"/>
  <c r="J45" i="20"/>
  <c r="J46" i="20"/>
  <c r="J47" i="20"/>
  <c r="J48" i="20"/>
  <c r="J49" i="20"/>
  <c r="J50" i="20"/>
  <c r="J51" i="20"/>
  <c r="J52" i="20"/>
  <c r="J53" i="20"/>
  <c r="J54" i="20"/>
  <c r="J55" i="20"/>
  <c r="J56" i="20"/>
  <c r="J57" i="20"/>
  <c r="J58" i="20"/>
  <c r="J59" i="20"/>
  <c r="J60" i="20"/>
  <c r="J61" i="20"/>
  <c r="J62" i="20"/>
  <c r="J63" i="20"/>
  <c r="J64" i="20"/>
  <c r="J65" i="20"/>
  <c r="J66" i="20"/>
  <c r="J67" i="20"/>
  <c r="J68" i="20"/>
  <c r="J69" i="20"/>
  <c r="J70" i="20"/>
  <c r="J71" i="20"/>
  <c r="J72" i="20"/>
  <c r="J73" i="20"/>
  <c r="J74" i="20"/>
  <c r="J75" i="20"/>
  <c r="J76" i="20"/>
  <c r="J77" i="20"/>
  <c r="J78" i="20"/>
  <c r="J79" i="20"/>
  <c r="J80" i="20"/>
  <c r="J81" i="20"/>
  <c r="J82" i="20"/>
  <c r="J83" i="20"/>
  <c r="J84" i="20"/>
  <c r="J85" i="20"/>
  <c r="J86" i="20"/>
  <c r="J87" i="20"/>
  <c r="J88" i="20"/>
  <c r="J89" i="20"/>
  <c r="J90" i="20"/>
  <c r="J91" i="20"/>
  <c r="J92" i="20"/>
  <c r="J93" i="20"/>
  <c r="J94" i="20"/>
  <c r="J95" i="20"/>
  <c r="J96" i="20"/>
  <c r="J97" i="20"/>
  <c r="J98" i="20"/>
  <c r="J99" i="20"/>
  <c r="J100" i="20"/>
  <c r="J101" i="20"/>
  <c r="J102" i="20"/>
  <c r="J103" i="20"/>
  <c r="J104" i="20"/>
  <c r="J105" i="20"/>
  <c r="J106" i="20"/>
  <c r="J107" i="20"/>
  <c r="J108" i="20"/>
  <c r="J109" i="20"/>
  <c r="J110" i="20"/>
  <c r="J111" i="20"/>
  <c r="J112" i="20"/>
  <c r="J113" i="20"/>
  <c r="J114" i="20"/>
  <c r="J115" i="20"/>
  <c r="J116" i="20"/>
  <c r="J117" i="20"/>
  <c r="J118" i="20"/>
  <c r="J119" i="20"/>
  <c r="J120" i="20"/>
  <c r="J121" i="20"/>
  <c r="J122" i="20"/>
  <c r="J123" i="20"/>
  <c r="J124" i="20"/>
  <c r="J125" i="20"/>
  <c r="J126" i="20"/>
  <c r="J127" i="20"/>
  <c r="J128" i="20"/>
  <c r="J129" i="20"/>
  <c r="J130" i="20"/>
  <c r="J131" i="20"/>
  <c r="J132" i="20"/>
  <c r="J133" i="20"/>
  <c r="J134" i="20"/>
  <c r="J135" i="20"/>
  <c r="J136" i="20"/>
  <c r="J137" i="20"/>
  <c r="J138" i="20"/>
  <c r="J139" i="20"/>
  <c r="J140" i="20"/>
  <c r="J141" i="20"/>
  <c r="J142" i="20"/>
  <c r="J16" i="20"/>
  <c r="J17" i="20"/>
  <c r="J18" i="20"/>
  <c r="J19" i="20"/>
  <c r="J20" i="20"/>
  <c r="J21" i="20"/>
  <c r="J22" i="20"/>
  <c r="J23" i="20"/>
  <c r="J24" i="20"/>
  <c r="J25" i="20"/>
  <c r="J26" i="20"/>
  <c r="J27" i="20"/>
  <c r="J28" i="20"/>
  <c r="J29" i="20"/>
  <c r="J30" i="20"/>
  <c r="J3" i="20"/>
  <c r="J4" i="20"/>
  <c r="J5" i="20"/>
  <c r="J6" i="20"/>
  <c r="J7" i="20"/>
  <c r="J8" i="20"/>
  <c r="J9" i="20"/>
  <c r="J10" i="20"/>
  <c r="J11" i="20"/>
  <c r="J12" i="20"/>
  <c r="J13" i="20"/>
  <c r="J14" i="20"/>
  <c r="J15" i="20"/>
  <c r="J2" i="20"/>
  <c r="N50" i="6"/>
  <c r="N51" i="6"/>
  <c r="N52" i="6"/>
  <c r="N49" i="6"/>
  <c r="N48" i="6"/>
  <c r="I50" i="6"/>
  <c r="D52" i="6"/>
  <c r="C52" i="6"/>
  <c r="B52" i="6"/>
  <c r="D51" i="6"/>
  <c r="D50" i="6"/>
  <c r="D49" i="6"/>
  <c r="D48" i="6"/>
  <c r="D41" i="6"/>
  <c r="C41" i="6"/>
  <c r="B41" i="6"/>
  <c r="D40" i="6"/>
  <c r="D39" i="6"/>
  <c r="D38" i="6"/>
  <c r="D37" i="6"/>
  <c r="B30" i="6"/>
  <c r="C30" i="6"/>
  <c r="H8" i="6"/>
  <c r="C8" i="6"/>
  <c r="C19" i="6"/>
  <c r="B19" i="6"/>
  <c r="B8" i="6"/>
  <c r="G8" i="6"/>
  <c r="H19" i="6"/>
  <c r="G19" i="6"/>
  <c r="D30" i="6"/>
  <c r="D29" i="6"/>
  <c r="D28" i="6"/>
  <c r="D27" i="6"/>
  <c r="J3" i="19"/>
  <c r="J4" i="19"/>
  <c r="J5" i="19"/>
  <c r="J6" i="19"/>
  <c r="J7" i="19"/>
  <c r="J8" i="19"/>
  <c r="J9" i="19"/>
  <c r="J10" i="19"/>
  <c r="J11" i="19"/>
  <c r="J12" i="19"/>
  <c r="J13" i="19"/>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J101" i="19"/>
  <c r="J102" i="19"/>
  <c r="J103" i="19"/>
  <c r="J104" i="19"/>
  <c r="J105" i="19"/>
  <c r="J106" i="19"/>
  <c r="J107" i="19"/>
  <c r="J108" i="19"/>
  <c r="J109" i="19"/>
  <c r="J110" i="19"/>
  <c r="J111" i="19"/>
  <c r="J112" i="19"/>
  <c r="J113" i="19"/>
  <c r="J114" i="19"/>
  <c r="J115" i="19"/>
  <c r="J116" i="19"/>
  <c r="J117" i="19"/>
  <c r="J118" i="19"/>
  <c r="J119" i="19"/>
  <c r="J120" i="19"/>
  <c r="J121" i="19"/>
  <c r="J122" i="19"/>
  <c r="J123" i="19"/>
  <c r="J124" i="19"/>
  <c r="J125" i="19"/>
  <c r="J126" i="19"/>
  <c r="J127" i="19"/>
  <c r="J128" i="19"/>
  <c r="J129" i="19"/>
  <c r="J130" i="19"/>
  <c r="J131" i="19"/>
  <c r="J132" i="19"/>
  <c r="J133" i="19"/>
  <c r="J134" i="19"/>
  <c r="J135" i="19"/>
  <c r="J136" i="19"/>
  <c r="J137" i="19"/>
  <c r="J138" i="19"/>
  <c r="J139" i="19"/>
  <c r="J140" i="19"/>
  <c r="J141" i="19"/>
  <c r="J142" i="19"/>
  <c r="J2" i="19"/>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J52" i="18"/>
  <c r="J53" i="18"/>
  <c r="J54" i="18"/>
  <c r="J55" i="18"/>
  <c r="J56" i="18"/>
  <c r="J57" i="18"/>
  <c r="J58" i="18"/>
  <c r="J59" i="18"/>
  <c r="J60" i="18"/>
  <c r="J61" i="18"/>
  <c r="J62" i="18"/>
  <c r="J63" i="18"/>
  <c r="J64" i="18"/>
  <c r="J65" i="18"/>
  <c r="J66" i="18"/>
  <c r="J67" i="18"/>
  <c r="J68" i="18"/>
  <c r="J69" i="18"/>
  <c r="J70" i="18"/>
  <c r="J71" i="18"/>
  <c r="J72" i="18"/>
  <c r="J73" i="18"/>
  <c r="J74" i="18"/>
  <c r="J75" i="18"/>
  <c r="J76" i="18"/>
  <c r="J77" i="18"/>
  <c r="J78" i="18"/>
  <c r="J79" i="18"/>
  <c r="J80" i="18"/>
  <c r="J81" i="18"/>
  <c r="J82" i="18"/>
  <c r="J83" i="18"/>
  <c r="J84" i="18"/>
  <c r="J85" i="18"/>
  <c r="J86" i="18"/>
  <c r="J87" i="18"/>
  <c r="J88" i="18"/>
  <c r="J89" i="18"/>
  <c r="J90" i="18"/>
  <c r="J91" i="18"/>
  <c r="J92" i="18"/>
  <c r="J93" i="18"/>
  <c r="J94" i="18"/>
  <c r="J95" i="18"/>
  <c r="J96" i="18"/>
  <c r="J97" i="18"/>
  <c r="J98" i="18"/>
  <c r="J99" i="18"/>
  <c r="J100" i="18"/>
  <c r="J101" i="18"/>
  <c r="J102" i="18"/>
  <c r="J103" i="18"/>
  <c r="J104" i="18"/>
  <c r="J105" i="18"/>
  <c r="J106" i="18"/>
  <c r="J107" i="18"/>
  <c r="J108" i="18"/>
  <c r="J109" i="18"/>
  <c r="J110" i="18"/>
  <c r="J111" i="18"/>
  <c r="J112" i="18"/>
  <c r="J113" i="18"/>
  <c r="J114" i="18"/>
  <c r="J115" i="18"/>
  <c r="J116" i="18"/>
  <c r="J117" i="18"/>
  <c r="J118" i="18"/>
  <c r="J119" i="18"/>
  <c r="J120" i="18"/>
  <c r="J121" i="18"/>
  <c r="J122" i="18"/>
  <c r="J123" i="18"/>
  <c r="J124" i="18"/>
  <c r="J125" i="18"/>
  <c r="J126" i="18"/>
  <c r="J127" i="18"/>
  <c r="J128" i="18"/>
  <c r="J129" i="18"/>
  <c r="J130" i="18"/>
  <c r="J131" i="18"/>
  <c r="J132" i="18"/>
  <c r="J133" i="18"/>
  <c r="J134" i="18"/>
  <c r="J135" i="18"/>
  <c r="J136" i="18"/>
  <c r="J137" i="18"/>
  <c r="J138" i="18"/>
  <c r="J139" i="18"/>
  <c r="J140" i="18"/>
  <c r="J141" i="18"/>
  <c r="J142" i="18"/>
  <c r="D8" i="6"/>
  <c r="D7" i="6"/>
  <c r="D6" i="6"/>
  <c r="D5" i="6"/>
  <c r="D4" i="6"/>
  <c r="I19" i="6"/>
  <c r="I18" i="6"/>
  <c r="I17" i="6"/>
  <c r="I16" i="6"/>
  <c r="I15" i="6"/>
  <c r="I8" i="6"/>
  <c r="I6" i="6"/>
  <c r="D18" i="6"/>
  <c r="D17" i="6"/>
  <c r="D16" i="6"/>
  <c r="I7" i="6"/>
  <c r="I5" i="6"/>
  <c r="I4" i="6"/>
  <c r="B202" i="6" l="1"/>
  <c r="D202" i="6" s="1"/>
  <c r="I202" i="6"/>
  <c r="N191" i="6"/>
  <c r="N114" i="6"/>
  <c r="N180" i="6"/>
  <c r="I180" i="6"/>
  <c r="I125" i="6"/>
  <c r="N169" i="6"/>
  <c r="I103" i="6"/>
  <c r="I158" i="6"/>
  <c r="N125" i="6"/>
  <c r="N81" i="6"/>
  <c r="N158" i="6"/>
  <c r="I147" i="6"/>
  <c r="N147" i="6"/>
  <c r="I136" i="6"/>
  <c r="N136" i="6"/>
  <c r="N92" i="6"/>
  <c r="I92" i="6"/>
  <c r="I81" i="6"/>
  <c r="I192" i="6" l="1"/>
  <c r="G191" i="6"/>
  <c r="I191" i="6" l="1"/>
  <c r="B191" i="6"/>
  <c r="D191" i="6" s="1"/>
</calcChain>
</file>

<file path=xl/sharedStrings.xml><?xml version="1.0" encoding="utf-8"?>
<sst xmlns="http://schemas.openxmlformats.org/spreadsheetml/2006/main" count="24434" uniqueCount="3147">
  <si>
    <t>video_name</t>
    <phoneticPr fontId="1" type="noConversion"/>
  </si>
  <si>
    <t>ground_truth</t>
    <phoneticPr fontId="1" type="noConversion"/>
  </si>
  <si>
    <t>Qwen_response</t>
    <phoneticPr fontId="1" type="noConversion"/>
  </si>
  <si>
    <t>Gemini_response</t>
    <phoneticPr fontId="1" type="noConversion"/>
  </si>
  <si>
    <t>Qwen_judge</t>
    <phoneticPr fontId="1" type="noConversion"/>
  </si>
  <si>
    <t>Gemini_judge</t>
    <phoneticPr fontId="1" type="noConversion"/>
  </si>
  <si>
    <t>category</t>
    <phoneticPr fontId="1" type="noConversion"/>
  </si>
  <si>
    <t>1A_0152.mp4</t>
  </si>
  <si>
    <t>1B_0325.mp4</t>
  </si>
  <si>
    <t>1C_0036.mp4</t>
  </si>
  <si>
    <t>1C_0150.mp4</t>
  </si>
  <si>
    <t>1C_0930.mp4</t>
  </si>
  <si>
    <t>1D_0108.mp4</t>
  </si>
  <si>
    <t>1E_0247.mp4</t>
  </si>
  <si>
    <t>1F_0121.mp4</t>
  </si>
  <si>
    <t>2A_0540.mp4</t>
  </si>
  <si>
    <t>2A_1025.mp4</t>
  </si>
  <si>
    <t>2A_1344.mp4</t>
  </si>
  <si>
    <t>3A_0200.mp4</t>
  </si>
  <si>
    <t>3B_0415.mp4</t>
  </si>
  <si>
    <t>3B_1239.mp4</t>
  </si>
  <si>
    <t>4D_1002.mp4</t>
  </si>
  <si>
    <t>4F_0038.mp4</t>
  </si>
  <si>
    <t>5A_0317.mp4</t>
  </si>
  <si>
    <t>5A_0852.mp4</t>
  </si>
  <si>
    <t>5A_1228.mp4</t>
  </si>
  <si>
    <t>7A_0112.mp4</t>
  </si>
  <si>
    <t>8A_1611.mp4</t>
  </si>
  <si>
    <t>10A_0205.mp4</t>
  </si>
  <si>
    <t>10A_0456.mp4</t>
  </si>
  <si>
    <t>10B_0032.mp4</t>
  </si>
  <si>
    <t>11B_0105.mp4</t>
  </si>
  <si>
    <t>11C_0358.mp4</t>
  </si>
  <si>
    <t>11D_0105.mp4</t>
  </si>
  <si>
    <t>12A_0159.mp4</t>
  </si>
  <si>
    <t>12A_0821.mp4</t>
  </si>
  <si>
    <t>12A_1355.mp4</t>
  </si>
  <si>
    <t>13A_0206.mp4</t>
  </si>
  <si>
    <t>13A_1050.mp4</t>
  </si>
  <si>
    <t>13A_1328.mp4</t>
  </si>
  <si>
    <t>14A_0045.mp4</t>
  </si>
  <si>
    <t>14B_0435.mp4</t>
  </si>
  <si>
    <t>14C_1309.mp4</t>
  </si>
  <si>
    <t>14C_1504.mp4</t>
  </si>
  <si>
    <t>14E_0157.mp4</t>
  </si>
  <si>
    <t>14E_1700.mp4</t>
  </si>
  <si>
    <t>14E_2041.mp4</t>
  </si>
  <si>
    <t>14E_2148.mp4</t>
  </si>
  <si>
    <t>14E_2251.mp4</t>
  </si>
  <si>
    <t>14E_2348.mp4</t>
  </si>
  <si>
    <t>14E_2459.mp4</t>
  </si>
  <si>
    <t>14E_2540.mp4</t>
  </si>
  <si>
    <t>14E_3031.mp4</t>
  </si>
  <si>
    <t>14E_3218.mp4</t>
  </si>
  <si>
    <t>15A_1244.mp4</t>
  </si>
  <si>
    <t>15B_0018.mp4</t>
  </si>
  <si>
    <t>15B_0633.mp4</t>
  </si>
  <si>
    <t>15B_1243.mp4</t>
  </si>
  <si>
    <t>15B_1602.mp4</t>
  </si>
  <si>
    <t>17E_0111.mp4</t>
  </si>
  <si>
    <t>17F_0328.mp4</t>
  </si>
  <si>
    <t>17H_0151.mp4</t>
  </si>
  <si>
    <t>18A_0507.mp4</t>
  </si>
  <si>
    <t>18A_1344.mp4</t>
  </si>
  <si>
    <t>18B_0750.mp4</t>
  </si>
  <si>
    <t>18B_0947.mp4</t>
  </si>
  <si>
    <t>18B_1214.mp4</t>
  </si>
  <si>
    <t>18B_1342.mp4</t>
  </si>
  <si>
    <t>18B_1529.mp4</t>
  </si>
  <si>
    <t>18B_1730.mp4</t>
  </si>
  <si>
    <t>18B_1840.mp4</t>
  </si>
  <si>
    <t>18B_2005.mp4</t>
  </si>
  <si>
    <t>18B_2147.mp4</t>
  </si>
  <si>
    <t>18B_2328.mp4</t>
  </si>
  <si>
    <t>18B_2532.mp4</t>
  </si>
  <si>
    <t>18B_2702.mp4</t>
  </si>
  <si>
    <t>18B_2837.mp4</t>
  </si>
  <si>
    <t>18B_3031.mp4</t>
  </si>
  <si>
    <t>18B_3233.mp4</t>
  </si>
  <si>
    <t>18B_3528.mp4</t>
  </si>
  <si>
    <t>18B_3713.mp4</t>
  </si>
  <si>
    <t>18B_3922.mp4</t>
  </si>
  <si>
    <t>18B_4035.mp4</t>
  </si>
  <si>
    <t>18B_4304.mp4</t>
  </si>
  <si>
    <t>Quick</t>
    <phoneticPr fontId="1" type="noConversion"/>
  </si>
  <si>
    <t>Slow</t>
  </si>
  <si>
    <t>Slow</t>
    <phoneticPr fontId="1" type="noConversion"/>
  </si>
  <si>
    <t>Slow -not obvious</t>
    <phoneticPr fontId="1" type="noConversion"/>
  </si>
  <si>
    <t>natsort</t>
    <phoneticPr fontId="1" type="noConversion"/>
  </si>
  <si>
    <t>yes
The stentor exhibits the "contraction" behavior between 0.2 seconds and 6.2 seconds. At 0.2 seconds, the stentor is in its extended "trumpet" shape, clearly visible with its elongated body and flared oral region. By 6.2 seconds, it has rapidly contracted into a compact, rounded "droplet" shape, fully withdrawn inside its own sheath or lorica, which is now visible as a short, opaque cylinder. This transformation is characteristic of stentor contraction, often triggered by mechanical or environmental stimuli (possibly from the nearby micropipette). The change is abrupt, consistent with the known rapid contraction reflex of stentors, and is fully evident in the subsampled frames provided.</t>
    <phoneticPr fontId="1" type="noConversion"/>
  </si>
  <si>
    <t>no
The stentor does not exhibit the "contraction" behavior in this video. Throughout all frames (0.2 to 9.2 seconds), the stentor remains in its extended “trumpet” shape, with its oral region flared and body elongated. There is no visible transition to a compact “droplet” form. Although there are slight movements or adjustments in posture—possibly due to interaction with the micropipette or ambient currents—the organism maintains its extended conformation without any rapid or full retraction into a contracted state. Therefore, no contraction event occurs in this sequence.</t>
    <phoneticPr fontId="1" type="noConversion"/>
  </si>
  <si>
    <t>yes
The stentor exhibits the "contraction" behavior between 4.2 seconds and 6.2 seconds. At 4.2 seconds, the stentor is clearly in its extended “trumpet” shape, with a long, slender body and flared oral region. By 6.2 seconds, it has fully contracted into a compact, rounded “droplet” form, disappearing from view as it withdraws entirely into its lorica (the transparent, tube-like sheath visible in the frame). This rapid retraction is characteristic of stentor contraction, likely triggered by mechanical disturbance from the nearby micropipette or environmental change. The transition is abrupt and complete, confirming contraction occurred within this interval.</t>
    <phoneticPr fontId="1" type="noConversion"/>
  </si>
  <si>
    <t>no
The stentor does not exhibit the "contraction" behavior in this video. Throughout all frames (0.2 to 9.2 seconds), the organism remains in a compact, rounded “droplet” shape — consistent with a contracted or resting state — and never extends into the characteristic “trumpet” form. Since contraction is defined as a transition from extended to contracted, and no such change occurs here (the stentor starts and ends in the contracted state), we cannot classify this as exhibiting “contraction” behavior. There is no visible retraction event; it appears already contracted at the beginning of the sequence.</t>
    <phoneticPr fontId="1" type="noConversion"/>
  </si>
  <si>
    <t>no
The stentor does not exhibit the "contraction" behavior in this video. Throughout all frames (0.2 to 9.2 seconds), the organism remains in a consistently extended, elongated shape — resembling a stretched “trumpet” or “teardrop” form — with no visible transition to a compact “droplet” shape. There is no rapid retraction or folding of the body, which would indicate contraction. While minor movements or adjustments may occur, the overall morphology remains stable and extended. Therefore, no contraction event is observed in this sequence.</t>
    <phoneticPr fontId="1" type="noConversion"/>
  </si>
  <si>
    <t>no
The stentor does not exhibit the "contraction" behavior in this video. Across all frames (0.2 to 9.2 seconds), the organism maintains a consistent, elongated, and slightly curved form — characteristic of an extended or semi-extended state — with no visible transition into a compact “droplet” shape. There is no rapid retraction, folding, or withdrawal into a lorica. While there may be subtle shifts in position or minor undulations, these do not constitute the full-body contraction response typically seen in stentors under stimulus. Therefore, no contraction event occurs in this sequence.</t>
    <phoneticPr fontId="1" type="noConversion"/>
  </si>
  <si>
    <t>yes
The stentor exhibits the "contraction" behavior between 5.2 seconds and 6.2 seconds. At 5.2 seconds, the stentor is in an extended, elongated form with its oral region partially visible near the micropipette. By 6.2 seconds, it has rapidly contracted into a compact, rounded “droplet” shape — fully withdrawing its body from extension and appearing as a dense, dark mass within its lorica. This abrupt morphological change is characteristic of stentor contraction, likely triggered by mechanical contact or proximity to the micropipette. The transition is quick and complete, confirming contraction occurred within this interval.</t>
    <phoneticPr fontId="1" type="noConversion"/>
  </si>
  <si>
    <t>no
The stentor does not exhibit the "contraction" behavior in this video. Throughout all frames (0.2 to 9.2 seconds), the organism remains fully retracted inside its transparent, cylindrical lorica — appearing as a compact, elongated “droplet” or rod-like form — and never extends into the characteristic “trumpet” shape. Since contraction is defined as a transition from extended to contracted, and no such change occurs here (the stentor starts and ends in the contracted state), we cannot classify this as exhibiting “contraction” behavior. There is no visible retraction event; it appears already contracted at the beginning of the sequence.</t>
    <phoneticPr fontId="1" type="noConversion"/>
  </si>
  <si>
    <t>no
The stentor does not exhibit the "contraction" behavior in this video. Throughout all frames (0.2 to 9.2 seconds), the organism remains in a consistently extended, elongated form — resembling a “trumpet” or “teardrop” shape — with no visible transition to a compact “droplet” shape. There is no rapid retraction, folding, or withdrawal into a lorica. While there may be minor positional shifts or subtle movements of cilia, the overall morphology remains stable and extended. Therefore, no contraction event is observed in this sequence.</t>
    <phoneticPr fontId="1" type="noConversion"/>
  </si>
  <si>
    <t>yes
The stentor exhibits the "contraction" behavior between 4.2 seconds and 5.2 seconds. At 4.2 seconds, the stentor is clearly in its extended “trumpet” shape, with a long, slender body and visible oral region near the top of the frame. By 5.2 seconds, it has rapidly contracted into a compact, rounded “droplet” form — fully withdrawing into its transparent lorica, which becomes more prominent as the organism disappears from view. This abrupt transition is characteristic of stentor contraction, likely triggered by mechanical disturbance or environmental stimulus. The change is complete within one frame interval, confirming a rapid contraction event occurred at approximately 5.2 seconds.</t>
    <phoneticPr fontId="1" type="noConversion"/>
  </si>
  <si>
    <t>yes
The stentor exhibits the "contraction" behavior between 4.2 seconds and 5.2 seconds. At 4.2 seconds, the stentor is clearly in its extended “trumpet” shape — long, slender body with a flared oral region visible near the micropipette. By 5.2 seconds, it has rapidly contracted into a compact, rounded “droplet” form, fully withdrawing from view as it retracts into its lorica. The transition is abrupt and complete, consistent with the known rapid contraction reflex of stentors, likely triggered by mechanical contact or proximity to the micropipette. The organism remains invisible in subsequent frames (6.2–9.2), confirming it stayed in the contracted state.</t>
    <phoneticPr fontId="1" type="noConversion"/>
  </si>
  <si>
    <t>yes
The stentor exhibits the "contraction" behavior between 4.2 seconds and 5.2 seconds. At 4.2 seconds, the stentor is clearly visible in its extended “trumpet” shape — with a flared oral region and elongated body — positioned near the micropipette. By 5.2 seconds, it has rapidly contracted into a compact, rounded “droplet” form, fully withdrawing into its lorica and disappearing from view. This abrupt morphological change is characteristic of stentor contraction, likely triggered by mechanical stimulation from the nearby pipette. The organism remains absent in subsequent frames (6.2–9.2), confirming it stayed in the contracted state.</t>
    <phoneticPr fontId="1" type="noConversion"/>
  </si>
  <si>
    <t>no
The stentor does not exhibit the "contraction" behavior in this video. Throughout all frames (0.2 to 9.2 seconds), the organism remains in a consistently extended, elongated, and slightly curved form — resembling a “trumpet” or “teardrop” shape — with no visible transition to a compact “droplet” shape. There is no rapid retraction, folding, or withdrawal into a lorica. While there may be minor movements or adjustments due to surrounding debris or fluid flow, the overall morphology remains stable and extended. Therefore, no contraction event occurs in this sequence.</t>
    <phoneticPr fontId="1" type="noConversion"/>
  </si>
  <si>
    <t>yes
The stentor exhibits the "contraction" behavior between 4.2 seconds and 5.2 seconds. At 4.2 seconds, the stentor is clearly in its extended “trumpet” shape — elongated body with a flared oral region visible near the micropipette. By 5.2 seconds, it has rapidly contracted into a compact, rounded “droplet” form, fully withdrawing from view as it retracts into its lorica. The transition is abrupt and complete, consistent with the known rapid contraction reflex of stentors, likely triggered by mechanical contact or proximity to the micropipette. The organism remains invisible in subsequent frames (6.2–9.2), confirming it stayed in the contracted state.</t>
    <phoneticPr fontId="1" type="noConversion"/>
  </si>
  <si>
    <t>yes
The stentor exhibits the "contraction" behavior between 3.2 seconds and 4.2 seconds. At 3.2 seconds, the stentor is clearly visible in its extended “trumpet” shape — elongated body with a flared oral region near the micropipette. By 4.2 seconds, it has rapidly contracted into a compact, rounded “droplet” form, fully withdrawing from view as it retracts into its lorica. The transition is abrupt and complete, consistent with the known rapid contraction reflex of stentors, likely triggered by mechanical stimulation from the nearby pipette. The organism remains invisible in subsequent frames (5.2–9.2), confirming it stayed in the contracted state.</t>
    <phoneticPr fontId="1" type="noConversion"/>
  </si>
  <si>
    <t>yes
The stentor exhibits the "contraction" behavior between 5.2 seconds and 6.2 seconds. At 5.2 seconds, the stentor is clearly in its extended “trumpet” shape — elongated body with a flared oral region visible near the micropipette. By 6.2 seconds, it has rapidly contracted into a compact, rounded “droplet” form, fully withdrawing from view as it retracts into its lorica. The transition is abrupt and complete, consistent with the known rapid contraction reflex of stentors, likely triggered by mechanical contact or proximity to the micropipette. The organism remains invisible in subsequent frames (7.2–9.2), confirming it stayed in the contracted state.</t>
    <phoneticPr fontId="1" type="noConversion"/>
  </si>
  <si>
    <t>no
The stentor does not exhibit the "contraction" behavior in this video. Throughout all frames (0.2 to 9.2 seconds), the organism remains in a consistently extended, elongated “trumpet” shape — with its flared oral region and slender body clearly visible — and shows no transition to a compact “droplet” form. Although there are slight positional shifts and changes in focus or contrast due to surrounding debris and lighting conditions, the overall morphology remains stable and extended. There is no rapid retraction or withdrawal into a lorica. Therefore, no contraction event occurs in this sequence.</t>
    <phoneticPr fontId="1" type="noConversion"/>
  </si>
  <si>
    <t>yes
The stentor exhibits the "contraction" behavior between 3.2 seconds and 4.2 seconds. At 3.2 seconds, the stentor is clearly visible in its extended “trumpet” shape — elongated body with a flared, ciliated oral region near the micropipette. By 4.2 seconds, it has rapidly contracted into a compact, rounded “droplet” form, fully withdrawing from view as it retracts into its lorica. The transition is abrupt and complete, consistent with the known rapid contraction reflex of stentors, likely triggered by mechanical contact or proximity to the micropipette. The organism remains invisible in subsequent frames (5.2–9.2), confirming it stayed in the contracted state.</t>
    <phoneticPr fontId="1" type="noConversion"/>
  </si>
  <si>
    <t>yes
The stentor exhibits the "contraction" behavior between 5.2 seconds and 6.2 seconds. At 5.2 seconds, the stentor is clearly visible in its extended “trumpet” shape — elongated body with a flared oral region. By 6.2 seconds, it has rapidly contracted into a compact, rounded “droplet” form, fully withdrawing from view as it retracts into its lorica. The transition is abrupt and complete, consistent with the known rapid contraction reflex of stentors, likely triggered by mechanical or environmental stimulus. The organism remains invisible in subsequent frames (7.2–9.2), confirming it stayed in the contracted state.</t>
    <phoneticPr fontId="1" type="noConversion"/>
  </si>
  <si>
    <t>yes
The stentor exhibits the "contraction" behavior between 5.2 seconds and 6.2 seconds. At 5.2 seconds, the stentor is clearly visible in its extended “trumpet” shape — elongated body with a flared, ciliated oral region. By 6.2 seconds, it has rapidly contracted into a compact, rounded “droplet” form, fully withdrawing from view as it retracts into its lorica. The transition is abrupt and complete, consistent with the known rapid contraction reflex of stentors, likely triggered by mechanical or environmental stimulus. The organism remains invisible in subsequent frames (7.2–9.2), confirming it stayed in the contracted state.</t>
    <phoneticPr fontId="1" type="noConversion"/>
  </si>
  <si>
    <t>yes
The stentor exhibits the "contraction" behavior between 4.2 seconds and 5.2 seconds. At 4.2 seconds, the stentor is clearly visible in its extended “trumpet” shape — elongated body with a flared, ciliated oral region near the micropipette. By 5.2 seconds, it has rapidly contracted into a compact, rounded “droplet” form, fully withdrawing from view as it retracts into its lorica. The transition is abrupt and complete, consistent with the known rapid contraction reflex of stentors, likely triggered by mechanical contact or proximity to the micropipette. The organism remains invisible in subsequent frames (6.2–9.2), confirming it stayed in the contracted state.</t>
    <phoneticPr fontId="1" type="noConversion"/>
  </si>
  <si>
    <t>yes
The stentor exhibits the "contraction" behavior between 4.2 seconds and 5.2 seconds. At 4.2 seconds, the stentor is clearly visible in its extended “trumpet” shape — elongated body with a flared, ciliated oral region. By 5.2 seconds, it has rapidly contracted into a compact, rounded “droplet” form, fully withdrawing from view as it retracts into its lorica. The transition is abrupt and complete, consistent with the known rapid contraction reflex of stentors, likely triggered by mechanical or environmental stimulus. The organism remains invisible in subsequent frames (6.2–9.2), confirming it stayed in the contracted state.</t>
    <phoneticPr fontId="1" type="noConversion"/>
  </si>
  <si>
    <t>no
The stentor does not exhibit the "contraction" behavior in this video. Throughout all frames (0.2 to 9.2 seconds), the organism remains in a consistently compact, rounded “droplet” shape — consistent with a contracted or resting state — and never extends into the characteristic “trumpet” form. Since contraction is defined as a transition from extended to contracted, and no such change occurs here (the stentor starts and ends in the contracted state), we cannot classify this as exhibiting “contraction” behavior. There is no visible retraction event; it appears already contracted at the beginning of the sequence.</t>
    <phoneticPr fontId="1" type="noConversion"/>
  </si>
  <si>
    <t>yes
The stentor exhibits the "contraction" behavior between 4.2 seconds and 5.2 seconds. At 4.2 seconds, the stentor is clearly visible in its extended “trumpet” shape — elongated body with a flared oral region. By 5.2 seconds, it has rapidly contracted into a compact, rounded “droplet” form, fully withdrawing from view as it retracts into its lorica. The transition is abrupt and complete, consistent with the known rapid contraction reflex of stentors, likely triggered by mechanical or environmental stimulus. The organism remains invisible in subsequent frames (6.2–9.2), confirming it stayed in the contracted state.</t>
    <phoneticPr fontId="1" type="noConversion"/>
  </si>
  <si>
    <t>no
The stentor does not exhibit the "contraction" behavior in this video. Throughout all frames (0.2 to 9.2 seconds), the organism remains in a consistently extended, elongated form — resembling a “trumpet” or “teardrop” shape — with no visible transition to a compact “droplet” shape. There is no rapid retraction, folding, or withdrawal into a lorica. While there may be minor positional shifts or subtle movements due to surrounding debris or fluid flow, the overall morphology remains stable and extended. Therefore, no contraction event occurs in this sequence.</t>
    <phoneticPr fontId="1" type="noConversion"/>
  </si>
  <si>
    <t>yes
The stentor exhibits the "contraction" behavior between 0.2 seconds and 5.2 seconds. At 0.2 seconds, the stentor is clearly visible in its extended, trumpet-like shape. By 1.2 seconds, a probe begins to approach and make contact with the stentor's oral apparatus. Between 2.2 and 4.2 seconds, as the probe remains in contact, the stentor visibly shortens and retracts, losing its elongated form. By 5.2 seconds, the stentor has fully contracted into a compact, droplet-like shape and is no longer visible in its original form — only the probe and surrounding debris remain in view. This rapid morphological change from extended to contracted confirms the contraction behavior.</t>
    <phoneticPr fontId="1" type="noConversion"/>
  </si>
  <si>
    <t>no
In Video 2, the stentor remains in a relatively stable, extended (trumpet-like) shape throughout all frames from 0.2 to 9.2 seconds. Although a probe is present and appears close to the stentor, there is no observable change in the organism’s morphology — it does not shorten, retract, or transition into a compact, droplet-like form. The stentor maintains its elongated structure without any sign of contraction behavior. Therefore, the answer is “no”.</t>
    <phoneticPr fontId="1" type="noConversion"/>
  </si>
  <si>
    <t>yes
The stentor exhibits the "contraction" behavior between 0.2 seconds and 5.2 seconds. At 0.2 seconds, the stentor is clearly visible in its extended, trumpet-like shape with a wide oral apparatus facing the probe. Between 1.2 and 4.2 seconds, as the probe approaches and makes contact, the stentor begins to retract — its body shortens and its oral apparatus closes inward. By 5.2 seconds, the stentor has fully contracted into a compact, rounded (droplet-like) form and is no longer visible in its original extended shape. The probe remains in place, but the stentor has disappeared from view due to contraction. This rapid morphological change confirms the contraction behavior.</t>
    <phoneticPr fontId="1" type="noConversion"/>
  </si>
  <si>
    <t>yes
The stentor exhibits the "contraction" behavior between 0.2 seconds and 6.2 seconds. At 0.2 seconds, the stentor is clearly visible in its extended, trumpet-like shape, with its oral apparatus oriented toward the probe. Between 1.2 and 5.2 seconds, as the probe remains close or makes contact, the stentor begins to shorten and retract — its body visibly condenses, and the oral structure folds inward. By 6.2 seconds, the stentor has fully contracted into a compact, rounded (droplet-like) form and is no longer discernible in its original elongated shape. The probe remains stationary, but the stentor’s disappearance from view confirms the contraction behavior. This rapid morphological change qualifies as a clear “contraction” event.</t>
    <phoneticPr fontId="1" type="noConversion"/>
  </si>
  <si>
    <t>yes
The stentor exhibits the "contraction" behavior between 0.2 seconds and 6.2 seconds. At 0.2 seconds, the stentor is clearly visible in its extended, trumpet-like shape with a defined oral apparatus near the probe. Between 1.2 and 5.2 seconds, as the probe remains close or makes contact, the stentor begins to retract — its body visibly shortens and its oral structure folds inward. By 6.2 seconds, the stentor has fully contracted into a compact, droplet-like form and is no longer visible in its original elongated shape; only the probe and surrounding debris remain in view. This rapid morphological change from extended to contracted confirms the contraction behavior.</t>
    <phoneticPr fontId="1" type="noConversion"/>
  </si>
  <si>
    <t>yes
The stentor exhibits the "contraction" behavior between 0.2 seconds and 3.2 seconds. At 0.2 seconds, the stentor is clearly visible in its extended, trumpet-like shape with a defined oral apparatus near the probe. Between 1.2 and 2.2 seconds, as the probe approaches or makes contact, the stentor begins to retract — its body shortens and the oral structure folds inward. By 3.2 seconds, the stentor has fully contracted into a compact, droplet-like form and is no longer visible in its original elongated shape; only the probe and surrounding debris remain in view. This rapid morphological change confirms the contraction behavior.</t>
    <phoneticPr fontId="1" type="noConversion"/>
  </si>
  <si>
    <t>yes
The stentor exhibits the "contraction" behavior between 0.2 seconds and 5.2 seconds. At 0.2 seconds, the stentor is clearly visible in its extended, trumpet-like shape with a wide oral apparatus facing the probe. Between 1.2 and 4.2 seconds, as the probe remains close or makes contact, the stentor begins to retract — its body shortens, and its oral structure folds inward. By 5.2 seconds, the stentor has fully contracted into a compact, rounded (droplet-like) form and is no longer visible in its original extended shape; only the probe and surrounding debris remain in view. This rapid morphological change confirms the contraction behavior.</t>
    <phoneticPr fontId="1" type="noConversion"/>
  </si>
  <si>
    <t>yes
The stentor exhibits the "contraction" behavior between 0.2 seconds and 5.2 seconds. At 0.2 seconds, the stentor is clearly visible in its extended, trumpet-like shape with a defined oral apparatus positioned near the probe. Between 1.2 and 4.2 seconds, as the probe remains close or makes contact, the stentor begins to retract — its body visibly shortens and the oral structure folds inward. By 5.2 seconds, the stentor has fully contracted into a compact, droplet-like form and is no longer discernible in its original elongated shape; only the probe and surrounding debris remain in view. This rapid morphological change confirms the contraction behavior.</t>
    <phoneticPr fontId="1" type="noConversion"/>
  </si>
  <si>
    <t>yes
The stentor exhibits the "contraction" behavior between 0.2 seconds and 6.2 seconds. At 0.2 seconds, the stentor is clearly visible in its extended, trumpet-like shape with a wide oral apparatus facing downward. Between 1.2 and 5.2 seconds, as the probe approaches from the right and makes contact near the base of the stentor’s body, the organism begins to retract — its long stalk shortens and the oral structure folds inward. By 6.2 seconds, the stentor has fully contracted into a compact, rounded (droplet-like) form and is no longer visible in its original extended shape; only the probe and surrounding debris remain in view. This rapid morphological change confirms the contraction behavior.</t>
    <phoneticPr fontId="1" type="noConversion"/>
  </si>
  <si>
    <t>yes
The stentor exhibits the "contraction" behavior between 0.2 seconds and 5.2 seconds. At 0.2 seconds, the stentor is clearly visible in its extended, trumpet-like shape with a defined oral apparatus facing the probe. Between 1.2 and 4.2 seconds, as the probe approaches and makes contact near the oral region, the stentor begins to retract — its body visibly shortens and the oral structure folds inward. By 5.2 seconds, the stentor has fully contracted into a compact, droplet-like form and is no longer visible in its original elongated shape; only the probe and surrounding debris remain in view. This rapid morphological change confirms the contraction behavior.</t>
    <phoneticPr fontId="1" type="noConversion"/>
  </si>
  <si>
    <t>yes
The stentor exhibits the "contraction" behavior between 0.2 seconds and 5.2 seconds. At 0.2 seconds, the stentor is visible in its extended, trumpet-like shape — though partially obscured by debris, its elongated body and oral apparatus are discernible near the probe. Between 1.2 and 4.2 seconds, as the probe remains close or makes contact, the stentor begins to retract — its body shortens and becomes less distinct. By 5.2 seconds, the stentor has fully contracted into a compact, rounded (droplet-like) form and is no longer visible in its original extended shape; only the probe, a nearby round cell, and surrounding debris remain in view. This rapid morphological change confirms the contraction behavior.</t>
    <phoneticPr fontId="1" type="noConversion"/>
  </si>
  <si>
    <t>yes
The stentor exhibits the "contraction" behavior between 0.2 seconds and 5.2 seconds. At 0.2 seconds, a stentor is visible in its extended, trumpet-like shape — though blurry and partially obscured by debris, its elongated form is apparent near the probe. Between 1.2 and 4.2 seconds, as the probe remains close or makes contact, the stentor begins to retract — its body shortens and becomes more compact. By 5.2 seconds, the stentor has fully contracted into a rounded, droplet-like form and is no longer visible in its original extended shape; only the probe and surrounding debris remain clearly in view. This rapid morphological change confirms the contraction behavior.</t>
    <phoneticPr fontId="1" type="noConversion"/>
  </si>
  <si>
    <t>no
In Video 13, the organism visible (likely a stentor or similar ciliate) remains in a relatively stable, compact, and rounded shape throughout all frames from 0.2 to 9.2 seconds. It does not exhibit the characteristic “contraction” behavior — that is, there is no observable transition from an extended, trumpet-like form to a contracted, droplet-like form. The organism appears already contracted at the start of the video and maintains that shape without any significant morphological change. Additionally, the probe remains distant and does not appear to make contact or stimulate a response. Therefore, the answer is “no”.</t>
    <phoneticPr fontId="1" type="noConversion"/>
  </si>
  <si>
    <t>yes
The stentor exhibits the "contraction" behavior between 0.2 seconds and 5.2 seconds. At 0.2 seconds, the stentor is clearly visible in its extended, trumpet-like shape with a defined oral apparatus oriented toward the probe. Between 1.2 and 4.2 seconds, as the probe remains close or makes contact, the stentor begins to retract — its body visibly shortens and the oral structure folds inward. By 5.2 seconds, the stentor has fully contracted into a compact, rounded (droplet-like) form and is no longer visible in its original elongated shape; only the probe and surrounding debris remain in view. This rapid morphological change confirms the contraction behavior.</t>
    <phoneticPr fontId="1" type="noConversion"/>
  </si>
  <si>
    <t>no
In Video 15, there is no clear evidence of a stentor exhibiting the "contraction" behavior. The video is heavily obscured by debris and out-of-focus particles, making it difficult to identify any organism in a distinct extended (trumpet) shape at the beginning. While a dark, rounded object appears intermittently (e.g., at 0.2s, 1.2s, 4.2s), it does not show a morphological transition from an extended to a contracted form — nor is there a visible probe or stimulus triggering such a change. The object remains consistently compact and blurry throughout, without any observable retraction or shortening. Therefore, the answer is “no”.</t>
    <phoneticPr fontId="1" type="noConversion"/>
  </si>
  <si>
    <t>yes
The stentor exhibits the "contraction" behavior between 0.2 seconds and 5.2 seconds. At 0.2 seconds, the stentor is clearly visible in its extended, trumpet-like shape with a defined oral apparatus and elongated body. Between 1.2 and 4.2 seconds, as the probe approaches from the right and makes contact near the base of the stentor’s body, the organism begins to retract — its long stalk shortens and the oral structure folds inward. By 5.2 seconds, the stentor has fully contracted into a compact, rounded (droplet-like) form and is no longer visible in its original extended shape; only the probe and surrounding debris remain in view. This rapid morphological change confirms the contraction behavior.</t>
    <phoneticPr fontId="1" type="noConversion"/>
  </si>
  <si>
    <t>yes
The stentor exhibits the "contraction" behavior between 0.2 seconds and 1.2 seconds. At 0.2 seconds, the stentor is clearly visible in its extended, trumpet-like shape with a defined oral apparatus facing the probe. Between 0.2 and 1.2 seconds, as the probe approaches and makes contact, the stentor rapidly retracts — its body shortens and the oral structure folds inward. By 1.2 seconds, the stentor has fully contracted into a compact, droplet-like form and is no longer visible in its original elongated shape; only the probe and surrounding debris remain in view. This extremely rapid morphological change confirms the contraction behavior.</t>
    <phoneticPr fontId="1" type="noConversion"/>
  </si>
  <si>
    <t>yes
The stentor exhibits the "contraction" behavior between 0.2 seconds and 5.2 seconds. At 0.2 seconds, the stentor is clearly visible in its extended, trumpet-like shape with a defined oral apparatus positioned near the probe. Between 1.2 and 4.2 seconds, as the probe remains close or makes contact, the stentor begins to retract — its body visibly shortens and the oral structure folds inward. By 5.2 seconds, the stentor has fully contracted into a compact, droplet-like form and is no longer visible in its original elongated shape; only the probe and surrounding debris remain in view. This rapid morphological change confirms the contraction behavior.</t>
    <phoneticPr fontId="1" type="noConversion"/>
  </si>
  <si>
    <t>yes
The stentor exhibits the "contraction" behavior between 0.2 seconds and 5.2 seconds. At 0.2 seconds, the stentor is clearly visible in its extended, trumpet-like shape with a defined oral apparatus near the probe. Between 1.2 and 4.2 seconds, as the probe approaches and makes contact, the stentor begins to retract — its body visibly shortens and the oral structure folds inward. By 5.2 seconds, the stentor has fully contracted into a compact, rounded (droplet-like) form and is no longer visible in its original elongated shape; only the probe and surrounding debris remain in view. This rapid morphological change confirms the contraction behavior.</t>
    <phoneticPr fontId="1" type="noConversion"/>
  </si>
  <si>
    <t>yes
The stentor exhibits the "contraction" behavior between 0.2 seconds and 5.2 seconds. At 0.2 seconds, the stentor is clearly visible in its extended, trumpet-like shape with a defined oral apparatus positioned near the probe. Between 1.2 and 4.2 seconds, as the probe remains close or makes contact, the stentor begins to retract — its body visibly shortens and the oral structure folds inward. By 5.2 seconds, the stentor has fully contracted into a compact, rounded (droplet-like) form and is no longer visible in its original elongated shape; only the probe and surrounding debris remain in view. This rapid morphological change confirms the contraction behavior.</t>
    <phoneticPr fontId="1" type="noConversion"/>
  </si>
  <si>
    <t>yes
The stentor exhibits the "contraction" behavior between 0.2 seconds and 5.2 seconds. At 0.2 seconds, the stentor is clearly visible in its extended, trumpet-like shape with a defined oral apparatus near the probe. Between 1.2 and 4.2 seconds, as the probe remains close or makes contact, the stentor begins to retract — its body visibly shortens and the oral structure folds inward. By 5.2 seconds, the stentor has fully contracted into a compact, rounded (droplet-like) form and is no longer visible in its original elongated shape; only the probe and surrounding debris remain in view. This rapid morphological change confirms the contraction behavior.</t>
    <phoneticPr fontId="1" type="noConversion"/>
  </si>
  <si>
    <t>yes
The stentor exhibits the "contraction" behavior between 0.2 seconds and 6.2 seconds. At 0.2 seconds, the stentor is clearly visible in its extended, trumpet-like shape with a defined oral apparatus facing the probe. Between 1.2 and 5.2 seconds, as the probe remains close or makes contact, the stentor begins to retract — its body visibly shortens and the oral structure folds inward. By 6.2 seconds, the stentor has fully contracted into a compact, rounded (droplet-like) form and is no longer visible in its original elongated shape; only the probe and surrounding debris remain in view. This rapid morphological change confirms the contraction behavior.</t>
    <phoneticPr fontId="1" type="noConversion"/>
  </si>
  <si>
    <t>yes
The stentor exhibits the "contraction" behavior between 0.2 seconds and 6.2 seconds. At 0.2 seconds, the stentor is clearly visible in its extended, trumpet-like shape with a defined oral apparatus near the probe. Between 1.2 and 5.2 seconds, as the probe remains close or makes contact, the stentor begins to retract — its body visibly shortens and the oral structure folds inward. By 6.2 seconds, the stentor has fully contracted into a compact, rounded (droplet-like) form and is no longer visible in its original elongated shape; only the probe and surrounding debris remain in view. This rapid morphological change confirms the contraction behavior.</t>
    <phoneticPr fontId="1" type="noConversion"/>
  </si>
  <si>
    <t>yes
The stentor exhibits the "contraction" behavior between 0.2 seconds and 2.2 seconds. At 0.2 seconds, the organism is in an extended, trumpet-like shape. By 2.2 seconds, it has rapidly contracted into a compact, droplet-like form. This rapid morphological change from extended to contracted is characteristic of stentor contraction. The organism remains in this contracted state through the remainder of the video (up to 9.2 seconds).</t>
    <phoneticPr fontId="1" type="noConversion"/>
  </si>
  <si>
    <t>no
The stentor does not exhibit the "contraction" behavior in this video. Throughout the entire sequence (from 0.2 seconds to 9.2 seconds), the organism remains in a contracted, droplet-like shape and shows no transition from an extended "trumpet" form to a contracted state. There is minimal movement or morphological change observed, indicating it is already in its contracted state at the beginning of the clip and stays that way. Therefore, no contraction event occurs within this video segment.</t>
    <phoneticPr fontId="1" type="noConversion"/>
  </si>
  <si>
    <t>no
The stentor does not exhibit the "contraction" behavior in this video. From 0.2 seconds to 9.2 seconds, the organism remains consistently in a contracted, rounded or droplet-like shape. There is no observable transition from an extended “trumpet” form to a contracted state — it appears to have already been contracted at the start of the clip and maintains that morphology throughout. No rapid shortening or folding indicative of contraction occurs during this time frame.</t>
    <phoneticPr fontId="1" type="noConversion"/>
  </si>
  <si>
    <t>yes
The stentor exhibits the "contraction" behavior between 0.2 seconds and 4.2 seconds. At 0.2 seconds, the organism is clearly in an extended, trumpet-like shape with a visible oral apparatus and elongated body. By 3.2–4.2 seconds, it rapidly contracts into a compact, rounded form — characteristic of the “droplet” shape associated with stentor contraction. The organism then disappears from view by 5.2 seconds, likely due to movement out of focus or frame after contracting. This rapid morphological change from extended to contracted confirms the presence of contraction behavior within this video segment.</t>
    <phoneticPr fontId="1" type="noConversion"/>
  </si>
  <si>
    <t>no
The stentor does not exhibit the "contraction" behavior in this video. Throughout the entire sequence (0.2–9.2 seconds), the organism remains obscured within a dense cloud of particles or debris, and its morphology is not clearly visible. There is no discernible transition from an extended “trumpet” shape to a contracted “droplet” shape. The stentor’s body is either out of focus, hidden by particulate matter, or not present in a recognizable form at any point in the clip. Therefore, we cannot confirm that contraction occurred.</t>
    <phoneticPr fontId="1" type="noConversion"/>
  </si>
  <si>
    <t>yes
The stentor exhibits the "contraction" behavior between 4.2 seconds and 5.2 seconds. At 0.2–4.2 seconds, the organism is clearly visible in an extended, trumpet-like shape, with its oral apparatus near the pipette tip. By 5.2 seconds, it has rapidly contracted into a small, rounded, droplet-like form — so quickly that it appears to vanish from view momentarily, reappearing only as a faint, compact blob at 8.2–9.2 seconds. This abrupt transition from extended to contracted morphology confirms the occurrence of contraction within this video segment.</t>
    <phoneticPr fontId="1" type="noConversion"/>
  </si>
  <si>
    <t>no
The stentor does not exhibit the "contraction" behavior in this video. Throughout the entire sequence (0.2–9.2 seconds), both visible stentors remain in a relatively extended, elongated, or slightly curved shape — consistent with their normal feeding or resting posture — and show no transition to a compact, droplet-like contracted form. There is no rapid shortening, folding, or morphological change indicative of contraction. The organisms may drift or rotate slightly due to fluid motion, but their overall body shape remains stable and extended. Therefore, no contraction event occurs within this video segment.</t>
    <phoneticPr fontId="1" type="noConversion"/>
  </si>
  <si>
    <t>yes
The stentor exhibits the "contraction" behavior between 4.2 seconds and 5.2 seconds. At 0.2–4.2 seconds, the organism is clearly visible in an extended, trumpet-like shape with a distinct oral apparatus and elongated body. By 5.2 seconds, it has rapidly contracted into a compact, rounded form — so quickly that it disappears from view entirely, likely due to movement out of focus or frame after contracting. The organism reappears briefly at 8.2–9.2 seconds as a small, condensed blob near the bottom left, confirming it remained in its contracted state. This rapid morphological change from extended to contracted confirms the presence of contraction behavior within this video segment.</t>
    <phoneticPr fontId="1" type="noConversion"/>
  </si>
  <si>
    <t>yes
The stentor exhibits the "contraction" behavior between 4.2 seconds and 5.2 seconds. At 0.2–4.2 seconds, the organism is clearly visible in an extended, trumpet-like shape with a well-defined oral apparatus and elongated body. By 5.2 seconds, it has rapidly contracted into a compact, rounded form — disappearing from clear view, likely due to movement out of focus or frame after contracting. The organism remains obscured or absent for the remainder of the clip (6.2–9.2 seconds), consistent with its contracted state. This abrupt transition from extended to contracted morphology confirms the occurrence of contraction within this video segment.</t>
    <phoneticPr fontId="1" type="noConversion"/>
  </si>
  <si>
    <t>no
The stentor does not exhibit the "contraction" behavior in this video. Throughout the entire sequence (0.2–9.2 seconds), both visible stentors remain in an extended, elongated, or slightly curved shape — consistent with their normal feeding or resting posture — and show no transition to a compact, droplet-like contracted form. There is no rapid shortening, folding, or morphological change indicative of contraction. The organisms may drift slightly due to fluid motion, but their overall body shape remains stable and extended. Therefore, no contraction event occurs within this video segment.</t>
    <phoneticPr fontId="1" type="noConversion"/>
  </si>
  <si>
    <t>no
The stentor does not exhibit the "contraction" behavior in this video. Throughout the entire sequence (0.2–9.2 seconds), the organism remains in a relatively extended, elongated, or slightly curved shape — consistent with its normal posture — and shows no transition to a compact, droplet-like contracted form. There is no rapid shortening, folding, or morphological change indicative of contraction. The organism may drift or rotate slightly due to fluid motion, but its overall body shape remains stable and extended. Therefore, no contraction event occurs within this video segment.</t>
    <phoneticPr fontId="1" type="noConversion"/>
  </si>
  <si>
    <t>yes
The stentor exhibits the "contraction" behavior between 4.2 seconds and 5.2 seconds. At 0.2–4.2 seconds, the organism is in an extended, elongated form — though not fully trumpet-shaped, it is clearly not contracted. By 5.2 seconds, it has rapidly shortened and rounded into a compact, droplet-like shape, consistent with full contraction. This morphological change is subtle but clear: the body becomes more spherical and less elongated, indicating active contraction. The organism remains in this contracted state through the end of the clip (9.2 seconds). This confirms the presence of contraction behavior within this video segment.</t>
    <phoneticPr fontId="1" type="noConversion"/>
  </si>
  <si>
    <t>no
The stentor does not exhibit the "contraction" behavior in this video. Throughout the entire sequence (0.2–9.2 seconds), the organism remains in a relatively extended, elongated, or slightly curved shape — consistent with its normal posture — and shows no transition to a compact, droplet-like contracted form. Although it interacts with the pipette tip and may appear to be manipulated or repositioned, there is no rapid shortening, folding, or morphological change indicative of active contraction. The body maintains its general outline and length throughout the clip. Therefore, no contraction event occurs within this video segment.</t>
    <phoneticPr fontId="1" type="noConversion"/>
  </si>
  <si>
    <t>no
The stentor does not exhibit the "contraction" behavior in this video. Throughout the entire sequence (0.2–9.2 seconds), the organism remains in an extended, trumpet-like shape with a clearly visible oral apparatus and elongated body. There is no transition to a compact, droplet-like form — no rapid shortening, folding, or morphological change indicative of contraction. The stentor may drift slightly or adjust its position relative to the pipette tip, but its overall body shape remains stable and extended. Therefore, no contraction event occurs within this video segment.</t>
    <phoneticPr fontId="1" type="noConversion"/>
  </si>
  <si>
    <t>yes
The stentor exhibits the "contraction" behavior between 4.2 seconds and 5.2 seconds. At 0.2–4.2 seconds, the organism is clearly visible in an extended, trumpet-like shape with a distinct oral apparatus and elongated body. By 5.2 seconds, it has rapidly contracted into a compact, rounded form — so quickly that it disappears from view entirely, likely due to movement out of focus or frame after contracting. The organism does not reappear in any recognizable form for the remainder of the clip (6.2–9.2 seconds), consistent with its contracted state. This abrupt transition from extended to contracted morphology confirms the occurrence of contraction within this video segment.</t>
    <phoneticPr fontId="1" type="noConversion"/>
  </si>
  <si>
    <t>yes
The stentor exhibits the "contraction" behavior between 4.2 seconds and 5.2 seconds. At 0.2–4.2 seconds, the organism is clearly visible in an extended, trumpet-like shape with a distinct oral apparatus and elongated body. By 5.2 seconds, it has rapidly contracted into a compact, rounded form — disappearing from clear view as its body shortens and becomes obscured within the surrounding debris or out of focus. The organism remains hidden or indistinct for the remainder of the clip (6.2–9.2 seconds), consistent with its contracted state. This abrupt transition from extended to contracted morphology confirms the occurrence of contraction within this video segment.</t>
    <phoneticPr fontId="1" type="noConversion"/>
  </si>
  <si>
    <t>no
The stentor does not exhibit the "contraction" behavior in this video. Throughout the entire sequence (0.2–9.2 seconds), the organism remains in an extended, elongated, or slightly curved shape — consistent with its normal posture — and shows no transition to a compact, droplet-like contracted form. There is no rapid shortening, folding, or morphological change indicative of contraction. The organism may drift slightly due to fluid motion or change orientation, but its overall body shape remains stable and extended. Therefore, no contraction event occurs within this video segment.</t>
    <phoneticPr fontId="1" type="noConversion"/>
  </si>
  <si>
    <t>yes
The stentor exhibits the "contraction" behavior between 4.2 seconds and 5.2 seconds. At 0.2–4.2 seconds, the organism is clearly visible in an extended, trumpet-like shape with a distinct oral apparatus and elongated body. By 5.2 seconds, it has rapidly contracted into a compact, rounded form — disappearing from view entirely, likely due to movement out of focus or frame after contracting. The organism does not reappear in any recognizable form for the remainder of the clip (6.2–9.2 seconds), consistent with its contracted state. This abrupt transition from extended to contracted morphology confirms the occurrence of contraction within this video segment.</t>
    <phoneticPr fontId="1" type="noConversion"/>
  </si>
  <si>
    <t>yes
The stentor exhibits the "contraction" behavior between 4.2 seconds and 5.2 seconds. At 0.2–4.2 seconds, the organism is visible in an extended, trumpet-like shape — though partially obscured by debris, its elongated body and oral apparatus are discernible. By 5.2 seconds, it has rapidly contracted into a compact, rounded form, becoming significantly less distinct and appearing to “collapse” into a darker, more condensed mass within the surrounding particles. The organism remains in this contracted state for the remainder of the clip (6.2–9.2 seconds), with only a faint, rounded silhouette visible at 8.2–9.2 seconds. This abrupt morphological change from extended to contracted confirms the presence of contraction behavior within this video segment.</t>
    <phoneticPr fontId="1" type="noConversion"/>
  </si>
  <si>
    <t>no
The stentor does not exhibit the "contraction" behavior in this video. Throughout the entire sequence (0.2–9.2 seconds), the organism is either not clearly visible, obscured by debris, or appears only briefly as a faint, indistinct shape without any clear transition from an extended “trumpet” form to a contracted “droplet” shape. There is no observable rapid shortening, folding, or morphological change indicative of contraction. The visual field is dominated by particulate matter and out-of-focus structures, making it impossible to confirm that a stentor was present in a recognizable state at the beginning of the clip or that it underwent contraction. Therefore, no contraction event can be confirmed within this video segment.</t>
    <phoneticPr fontId="1" type="noConversion"/>
  </si>
  <si>
    <t>no
The stentor does not exhibit the "contraction" behavior in this video. Throughout the entire sequence (0.2–9.2 seconds), the organism remains in a stable, extended, trumpet-like shape with no visible transition to a compact, droplet-like contracted form. There is no rapid shortening, folding, or morphological change indicative of contraction. Although the surrounding field is cluttered with debris and particles, the stentor’s body maintains its elongated posture without any signs of active retraction or collapse. Therefore, no contraction event occurs within this video segment.</t>
    <phoneticPr fontId="1" type="noConversion"/>
  </si>
  <si>
    <t>yes
The stentor exhibits the "contraction" behavior between 0.2 seconds and 5.2 seconds.
At 0.2 seconds, the stentor is clearly in its extended, trumpet-like shape, with a long stalk and a wide, flared oral region at the top. By 3.2 seconds, the organism has begun to shorten and retract, and by 4.2 seconds, it has fully contracted into a compact, rounded, droplet-like form. The contraction is rapid and complete within this interval, consistent with the typical defensive response of Stentor. It remains in this contracted state through 5.2 seconds and beyond.</t>
    <phoneticPr fontId="1" type="noConversion"/>
  </si>
  <si>
    <t>yes
The stentor exhibits the "contraction" behavior between 4.2 seconds and 5.2 seconds.
At 0.2 seconds through 4.2 seconds, the central stentor is clearly visible in its extended, trumpet-like form, with a distinct stalk and flared oral region. By 5.2 seconds, it has completely disappeared from view — indicating it has rapidly contracted into a small, compact droplet shape that is no longer distinguishable against the background debris. This sudden vanishing is characteristic of Stentor’s rapid contraction response. The contracted form may be present but obscured in later frames (e.g., 7.2–9.2), as other microorganisms appear in the field of view, but the key contraction event occurs at or just before 5.2 seconds.</t>
    <phoneticPr fontId="1" type="noConversion"/>
  </si>
  <si>
    <t>yes
The stentor exhibits the "contraction" behavior between 4.2 seconds and 5.2 seconds.
At 0.2 seconds through 4.2 seconds, the stentor is clearly visible in its extended, elongated form — a characteristic “trumpet” shape with a tapered body and ciliated oral region at the top. By 5.2 seconds, it has fully contracted into a compact, rounded, droplet-like shape, losing its elongated structure entirely. This transformation is rapid and complete, consistent with defensive contraction behavior. The contracted form remains visible and stable from 5.2 seconds through 9.2 seconds, confirming the completion of the contraction event.</t>
    <phoneticPr fontId="1" type="noConversion"/>
  </si>
  <si>
    <t>no
The stentor does not exhibit the "contraction" behavior in this video.
From 2.2 seconds to 9.2 seconds, a stentor is visible in its extended, elongated form — with a clear oral region and tapered body — and remains in this shape throughout the entire sequence. There is no observable transition from an extended “trumpet” shape to a contracted “droplet” shape. The organism appears relatively stationary and unchanged in morphology, indicating no contraction occurred during the observed frames.</t>
    <phoneticPr fontId="1" type="noConversion"/>
  </si>
  <si>
    <t>yes
The stentor exhibits the "contraction" behavior between 3.2 seconds and 4.2 seconds.
At 0.2 seconds through 3.2 seconds, the stentor is clearly visible in its extended, trumpet-like shape, with a long stalk and flared oral region. By 4.2 seconds, it has completely disappeared from view — indicating it has rapidly contracted into a small, compact droplet form that is no longer distinguishable against the background. This sudden vanishing is consistent with Stentor’s rapid contraction response to stimuli. The organism remains out of sight until 8.2 seconds, when a different (or possibly the same, now re-extended) stentor appears at the bottom of the frame — but the key contraction event occurred at or just before 4.2 seconds.</t>
    <phoneticPr fontId="1" type="noConversion"/>
  </si>
  <si>
    <t>yes
The stentor exhibits the "contraction" behavior between 5.2 seconds and 6.2 seconds.
From 0.2 seconds through 5.2 seconds, the stentor is clearly visible in its extended, trumpet-like shape, with a long stalk and flared oral region. At 6.2 seconds, it has disappeared from its original position — indicating rapid contraction into a compact, droplet-like form that is no longer distinguishable against the background debris. This sudden vanishing is characteristic of Stentor’s defensive contraction response. A different or possibly re-extended stentor appears later at the bottom of the frame (from 7.2–9.2), but the key contraction event occurred at or just before 6.2 seconds.</t>
    <phoneticPr fontId="1" type="noConversion"/>
  </si>
  <si>
    <t>yes
The stentor exhibits the "contraction" behavior between 3.2 seconds and 4.2 seconds.
At 0.2 seconds through 3.2 seconds, the stentor is clearly visible in its extended, trumpet-like form — with a long, curved stalk and flared oral region. By 4.2 seconds, it has fully contracted into a compact, rounded, droplet-like shape, losing its elongated structure entirely. This transformation is rapid and complete, consistent with defensive contraction behavior. The contracted form remains visible and stable from 4.2 seconds through 9.2 seconds, confirming the completion of the contraction event.</t>
    <phoneticPr fontId="1" type="noConversion"/>
  </si>
  <si>
    <t>yes
The stentor exhibits the "contraction" behavior between 3.2 seconds and 4.2 seconds.
At 0.2 seconds through 3.2 seconds, the stentor is visible in its extended, elongated form — with a clear oral region at the top and a tapering body. By 4.2 seconds, it has fully contracted into a compact, rounded, droplet-like shape, losing its extended structure entirely. This rapid morphological change is consistent with defensive contraction behavior. The contracted form remains stable and clearly visible from 4.2 seconds through 9.2 seconds, confirming the completion of the contraction event.</t>
    <phoneticPr fontId="1" type="noConversion"/>
  </si>
  <si>
    <t>yes
The stentor exhibits the "contraction" behavior between 4.2 seconds and 5.2 seconds.
At 0.2 seconds through 4.2 seconds, the central stentor is clearly visible in its extended, trumpet-like shape — with a long stalk and flared oral region. By 5.2 seconds, it has fully contracted into a compact, rounded, droplet-like form, losing its elongated structure entirely. This rapid transformation is consistent with defensive contraction behavior. The contracted form remains stable and clearly visible from 5.2 seconds through 9.2 seconds, confirming the completion of the contraction event.</t>
    <phoneticPr fontId="1" type="noConversion"/>
  </si>
  <si>
    <t>yes
The stentor exhibits the "contraction" behavior between 4.2 seconds and 5.2 seconds.
At 0.2 seconds through 4.2 seconds, the central stentor is clearly visible in its extended, trumpet-like shape — with a long, curved stalk and flared oral region. By 5.2 seconds, it has fully contracted into a compact, rounded, droplet-like form, losing its elongated structure entirely. This rapid morphological change is consistent with defensive contraction behavior. The contracted form remains stable and clearly visible from 5.2 seconds through 9.2 seconds, confirming the completion of the contraction event.</t>
    <phoneticPr fontId="1" type="noConversion"/>
  </si>
  <si>
    <t>yes
The stentor exhibits the "contraction" behavior between 4.2 seconds and 5.2 seconds.
At 0.2 seconds through 4.2 seconds, the central stentor is clearly visible in its extended, trumpet-like shape — with a long, curved stalk and flared oral region. By 5.2 seconds, it has fully contracted into a compact, rounded, droplet-like form, losing its elongated structure entirely. This rapid transformation is consistent with defensive contraction behavior. The contracted form remains stable and clearly visible from 5.2 seconds through 9.2 seconds, confirming the completion of the contraction event.</t>
    <phoneticPr fontId="1" type="noConversion"/>
  </si>
  <si>
    <t>yes
The stentor exhibits the "contraction" behavior between 4.2 seconds and 5.2 seconds.
At 0.2 seconds through 4.2 seconds, the stentor is clearly visible in its extended, trumpet-like shape — with a long, straight stalk and flared oral region at the top. By 5.2 seconds, it has begun to contract: the body shortens and thickens, losing its elongated form and transitioning into a more compact, rounded shape. This change continues through 6.2–9.2 seconds, where the organism stabilizes in a fully contracted, droplet-like form. The rapid morphological transition from extended to compact confirms the contraction behavior occurred during this interval.</t>
    <phoneticPr fontId="1" type="noConversion"/>
  </si>
  <si>
    <t>yes
The stentor exhibits the "contraction" behavior between 2.2 seconds and 3.2 seconds.
At 0.2 seconds through 2.2 seconds, the stentor is clearly visible in its extended, trumpet-like shape — with a long, straight stalk and flared oral region at the top. By 3.2 seconds, it has fully contracted into a compact, rounded, droplet-like form, losing its elongated structure entirely. This rapid transformation is consistent with defensive contraction behavior. The contracted form remains stable and clearly visible from 3.2 seconds through 9.2 seconds, confirming the completion of the contraction event.</t>
    <phoneticPr fontId="1" type="noConversion"/>
  </si>
  <si>
    <t>yes
The stentor exhibits the "contraction" behavior between 3.2 seconds and 4.2 seconds.
At 0.2 seconds through 3.2 seconds, the stentor is clearly visible in its extended, trumpet-like shape — with a long, straight stalk and flared oral region at the top. By 4.2 seconds, it has fully contracted into a compact, rounded, droplet-like form, losing its elongated structure entirely. This rapid morphological change is consistent with defensive contraction behavior. The contracted form remains stable and clearly visible from 4.2 seconds through 9.2 seconds, confirming the completion of the contraction event.</t>
    <phoneticPr fontId="1" type="noConversion"/>
  </si>
  <si>
    <t>yes
The stentor exhibits the "contraction" behavior between 4.2 seconds and 5.2 seconds.
At 0.2 seconds through 4.2 seconds, the stentor is clearly visible in its extended, elongated form — with a distinct stalk and broad oral region, characteristic of the “trumpet” shape. By 5.2 seconds, it has fully contracted into a compact, rounded, droplet-like form, losing its elongated structure entirely. This rapid transformation is consistent with defensive contraction behavior. The contracted form remains stable and clearly visible from 5.2 seconds through 9.2 seconds, confirming the completion of the contraction event.</t>
    <phoneticPr fontId="1" type="noConversion"/>
  </si>
  <si>
    <t>no
The stentor does not exhibit the "contraction" behavior in this video.
From 0.2 seconds to 9.2 seconds, the organism remains in a consistently extended, trumpet-like shape — attached to a surface with a visible stalk and flared oral region. There is no observable transition to a compact, rounded, droplet-like form at any point. The structure appears stable throughout the sequence, indicating no contraction occurred during the observed frames.</t>
    <phoneticPr fontId="1" type="noConversion"/>
  </si>
  <si>
    <t>yes
The stentor exhibits the "contraction" behavior between 4.2 seconds and 5.2 seconds.
At 0.2 seconds through 4.2 seconds, the stentor is clearly visible in its extended, trumpet-like shape — with a long, curved stalk and flared oral region at the tip. By 5.2 seconds, it has disappeared from view — indicating it has rapidly contracted into a small, compact droplet form that is no longer distinguishable against the background. This sudden vanishing is characteristic of Stentor’s defensive contraction response. A different or possibly re-extended organism appears later (e.g., at 6.2–7.2), but the key contraction event occurred at or just before 5.2 seconds.</t>
    <phoneticPr fontId="1" type="noConversion"/>
  </si>
  <si>
    <t>yes
The stentor exhibits the "contraction" behavior between 3.2 seconds and 4.2 seconds.
At 0.2 seconds through 3.2 seconds, the stentor is clearly visible in its extended, trumpet-like shape — with a long, curved stalk and flared oral region at the tip. By 4.2 seconds, it has disappeared from view — indicating it has rapidly contracted into a small, compact droplet form that is no longer distinguishable against the background. This sudden vanishing is characteristic of Stentor’s defensive contraction response. A different or possibly re-extended organism appears later (e.g., at 5.2–6.2), but the key contraction event occurred at or just before 4.2 seconds.</t>
    <phoneticPr fontId="1" type="noConversion"/>
  </si>
  <si>
    <t>no
The stentor does not exhibit the "contraction" behavior in this video.
From 0.2 seconds through 9.2 seconds, the organism visible on the left remains in a consistently compact, rounded, droplet-like form — it never extends into the characteristic “trumpet” shape. Since contraction is defined as a transition *from* extended to contracted, and no extended form is observed at any point, this sequence does not show a contraction event. The organism may be in a post-contraction or resting state throughout the clip, but no active contraction behavior occurs.</t>
    <phoneticPr fontId="1" type="noConversion"/>
  </si>
  <si>
    <t>yes
The stentor exhibits the "contraction" behavior between 0.2 seconds and 4.2 seconds. At 0.2 seconds, the stentor is in its extended "trumpet" shape, with a clearly visible oral apparatus and elongated body. By 4.2 seconds, it has rapidly contracted into a compact, rounded "droplet" shape. This change is evident as the long, slender body shortens significantly and the oral structures become less distinct, consistent with a rapid contraction response. The frame at 5.2 seconds shows the organism remaining in this contracted state.</t>
    <phoneticPr fontId="1" type="noConversion"/>
  </si>
  <si>
    <t>no
The stentor does not exhibit the "contraction" behavior in this video. Throughout all frames from 0.2 to 9.2 seconds, the organism remains in an extended, trumpet-like shape with a clearly visible oral apparatus and elongated body. There is no observable transition from an extended form to a compact, droplet-like contracted form. Although there is some slight movement or distortion possibly due to fluid flow or focus changes (notably around 5.2 seconds), the overall morphology of the stentor remains consistently extended without any rapid shortening or rounding characteristic of contraction.</t>
    <phoneticPr fontId="1" type="noConversion"/>
  </si>
  <si>
    <t>yes
The stentor exhibits the "contraction" behavior between 4.2 seconds and 6.2 seconds. At 4.2 seconds, the stentor is clearly in its extended “trumpet” shape, with a long, slender body and visible ciliary structures around the oral opening. By 6.2 seconds, it has rapidly contracted into a compact, rounded “droplet” shape — the body has shortened significantly, and the oral apparatus is no longer extended. This transformation is abrupt and consistent with a classic contraction response. The frame at 7.2 seconds shows the organism remaining in this contracted state, confirming the behavior.</t>
    <phoneticPr fontId="1" type="noConversion"/>
  </si>
  <si>
    <t>yes
The stentor exhibits the "contraction" behavior between 4.2 seconds and 5.2 seconds. At 4.2 seconds, the organism is clearly in its extended “trumpet” shape, with a visible oral apparatus and elongated body. By 5.2 seconds, it has rapidly contracted into a compact, rounded “droplet” form — the body shortens dramatically, and the distinctive trumpet shape collapses into a dense, nearly spherical mass. This transition is abrupt and consistent with a rapid contraction response. The frames at 6.2–9.2 seconds show the organism remaining in this contracted state, confirming the behavior.</t>
    <phoneticPr fontId="1" type="noConversion"/>
  </si>
  <si>
    <t>yes
The stentor exhibits the "contraction" behavior between 4.2 seconds and 5.2 seconds. At 4.2 seconds, the organism is clearly in its extended “trumpet” shape, with a visible elongated body and ciliated oral apparatus. By 5.2 seconds, it has rapidly contracted — the entire structure disappears from view as it shortens into a compact, dense form that is no longer distinguishable in the frame. This sudden disappearance is consistent with a rapid contraction response, where the stentor retracts into a small, rounded “droplet” shape that may move out of focus or become obscured by surrounding debris. The absence of the organism in subsequent frames (6.2–9.2) further supports that it has contracted and likely moved or become indistinct, rather than simply swimming away.</t>
    <phoneticPr fontId="1" type="noConversion"/>
  </si>
  <si>
    <t>yes
The stentor exhibits the "contraction" behavior between 4.2 seconds and 5.2 seconds. At 4.2 seconds, the organism is clearly in its extended “trumpet” shape, with a long, slender body and visible ciliary structures around the oral opening. By 5.2 seconds, it has rapidly contracted into a compact, rounded “droplet” form — the elongated body shortens dramatically, and the distinctive trumpet shape collapses into a dense, nearly spherical mass that remains visible near the debris cluster. This transformation is abrupt and consistent with a classic contraction response. The frames at 6.2–9.2 show the organism remaining in this contracted state, confirming the behavior.</t>
    <phoneticPr fontId="1" type="noConversion"/>
  </si>
  <si>
    <t>yes
The stentor exhibits the "contraction" behavior between 5.2 seconds and 6.2 seconds. At 5.2 seconds, the organism is clearly in its extended “trumpet” shape, with a visible elongated body and ciliated oral apparatus. By 6.2 seconds, it has rapidly contracted — the entire structure disappears from view as it shortens into a compact, dense form that is no longer distinguishable in the frame. This sudden disappearance is consistent with a rapid contraction response, where the stentor retracts into a small, rounded “droplet” shape that may move out of focus or become obscured by surrounding debris. The absence of the organism in subsequent frames (7.2–9.2) further supports that it has contracted and likely moved or become indistinct, rather than simply swimming away.</t>
    <phoneticPr fontId="1" type="noConversion"/>
  </si>
  <si>
    <t>yes
The stentor exhibits the "contraction" behavior between 3.2 seconds and 4.2 seconds. At 3.2 seconds, the organism is clearly in its extended “trumpet” shape, with a long, slender body and visible ciliary structures around the oral opening. By 4.2 seconds, it has rapidly contracted — the elongated body shortens dramatically into a compact, rounded form that becomes less distinct and partially obscured by surrounding debris. This abrupt transition from an extended to a condensed morphology is consistent with a classic contraction response. The frames at 5.2–9.2 show the organism remaining in this contracted state, confirming the behavior.</t>
    <phoneticPr fontId="1" type="noConversion"/>
  </si>
  <si>
    <t>yes
The stentor exhibits the "contraction" behavior between 5.2 seconds and 6.2 seconds. At 5.2 seconds, the organism is clearly in its extended “trumpet” shape, with a visible elongated body and ciliated oral apparatus. By 6.2 seconds, it has rapidly contracted — the entire structure disappears from clear view as it shortens into a compact, dense form that becomes indistinct against the background debris. This sudden loss of the extended morphology is consistent with a rapid contraction response, where the stentor retracts into a small, rounded “droplet” shape that may move out of focus or become obscured. The frames at 7.2–9.2 show no return to the extended form, supporting that the organism remains contracted.</t>
    <phoneticPr fontId="1" type="noConversion"/>
  </si>
  <si>
    <t>yes
The stentor exhibits the "contraction" behavior between 4.2 seconds and 5.2 seconds. At 4.2 seconds, the organism is clearly in its extended “trumpet” shape, with a visible elongated body and ciliated oral apparatus. By 5.2 seconds, it has rapidly contracted — the entire structure disappears from clear view as it shortens into a compact, dense form that becomes indistinct against the background debris. This sudden disappearance is consistent with a rapid contraction response, where the stentor retracts into a small, rounded “droplet” shape that may move out of focus or become obscured. The frames at 6.2–9.2 show no return to the extended form, supporting that the organism remains contracted.</t>
    <phoneticPr fontId="1" type="noConversion"/>
  </si>
  <si>
    <t>yes
The stentor exhibits the "contraction" behavior between 6.2 seconds and 7.2 seconds. At 6.2 seconds, the organism is in a partially extended or intermediate state, with a visible but slightly shortened body. By 7.2 seconds, it has fully contracted into a compact, rounded “droplet” shape — the elongated body is no longer visible, and the organism appears as a small, dense, nearly spherical mass. This transition confirms a classic contraction response. The frame at 8.2–9.2 shows the organism remaining in this contracted state, further validating the behavior.</t>
    <phoneticPr fontId="1" type="noConversion"/>
  </si>
  <si>
    <t>no
The stentor does not exhibit the "contraction" behavior in this video. Throughout all frames from 0.2 to 9.2 seconds, the organism remains in a consistently extended or semi-extended “trumpet” shape — its body is elongated, and the oral apparatus is visible without any abrupt shortening or rounding into a compact “droplet” form. There are no observable transitions indicative of rapid contraction; instead, the organism appears relatively stable, possibly exhibiting minor movements or adjustments due to fluid flow or ciliary activity, but not the dramatic morphological change associated with contraction.</t>
    <phoneticPr fontId="1" type="noConversion"/>
  </si>
  <si>
    <t>yes
The stentor exhibits the "contraction" behavior between 0.2 seconds and 6.2 seconds.
At 0.2 seconds, the stentor is in its extended, trumpet-like shape, with a clearly visible elongated body and oral apparatus. By 6.2 seconds, it has rapidly contracted into a compact, rounded, droplet-like form. This change is evident as the organism's outline becomes much shorter and more spherical, losing its characteristic trumpet morphology. The contraction appears to occur quickly, consistent with the known rapid response of Stentor to stimuli, and is fully completed by frame 6.2 seconds.</t>
    <phoneticPr fontId="1" type="noConversion"/>
  </si>
  <si>
    <t>no
The stentor does not exhibit the "contraction" behavior in this video.
Throughout the entire sequence from 0.2 seconds to 9.2 seconds, the stentor maintains a consistent, extended, trumpet-like shape. There is no observable change in its morphology from an elongated form to a compact, droplet-like form. The organism remains relatively stationary and retains its characteristic outline without any signs of rapid shortening or rounding up that would indicate contraction.</t>
    <phoneticPr fontId="1" type="noConversion"/>
  </si>
  <si>
    <t>no
The stentor does not exhibit the "contraction" behavior in this video.
From 0.2 seconds to 9.2 seconds, the organism visible in the lower-left quadrant remains in a contracted, rounded, or droplet-like shape throughout the entire sequence. There is no transition from an extended “trumpet” shape to a contracted “droplet” shape — in fact, it appears to have already been contracted at the start of the video and does not change its morphology. Since contraction behavior requires a dynamic change from extended to contracted, and no such change is observed, the answer is “no.”</t>
    <phoneticPr fontId="1" type="noConversion"/>
  </si>
  <si>
    <t>yes</t>
  </si>
  <si>
    <t>no
The stentor does not exhibit the "contraction" behavior in this video.
Throughout the entire sequence from 0.2 seconds to 9.2 seconds, the organism (located in the upper-right area) remains in an extended, trumpet-like shape. There is no observable change in its morphology toward a compact, droplet-like form. The organism appears relatively static and maintains its elongated structure without any signs of rapid shortening or rounding up that would indicate contraction. Therefore, the answer is “no.”</t>
    <phoneticPr fontId="1" type="noConversion"/>
  </si>
  <si>
    <t>no
The stentor does not exhibit the "contraction" behavior in this video.
From 0.2 seconds to 9.2 seconds, the organism visible in the upper-right portion of the frame remains in a consistent, extended, trumpet-like shape. There is no observable transition from an elongated form to a compact, droplet-like form. The organism appears relatively stationary and maintains its morphology without any signs of rapid shortening or rounding up that would indicate contraction. Therefore, the answer is “no.”</t>
    <phoneticPr fontId="1" type="noConversion"/>
  </si>
  <si>
    <t>no
The stentor does not exhibit the "contraction" behavior in this video.
Throughout the entire sequence from 0.2 seconds to 9.2 seconds, the organism (located in the upper-right area) remains in a stable, extended, trumpet-like shape. There is no observable morphological change toward a compact, droplet-like form. The organism appears stationary and maintains its elongated structure without any signs of rapid shortening or rounding up that would indicate contraction. Therefore, the answer is “no.”</t>
    <phoneticPr fontId="1" type="noConversion"/>
  </si>
  <si>
    <t>no
The stentor does not exhibit the "contraction" behavior in this video.
From 0.2 seconds to 9.2 seconds, the organism visible in the upper-right area remains in a consistent, extended, trumpet-like shape. There is no observable transition from an elongated form to a compact, droplet-like form. The organism appears relatively static and maintains its morphology without any signs of rapid shortening or rounding up that would indicate contraction. Therefore, the answer is “no.”</t>
    <phoneticPr fontId="1" type="noConversion"/>
  </si>
  <si>
    <t>no
The stentor does not exhibit the "contraction" behavior in this video.
Throughout the entire sequence from 0.2 seconds to 9.2 seconds, the organism (located in the upper-right area) remains in a stable, extended, trumpet-like shape. There is no observable transition from an elongated form to a compact, droplet-like form. The organism appears stationary and maintains its morphology without any signs of rapid shortening or rounding up that would indicate contraction. Therefore, the answer is “no.”</t>
    <phoneticPr fontId="1" type="noConversion"/>
  </si>
  <si>
    <t>no
The stentor does not exhibit the "contraction" behavior in this video.
From 0.2 seconds to 9.2 seconds, the organism visible in the upper-right area remains in a consistent, extended, trumpet-like shape. There is no observable morphological change toward a compact, droplet-like form. The organism appears relatively static and maintains its elongated structure without any signs of rapid shortening or rounding up that would indicate contraction. Therefore, the answer is “no.”</t>
    <phoneticPr fontId="1" type="noConversion"/>
  </si>
  <si>
    <t>no
The stentor does not exhibit the "contraction" behavior in this video.
From 0.2 seconds to 9.2 seconds, the organism (located in the lower-left area) remains in a consistent, extended, trumpet-like shape. There is no observable transition from an elongated form to a compact, droplet-like form. The organism appears relatively stationary and maintains its morphology without any signs of rapid shortening or rounding up that would indicate contraction. Therefore, the answer is “no.”</t>
    <phoneticPr fontId="1" type="noConversion"/>
  </si>
  <si>
    <t>no
The stentor does not exhibit the "contraction" behavior in this video.
Throughout the entire sequence from 0.2 seconds to 9.2 seconds, the organism (located in the lower-left area) remains in a stable, extended, trumpet-like shape. There is no observable transition from an elongated form to a compact, droplet-like form. The organism appears stationary and maintains its morphology without any signs of rapid shortening or rounding up that would indicate contraction. Therefore, the answer is “no.”</t>
    <phoneticPr fontId="1" type="noConversion"/>
  </si>
  <si>
    <t>no</t>
  </si>
  <si>
    <t>overlap</t>
    <phoneticPr fontId="1" type="noConversion"/>
  </si>
  <si>
    <t>1C_0550_A.mp4</t>
  </si>
  <si>
    <t>1E_0040.mp4</t>
  </si>
  <si>
    <t>2A_0014_P.mp4</t>
  </si>
  <si>
    <t>2A_0417_A.mp4</t>
  </si>
  <si>
    <t>2A_0736_A.mp4</t>
  </si>
  <si>
    <t>3B_0047_A.mp4</t>
  </si>
  <si>
    <t>3C_0043_A_B_P.mp4</t>
  </si>
  <si>
    <t>3D_0040_A.mp4</t>
  </si>
  <si>
    <t>3D_1402.mp4</t>
  </si>
  <si>
    <t>4B_0113_A_B.mp4</t>
  </si>
  <si>
    <t>4D_0134_A_B.mp4</t>
  </si>
  <si>
    <t>5A_0036_P.mp4</t>
  </si>
  <si>
    <t>5A_0410_P.mp4</t>
  </si>
  <si>
    <t>5A_0554_P.mp4</t>
  </si>
  <si>
    <t>6A_0105_A.mp4</t>
  </si>
  <si>
    <t>6A_1140_P.mp4</t>
  </si>
  <si>
    <t>6B_0116_P.mp4</t>
  </si>
  <si>
    <t>6C_0009_P.mp4</t>
  </si>
  <si>
    <t>6C_0512_P.mp4</t>
  </si>
  <si>
    <t>6D_0041_A.mp4</t>
  </si>
  <si>
    <t>8A_0353_P.mp4</t>
  </si>
  <si>
    <t>8B_0145_A.mp4</t>
  </si>
  <si>
    <t>9A_0002_A_P.mp4</t>
  </si>
  <si>
    <t>9A_0148_A_P.mp4</t>
  </si>
  <si>
    <t>9A_0642_P.mp4</t>
  </si>
  <si>
    <t>9A_0838_P.mp4</t>
  </si>
  <si>
    <t>9A_1051_P.mp4</t>
  </si>
  <si>
    <t>9A_1343_P.mp4</t>
  </si>
  <si>
    <t>9A_1703_P.mp4</t>
  </si>
  <si>
    <t>9A_2011_A_P.mp4</t>
  </si>
  <si>
    <t>9A_2325_A_P.mp4</t>
  </si>
  <si>
    <t>9A_2655_A_P.mp4</t>
  </si>
  <si>
    <t>9A_2952_A_P.mp4</t>
  </si>
  <si>
    <t>9A_3330_P.mp4</t>
  </si>
  <si>
    <t>9A_3714_P.mp4</t>
  </si>
  <si>
    <t>10A_0016_P.mp4</t>
  </si>
  <si>
    <t>10B_0008_P.mp4</t>
  </si>
  <si>
    <t>10C_0012_P.mp4</t>
  </si>
  <si>
    <t>11C_0036_P.mp4</t>
  </si>
  <si>
    <t>13A_1730_A.mp4</t>
  </si>
  <si>
    <t>14B_0006_P.mp4</t>
  </si>
  <si>
    <t>14C_0022_A_P.mp4</t>
  </si>
  <si>
    <t>14C_0653_P.mp4</t>
  </si>
  <si>
    <t>14D_0324_A_B.mp4</t>
  </si>
  <si>
    <t>14D_0615_P.mp4</t>
  </si>
  <si>
    <t>14D_2007_P.mp4</t>
  </si>
  <si>
    <t>14E_1249_A_P.mp4</t>
  </si>
  <si>
    <t>14E_1757_B.mp4</t>
  </si>
  <si>
    <t>15A_0055_A.mp4</t>
  </si>
  <si>
    <t>15B_0210_A_P.mp4</t>
  </si>
  <si>
    <t>15B_1048_A.mp4</t>
  </si>
  <si>
    <t>15C_0019_P.mp4</t>
  </si>
  <si>
    <t>15D_0029_P.mp4</t>
  </si>
  <si>
    <t>17A_0100_P.mp4</t>
  </si>
  <si>
    <t>17B_0006_A_P.mp4</t>
  </si>
  <si>
    <t>17C_0157_A.mp4</t>
  </si>
  <si>
    <t>17C_0420_A_P.mp4</t>
  </si>
  <si>
    <t>17C_0656_P.mp4</t>
  </si>
  <si>
    <t>17C_0903_A_P.mp4</t>
  </si>
  <si>
    <t>17C_1128_P.mp4</t>
  </si>
  <si>
    <t>17C_1422_P.mp4</t>
  </si>
  <si>
    <t>17D_0011_A.mp4</t>
  </si>
  <si>
    <t>17G_0038_A.mp4</t>
  </si>
  <si>
    <t>18A_0120_P.mp4</t>
  </si>
  <si>
    <t>A</t>
  </si>
  <si>
    <t>B</t>
  </si>
  <si>
    <t>P</t>
  </si>
  <si>
    <t>BP</t>
  </si>
  <si>
    <t/>
  </si>
  <si>
    <t>ABP</t>
  </si>
  <si>
    <t>AB</t>
  </si>
  <si>
    <t>AP</t>
  </si>
  <si>
    <t>1B_0140.mp4</t>
  </si>
  <si>
    <t>1C_0015_P.mp4</t>
  </si>
  <si>
    <t>1E_0027_A.mp4</t>
  </si>
  <si>
    <t>1E_0231.mp4</t>
  </si>
  <si>
    <t>1F_0014.mp4</t>
  </si>
  <si>
    <t>3C_0042_A_C_P.mp4</t>
  </si>
  <si>
    <t>4B_0111_A_C.mp4</t>
  </si>
  <si>
    <t>4D_0132_A_C.mp4</t>
  </si>
  <si>
    <t>4F_0012_A_P.mp4</t>
  </si>
  <si>
    <t>5A_0258.mp4</t>
  </si>
  <si>
    <t>11B_0055_A_P.mp4</t>
  </si>
  <si>
    <t>13A_0151.mp4</t>
  </si>
  <si>
    <t>14D_0323_A_C.mp4</t>
  </si>
  <si>
    <t>14E_0053_A_P.mp4</t>
  </si>
  <si>
    <t>14E_1753_C.mp4</t>
  </si>
  <si>
    <t>15A_0420.mp4</t>
  </si>
  <si>
    <t>15B_1536.mp4</t>
  </si>
  <si>
    <t>17E_0030_A.mp4</t>
  </si>
  <si>
    <t>17F_0035.mp4</t>
  </si>
  <si>
    <t>17F_0256.mp4</t>
  </si>
  <si>
    <t>C</t>
  </si>
  <si>
    <t>CP</t>
  </si>
  <si>
    <t>ACP</t>
  </si>
  <si>
    <t>AC</t>
  </si>
  <si>
    <t>1A_0138.mp4</t>
  </si>
  <si>
    <t>1B_0040.mp4</t>
  </si>
  <si>
    <t>1C_0545_C.mp4</t>
  </si>
  <si>
    <t>1C_0900.mp4</t>
  </si>
  <si>
    <t>1D_0037.mp4</t>
  </si>
  <si>
    <t>1E_0026_B.mp4</t>
  </si>
  <si>
    <t>1F_0005_P.mp4</t>
  </si>
  <si>
    <t>2A_0414_C.mp4</t>
  </si>
  <si>
    <t>2A_0735_C.mp4</t>
  </si>
  <si>
    <t>3B_0045_C.mp4</t>
  </si>
  <si>
    <t>3C_0041_B_C_P.mp4</t>
  </si>
  <si>
    <t>3D_0039_C.mp4</t>
  </si>
  <si>
    <t>4B_0110_B_C.mp4</t>
  </si>
  <si>
    <t>4D_0035.mp4</t>
  </si>
  <si>
    <t>4D_0129_B_C.mp4</t>
  </si>
  <si>
    <t>4F_0010_B_P.mp4</t>
  </si>
  <si>
    <t>5A_0242.mp4</t>
  </si>
  <si>
    <t>5A_0846.mp4</t>
  </si>
  <si>
    <t>5A_1222.mp4</t>
  </si>
  <si>
    <t>6A_0102_C.mp4</t>
  </si>
  <si>
    <t>6D_0039_C.mp4</t>
  </si>
  <si>
    <t>8B_0143_C.mp4</t>
  </si>
  <si>
    <t>9A_0001_C_P.mp4</t>
  </si>
  <si>
    <t>9A_0147_C_P.mp4</t>
  </si>
  <si>
    <t>9A_2010_C_P.mp4</t>
  </si>
  <si>
    <t>9A_2324_C_P.mp4</t>
  </si>
  <si>
    <t>9A_2654_C_P.mp4</t>
  </si>
  <si>
    <t>9A_2951_C_P.mp4</t>
  </si>
  <si>
    <t>11A_0146.mp4</t>
  </si>
  <si>
    <t>11B_0054_B_P.mp4</t>
  </si>
  <si>
    <t>12A_0130_P.mp4</t>
  </si>
  <si>
    <t>13A_0144_P.mp4</t>
  </si>
  <si>
    <t>13A_1321.mp4</t>
  </si>
  <si>
    <t>13A_1725_C.mp4</t>
  </si>
  <si>
    <t>14A_0030_P.mp4</t>
  </si>
  <si>
    <t>14C_0021_C_P.mp4</t>
  </si>
  <si>
    <t>14D_0322_B_C.mp4</t>
  </si>
  <si>
    <t>14E_0058_B.mp4</t>
  </si>
  <si>
    <t>14E_1248_C_P.mp4</t>
  </si>
  <si>
    <t>15A_0053_C_P.mp4</t>
  </si>
  <si>
    <t>15A_0340.mp4</t>
  </si>
  <si>
    <t>15B_0209_C_P.mp4</t>
  </si>
  <si>
    <t>15B_1047_C.mp4</t>
  </si>
  <si>
    <t>15B_1529_P.mp4</t>
  </si>
  <si>
    <t>17B_0005_C_P.mp4</t>
  </si>
  <si>
    <t>17C_0156_C.mp4</t>
  </si>
  <si>
    <t>17C_0419_C_P.mp4</t>
  </si>
  <si>
    <t>17C_0902_C_P.mp4</t>
  </si>
  <si>
    <t>17D_0009_C.mp4</t>
  </si>
  <si>
    <t>17E_0028_B.mp4</t>
  </si>
  <si>
    <t>17F_0045.mp4</t>
  </si>
  <si>
    <t>17F_0305.mp4</t>
  </si>
  <si>
    <t>17G_0035_C.mp4</t>
  </si>
  <si>
    <t>17H_0101.mp4</t>
  </si>
  <si>
    <t>18B_0715.mp4</t>
  </si>
  <si>
    <t>BCP</t>
  </si>
  <si>
    <t>BC</t>
  </si>
  <si>
    <t>1A_0425.mp4</t>
  </si>
  <si>
    <t>1B_0405.mp4</t>
  </si>
  <si>
    <t>1C_0945.mp4</t>
  </si>
  <si>
    <t>1D_0828.mp4</t>
  </si>
  <si>
    <t>1E_0335.mp4</t>
  </si>
  <si>
    <t>1F_0320.mp4</t>
  </si>
  <si>
    <t>2A_1505.mp4</t>
  </si>
  <si>
    <t>3A_0258.mp4</t>
  </si>
  <si>
    <t>3C_0505.mp4</t>
  </si>
  <si>
    <t>3D_1453.mp4</t>
  </si>
  <si>
    <t>4D_1226.mp4</t>
  </si>
  <si>
    <t>4F_0114.mp4</t>
  </si>
  <si>
    <t>6B_0400.mp4</t>
  </si>
  <si>
    <t>6D_0320.mp4</t>
  </si>
  <si>
    <t>10C_0550.mp4</t>
  </si>
  <si>
    <t>11B_0116.mp4</t>
  </si>
  <si>
    <t>11D_0123.mp4</t>
  </si>
  <si>
    <t>12A_1402.mp4</t>
  </si>
  <si>
    <t>14B_0509.mp4</t>
  </si>
  <si>
    <t>14C_0804.mp4</t>
  </si>
  <si>
    <t>14D_2141.mp4</t>
  </si>
  <si>
    <t>14E_2555.mp4</t>
  </si>
  <si>
    <t>14E_3242.mp4</t>
  </si>
  <si>
    <t>15A_1338.mp4</t>
  </si>
  <si>
    <t>15B_1850.mp4</t>
  </si>
  <si>
    <t>15C_0238.mp4</t>
  </si>
  <si>
    <t>15D_0342.mp4</t>
  </si>
  <si>
    <t>17A_0155.mp4</t>
  </si>
  <si>
    <t>17B_0101.mp4</t>
  </si>
  <si>
    <t>17E_0134.mp4</t>
  </si>
  <si>
    <t>17F_0413.mp4</t>
  </si>
  <si>
    <t>17G_0236.mp4</t>
  </si>
  <si>
    <t>17H_0228.mp4</t>
  </si>
  <si>
    <t>18A_1359.mp4</t>
  </si>
  <si>
    <t>no</t>
    <phoneticPr fontId="1" type="noConversion"/>
  </si>
  <si>
    <t>yes</t>
    <phoneticPr fontId="1" type="noConversion"/>
  </si>
  <si>
    <t>no
The stentor in the video remains in its extended, "trumpet" shape throughout all frames from 0.2 to 9.2 seconds. There is no visible change in its morphology toward a contracted, "droplet" shape. The organism appears stationary and maintains its elongated form without any signs of rapid or gradual contraction. Therefore, the “contraction” behavior is not exhibited in this video segment.</t>
    <phoneticPr fontId="1" type="noConversion"/>
  </si>
  <si>
    <t>no
In Video 2, the stentor remains in its extended “trumpet” shape throughout all frames (0.2 to 9.2 seconds). Although there is slight movement or repositioning of the organism relative to the glass pipette and surrounding debris, no contraction behavior — i.e., a visible shortening or rounding into a “droplet” shape — occurs. The body maintains its elongated form, and ciliary activity at the oral aperture is visible but does not indicate defensive or stress-induced contraction. Therefore, the stentor does not exhibit the “contraction” behavior in this video segment.</t>
    <phoneticPr fontId="1" type="noConversion"/>
  </si>
  <si>
    <t>yes
The stentor exhibits contraction behavior between 0.2 seconds and 1.2 seconds.
At 0.2 seconds, the stentor is in an extended, elongated “trumpet” shape, with its anterior end clearly visible and cilia apparent at the oral groove. By 1.2 seconds, the organism has rapidly shortened and rounded into a compact, “droplet”-like form — a classic contraction response. This change is abrupt and consistent with defensive or stress-induced contraction seen in Stentor species. The contracted shape remains stable through the rest of the frames (up to 9.2 seconds), confirming that the contraction occurred early in the video and was not transient.
Therefore, the stentor does exhibit “contraction,” and it happens between 0.2 and 1.2 seconds.</t>
    <phoneticPr fontId="1" type="noConversion"/>
  </si>
  <si>
    <t>no
In Video 4, the stentor remains in a consistently extended, elongated “trumpet” shape throughout all frames from 0.2 to 9.2 seconds. There is no visible shortening, rounding, or transition toward a compact “droplet” form that would indicate contraction behavior. The organism appears relatively stationary, with only minor fluctuations in focus or slight movements of surrounding debris — none of which trigger a morphological change in the stentor itself.
Therefore, the stentor does not exhibit the “contraction” behavior in this video segment.</t>
    <phoneticPr fontId="1" type="noConversion"/>
  </si>
  <si>
    <t>no
In Video 5, two stentors are visible, both attached to a glass pipette or surface. Throughout the entire sequence (0.2 to 9.2 seconds), both organisms maintain their extended, trumpet-like shapes without any signs of contraction. There is no shortening, rounding, or transition toward a droplet form. Although there may be slight movements or changes in focus, these do not correspond to the characteristic rapid contraction behavior.
Therefore, neither stentor exhibits “contraction” in this video segment.</t>
    <phoneticPr fontId="1" type="noConversion"/>
  </si>
  <si>
    <t>yes
The stentor exhibits contraction behavior between 4.2 seconds and 5.2 seconds.
At 4.2 seconds, the stentor is clearly visible in its extended “trumpet” shape, attached to the glass pipette. By 5.2 seconds, it has rapidly contracted into a compact, rounded “droplet” form — a definitive sign of contraction behavior. The organism remains contracted through subsequent frames (6.2–9.2 seconds), confirming that the change was not transient or due to focus drift.
This rapid morphological change from extended to contracted state meets the definition of “contraction” behavior. Therefore, the stentor does exhibit contraction, and it occurs between 4.2 and 5.2 seconds.</t>
    <phoneticPr fontId="1" type="noConversion"/>
  </si>
  <si>
    <t>no
In Video 7, the stentor remains in its extended “trumpet” shape throughout all frames from 0.2 to 9.2 seconds. There is no visible shortening, rounding, or transition toward a compact “droplet” form that would indicate contraction behavior. The organism appears relatively stationary, with only minor positional drift or focus variation — none of which trigger a morphological change.
Therefore, the stentor does not exhibit the “contraction” behavior in this video segment.</t>
    <phoneticPr fontId="1" type="noConversion"/>
  </si>
  <si>
    <t>yes
The stentor exhibits contraction behavior between 6.2 seconds and 7.2 seconds.
At 6.2 seconds, the stentor is clearly visible in its extended “trumpet” shape, with its oral cilia and elongated body fully apparent. By 7.2 seconds, it has rapidly contracted into a compact, rounded form — a classic “droplet” shape — and is no longer distinguishable as an extended organism. This change is abrupt and consistent with defensive or stress-induced contraction. The stentor remains contracted and eventually moves out of frame by 8.2 seconds.
Therefore, the stentor does exhibit “contraction,” and it happens between 6.2 and 7.2 seconds.</t>
    <phoneticPr fontId="1" type="noConversion"/>
  </si>
  <si>
    <t>yes
The stentor exhibits contraction behavior between 4.2 seconds and 5.2 seconds.
At 4.2 seconds, the stentor is clearly visible in its extended “trumpet” shape, with its elongated body and ciliated oral region apparent. By 5.2 seconds, it has rapidly contracted into a compact, rounded “droplet” form — so much so that it becomes indistinct and appears to disappear into the surrounding debris or out of focus. The organism remains contracted or obscured through subsequent frames (6.2–9.2 seconds), confirming the contraction was not transient.
This rapid morphological change from extended to contracted state meets the definition of “contraction” behavior. Therefore, the stentor does exhibit contraction, and it occurs between 4.2 and 5.2 seconds.</t>
    <phoneticPr fontId="1" type="noConversion"/>
  </si>
  <si>
    <t>yes
The stentor exhibits contraction behavior between 5.2 seconds and 6.2 seconds.
At 5.2 seconds, the stentor is clearly visible in its extended “trumpet” shape, with its elongated body and ciliated oral aperture fully apparent. By 6.2 seconds, it has rapidly contracted into a compact, rounded “droplet” form — so much so that it becomes indistinct and appears to vanish from view, likely due to both contraction and movement out of focus or frame. The organism remains absent or obscured through subsequent frames (7.2–9.2 seconds), confirming the contraction was not transient.
This rapid morphological change from extended to contracted state meets the definition of “contraction” behavior. Therefore, the stentor does exhibit contraction, and it occurs between 5.2 and 6.2 seconds.</t>
    <phoneticPr fontId="1" type="noConversion"/>
  </si>
  <si>
    <t>yes
The stentor exhibits contraction behavior between 6.2 seconds and 7.2 seconds.
At 6.2 seconds, the stentor is clearly visible in its extended “trumpet” shape, with its elongated body and ciliated oral region fully apparent. By 7.2 seconds, it has rapidly contracted into a compact, rounded “droplet” form — so much so that it becomes indistinct and appears to vanish from view, likely due to both contraction and movement out of focus or frame. The organism remains absent or obscured through subsequent frames (8.2–9.2 seconds), confirming the contraction was not transient.
This rapid morphological change from extended to contracted state meets the definition of “contraction” behavior. Therefore, the stentor does exhibit contraction, and it occurs between 6.2 and 7.2 seconds.</t>
    <phoneticPr fontId="1" type="noConversion"/>
  </si>
  <si>
    <t>yes
The stentor exhibits contraction behavior between 5.2 seconds and 6.2 seconds.
At 5.2 seconds, the stentor is clearly visible in its extended “trumpet” shape, with its elongated body and ciliated oral region apparent against the dark debris background. By 6.2 seconds, it has rapidly contracted into a compact, rounded “droplet” form — so much so that it becomes indistinct and appears to vanish from view, likely due to both contraction and movement out of focus or frame. The organism remains absent or obscured through subsequent frames (7.2–9.2 seconds), confirming the contraction was not transient.
This rapid morphological change from extended to contracted state meets the definition of “contraction” behavior. Therefore, the stentor does exhibit contraction, and it occurs between 5.2 and 6.2 seconds.</t>
    <phoneticPr fontId="1" type="noConversion"/>
  </si>
  <si>
    <t>yes
The stentor exhibits contraction behavior between 7.2 seconds and 8.2 seconds.
At 7.2 seconds, the stentor is clearly visible in its extended “trumpet” shape, with its elongated body and ciliated oral region fully apparent against the textured background. By 8.2 seconds, it has rapidly contracted into a compact, rounded “droplet” form — so much so that it becomes indistinct and appears to vanish from view, likely due to both contraction and movement out of focus or frame. The organism remains absent or obscured through the final frame (9.2 seconds), confirming the contraction was not transient.
This rapid morphological change from extended to contracted state meets the definition of “contraction” behavior. Therefore, the stentor does exhibit contraction, and it occurs between 7.2 and 8.2 seconds.</t>
    <phoneticPr fontId="1" type="noConversion"/>
  </si>
  <si>
    <t>no
In Video 14, the stentor remains in its extended “trumpet” shape throughout all frames from 0.2 to 9.2 seconds. There is no visible shortening, rounding, or transition toward a compact “droplet” form that would indicate contraction behavior. Although there are slight changes in focus and minor positional drift, the organism’s morphology remains consistently elongated.
Therefore, the stentor does not exhibit the “contraction” behavior in this video segment.</t>
    <phoneticPr fontId="1" type="noConversion"/>
  </si>
  <si>
    <t>no
In Video 15, the stentor remains in its extended “trumpet” shape throughout all frames from 0.2 to 9.2 seconds. There is no visible shortening, rounding, or transition toward a compact “droplet” form that would indicate contraction behavior. The organism appears relatively stationary, with only minor fluctuations in focus or slight movement of surrounding debris — none of which trigger a morphological change.
Therefore, the stentor does not exhibit the “contraction” behavior in this video segment.</t>
    <phoneticPr fontId="1" type="noConversion"/>
  </si>
  <si>
    <t>yes
The stentor exhibits contraction behavior between 5.2 seconds and 6.2 seconds.
At 5.2 seconds, the stentor is clearly visible in its extended “trumpet” shape, with its elongated body and ciliated oral region apparent near the glass pipette. By 6.2 seconds, it has rapidly contracted into a compact, rounded “droplet” form — so much so that it becomes indistinct and appears to vanish from view, likely due to both contraction and movement out of focus or frame. The organism remains absent or obscured through subsequent frames (7.2–9.2 seconds), confirming the contraction was not transient.
This rapid morphological change from extended to contracted state meets the definition of “contraction” behavior. Therefore, the stentor does exhibit contraction, and it occurs between 5.2 and 6.2 seconds.</t>
    <phoneticPr fontId="1" type="noConversion"/>
  </si>
  <si>
    <t>no
In Video 17, the stentor remains in its extended “trumpet” shape throughout all frames from 0.2 to 9.2 seconds. There is no visible shortening, rounding, or transition toward a compact “droplet” form that would indicate contraction behavior. The organism appears relatively stationary, with only minor positional drift or focus variation — none of which trigger a morphological change.
Therefore, the stentor does not exhibit the “contraction” behavior in this video segment.</t>
    <phoneticPr fontId="1" type="noConversion"/>
  </si>
  <si>
    <t>no
In Video 18, the stentor remains in its extended “trumpet” shape throughout all frames from 0.2 to 9.2 seconds. There is no visible shortening, rounding, or transition toward a compact “droplet” form that would indicate contraction behavior. The organism appears relatively stationary, with only minor fluctuations in focus or slight movement of surrounding debris — none of which trigger a morphological change.
Therefore, the stentor does not exhibit the “contraction” behavior in this video segment.</t>
    <phoneticPr fontId="1" type="noConversion"/>
  </si>
  <si>
    <t>yes
The stentor exhibits contraction behavior between 8.2 seconds and 9.2 seconds.
At 8.2 seconds, the stentor is clearly visible in its extended “trumpet” shape, with its elongated body and ciliated oral region apparent against the textured background. By 9.2 seconds, it has rapidly contracted into a compact, rounded “droplet” form — so much so that it becomes indistinct and appears to vanish from view, likely due to both contraction and movement out of focus or frame. The organism remains absent or obscured through the final frame, confirming the contraction was not transient.
This rapid morphological change from extended to contracted state meets the definition of “contraction” behavior. Therefore, the stentor does exhibit contraction, and it occurs between 8.2 and 9.2 seconds.</t>
    <phoneticPr fontId="1" type="noConversion"/>
  </si>
  <si>
    <t>yes
The stentor exhibits contraction behavior between 7.2 seconds and 8.2 seconds.
At 7.2 seconds, the stentor is clearly visible in its extended “trumpet” shape, with its elongated body and ciliated oral region fully apparent near the glass pipette. By 8.2 seconds, it has rapidly contracted into a compact, rounded “droplet” form — so much so that it becomes indistinct and appears to vanish from view, likely due to both contraction and movement out of focus or frame. The organism remains absent or obscured through the final frame (9.2 seconds), confirming the contraction was not transient.
This rapid morphological change from extended to contracted state meets the definition of “contraction” behavior. Therefore, the stentor does exhibit contraction, and it occurs between 7.2 and 8.2 seconds.</t>
    <phoneticPr fontId="1" type="noConversion"/>
  </si>
  <si>
    <t>yes
The stentor exhibits contraction behavior between 6.2 seconds and 7.2 seconds.
At 6.2 seconds, one of the two visible stentors (on the left) is in its extended “trumpet” shape, with its elongated body and ciliated oral region apparent. By 7.2 seconds, this stentor has rapidly contracted into a compact, rounded “droplet” form — so much so that it becomes indistinct and appears to vanish from view, likely due to both contraction and movement out of focus or frame. The organism remains obscured through subsequent frames (8.2–9.2 seconds), confirming the contraction was not transient.
This rapid morphological change from extended to contracted state meets the definition of “contraction” behavior. Therefore, the stentor does exhibit contraction, and it occurs between 6.2 and 7.2 seconds.</t>
    <phoneticPr fontId="1" type="noConversion"/>
  </si>
  <si>
    <t>yes
The stentor exhibits the "contraction" behavior between 0.2 seconds and 1.2 seconds. At 0.2 seconds, the stentor is clearly visible in its extended "trumpet" shape. By 1.2 seconds, it has rapidly contracted into a much shorter, more compact "droplet" shape, which is characteristic of the contraction response. This change is abrupt and consistent with the known rapid contraction behavior of Stentor when disturbed or stimulated. The subsequent frames (2.2–5.2 seconds) show the stentor remaining in its contracted state.</t>
    <phoneticPr fontId="1" type="noConversion"/>
  </si>
  <si>
    <t>yes
The stentor exhibits the "contraction" behavior between 5.2 seconds and 6.2 seconds. At 5.2 seconds, the stentor is clearly in its extended “trumpet” shape with visible ciliary structures around the oral apparatus. By 6.2 seconds, it has abruptly contracted into a compact, rounded “droplet” form — so rapidly that its outline becomes blurred and indistinct, surrounded by a cloud of dispersed particles (likely expelled from its body during contraction). This sudden morphological change is characteristic of Stentor’s defensive or stress-induced contraction. The contracted state persists through 9.2 seconds.</t>
    <phoneticPr fontId="1" type="noConversion"/>
  </si>
  <si>
    <t>yes
The stentor exhibits the "contraction" behavior between 5.2 seconds and 6.2 seconds. At 5.2 seconds, the organism is clearly visible in its extended “trumpet” shape with a well-defined oral apparatus and ciliary fringe. By 6.2 seconds, it has abruptly contracted into a compact, nearly invisible form — leaving behind only a faint outline and a cloud of dispersed particles (likely expelled during the rapid contraction). This sudden disappearance of the extended structure and emergence of a particle cloud is consistent with Stentor’s characteristic defensive contraction response. The contracted state remains through 9.2 seconds.</t>
    <phoneticPr fontId="1" type="noConversion"/>
  </si>
  <si>
    <t>yes
The stentor exhibits the "contraction" behavior between 6.2 seconds and 7.2 seconds. At 6.2 seconds, the organism is still visible in its extended “trumpet” shape, though slightly blurred, with its oral apparatus and ciliary fringe discernible. By 7.2 seconds, it has abruptly contracted — disappearing from view as a distinct structure and replaced by a cloud of dispersed particles around the tip of the micropipette, consistent with rapid contraction and expulsion of cytoplasmic contents. This sudden morphological collapse into an indistinct, particle-filled region confirms the contraction event. The contracted state persists through 9.2 seconds.</t>
    <phoneticPr fontId="1" type="noConversion"/>
  </si>
  <si>
    <t>yes
The stentor exhibits the "contraction" behavior between 6.2 seconds and 7.2 seconds. At 6.2 seconds, the organism is still clearly visible in its extended “trumpet” shape with a defined oral apparatus and ciliary fringe. By 7.2 seconds, it has abruptly contracted — vanishing as a distinct structure and replaced by a cloud of small particles dispersing into the surrounding medium, centered near the tip of the micropipette. This rapid disappearance accompanied by particle release is characteristic of Stentor’s defensive contraction. The contracted state remains through 9.2 seconds, with no re-extension observed.</t>
    <phoneticPr fontId="1" type="noConversion"/>
  </si>
  <si>
    <t>yes
The stentor exhibits the "contraction" behavior between 5.2 seconds and 6.2 seconds. At 5.2 seconds, the organism is clearly visible in its extended “trumpet” shape, with a well-defined oral apparatus and ciliary fringe. By 6.2 seconds, it has abruptly contracted — disappearing from view as a distinct structure and replaced by a cloud of small particles dispersing around the tip of the micropipette. This rapid morphological collapse and particle release are hallmark signs of Stentor’s defensive contraction response. The contracted state persists through 9.2 seconds, with no sign of re-extension.</t>
    <phoneticPr fontId="1" type="noConversion"/>
  </si>
  <si>
    <t>yes
The stentor exhibits the "contraction" behavior between 4.2 seconds and 5.2 seconds. At 4.2 seconds, the organism is clearly visible in its extended “trumpet” shape, with a defined oral apparatus and ciliary fringe. By 5.2 seconds, it has abruptly contracted — vanishing as a distinct structure and replaced by a dense cloud of dispersed particles that obscure the field around the micropipette tip. This rapid disappearance accompanied by particle release is consistent with Stentor’s characteristic defensive contraction. Although the stentor reappears briefly at 6.2–7.2 seconds (possibly due to partial re-extension or motion artifact), the primary contraction event occurs decisively between 4.2 and 5.2 seconds. The contracted state dominates from 5.2 through 9.2 seconds, with only faint, ambiguous traces of structure afterward.</t>
    <phoneticPr fontId="1" type="noConversion"/>
  </si>
  <si>
    <t>yes
The stentor exhibits the "contraction" behavior between 1.2 seconds and 2.2 seconds. At 1.2 seconds, a stentor is clearly visible in its extended “trumpet” shape near the micropipette tip. By 2.2 seconds, it has abruptly contracted into a compact, rounded “droplet” form — becoming significantly shorter and losing its characteristic elongated structure. This rapid morphological change is consistent with defensive contraction. The organism remains in this contracted state through 9.2 seconds, with no re-extension observed. Another stentor (on the right) appears to remain extended throughout, providing contrast and confirming that the behavior is specific to the one near the pipette.</t>
    <phoneticPr fontId="1" type="noConversion"/>
  </si>
  <si>
    <t>no
The stentor does not exhibit the "contraction" behavior in this video. From 0.2 to 9.2 seconds, the organism remains in a consistently contracted or partially extended “droplet”-like shape — it never appears in the fully extended “trumpet” form that would precede a contraction event. There is no observable transition from an extended to a contracted state; instead, the organism maintains a compact morphology throughout the entire sequence. While there is some movement and slight changes in orientation (e.g., at 2.2–4.2 seconds), these do not constitute the rapid morphological collapse characteristic of Stentor contraction. Therefore, no contraction behavior is observed.</t>
    <phoneticPr fontId="1" type="noConversion"/>
  </si>
  <si>
    <t>no
The stentor does not exhibit the "contraction" behavior in this video. From 0.2 to 9.2 seconds, the organism remains consistently in its extended “trumpet” shape, with a clearly visible oral apparatus and ciliary fringe. There is no abrupt shortening or morphological collapse into a compact “droplet” form — the defining characteristic of contraction. Although there are minor movements and slight changes in orientation (e.g., subtle bending at 8.2–9.2 seconds), these do not constitute a true contraction event. The stentor appears stable and fully extended throughout the entire sequence, indicating no defensive or stress-induced contraction occurred.</t>
    <phoneticPr fontId="1" type="noConversion"/>
  </si>
  <si>
    <t>no
The stentor does not exhibit the "contraction" behavior in this video. From 0.2 to 9.2 seconds, the organism remains consistently in its extended “trumpet” shape — with a clearly visible elongated body and oral apparatus. There is no abrupt shortening, collapse, or transition into a compact “droplet” form that would indicate contraction. While there are minor fluctuations in focus and slight movements (e.g., subtle bending or shifting at 1.2–2.2 seconds), these do not constitute a true contraction event. The stentor maintains its extended morphology throughout the entire sequence, suggesting it remained undisturbed or unstimulated during observation.</t>
    <phoneticPr fontId="1" type="noConversion"/>
  </si>
  <si>
    <t>no
The stentor does not exhibit the "contraction" behavior in this video. From 0.2 to 9.2 seconds, the organism remains consistently in its extended “trumpet” shape — with a clearly visible elongated body and oral apparatus surrounded by ciliary fringe. There is no abrupt shortening, collapse, or transition into a compact “droplet” form that would indicate contraction. Although there are minor movements, changes in focus, and slight shifts in orientation (e.g., at 4.2–5.2 seconds), these do not constitute a true contraction event. The stentor maintains its extended morphology throughout the entire sequence, suggesting it remained undisturbed during observation.</t>
    <phoneticPr fontId="1" type="noConversion"/>
  </si>
  <si>
    <t>yes
The stentor exhibits the "contraction" behavior between 4.2 seconds and 5.2 seconds. At 4.2 seconds, the organism is clearly visible in its extended “trumpet” shape with a defined oral apparatus and ciliary fringe. By 5.2 seconds, it has abruptly contracted — vanishing as a distinct structure and replaced by a cloud of dispersed particles that obscure the field around the micropipette tip. This rapid disappearance accompanied by particle release is consistent with Stentor’s characteristic defensive contraction response. The contracted state persists through 9.2 seconds, with no re-extension observed. Another stentor (bottom right) remains extended throughout, providing contrast and confirming the specificity of the contraction event.</t>
    <phoneticPr fontId="1" type="noConversion"/>
  </si>
  <si>
    <t>yes
The stentor exhibits the "contraction" behavior between 5.2 seconds and 6.2 seconds. At 5.2 seconds, the organism is clearly visible in its extended “trumpet” shape with a well-defined oral apparatus and ciliary fringe. By 6.2 seconds, it has abruptly contracted — disappearing from view as a distinct structure and replaced by a cloud of small particles dispersing into the surrounding medium, centered near the tip of the micropipette. This rapid morphological collapse and particle release are hallmark signs of Stentor’s defensive contraction response. The contracted state persists through 9.2 seconds, with no re-extension observed.</t>
    <phoneticPr fontId="1" type="noConversion"/>
  </si>
  <si>
    <t>yes
The stentor exhibits the "contraction" behavior between 5.2 seconds and 6.2 seconds. At 5.2 seconds, the organism is clearly visible in its extended “trumpet” shape, with a defined oral apparatus and ciliary fringe. By 6.2 seconds, it has abruptly contracted — vanishing as a distinct structure and replaced by a cloud of dispersed particles that obscure its former location. This rapid disappearance accompanied by particle release is consistent with Stentor’s characteristic defensive contraction response. The contracted state persists through 7.2–9.2 seconds, with no re-extension observed. The surrounding debris and other organisms remain relatively stable, confirming that the event is localized to this specific stentor.</t>
    <phoneticPr fontId="1" type="noConversion"/>
  </si>
  <si>
    <t>yes
The stentor exhibits the "contraction" behavior between 0.2 seconds and 5.2 seconds. At 0.2 seconds, the stentor is clearly visible in its extended "trumpet" shape. By 5.2 seconds, it has completely disappeared from view, which indicates that it has rapidly contracted into a compact "droplet" shape and likely detached or moved out of the focal plane. This rapid disappearance is characteristic of the stentor's defensive contraction response. The frames from 6.2 to 9.2 show only background particles, confirming the stentor is no longer in its extended form.</t>
    <phoneticPr fontId="1" type="noConversion"/>
  </si>
  <si>
    <t>yes
The stentor exhibits the "contraction" behavior between 5.2 seconds and 6.2 seconds. At 5.2 seconds, the stentor is still in its extended “trumpet” shape, clearly elongated with a wide oral opening at the top. By 6.2 seconds, it has abruptly transformed into a compact, oval or “droplet” shape, having retracted its body completely. This rapid morphological change is characteristic of stentor contraction, often triggered by mechanical or chemical stimuli (possibly from the nearby pipette tip visible in the frame). The contracted form remains visible and relatively stable in frames 7.2 to 9.2.</t>
    <phoneticPr fontId="1" type="noConversion"/>
  </si>
  <si>
    <t>yes
The stentor exhibits the "contraction" behavior between 5.2 seconds and 6.2 seconds. At 5.2 seconds, the organism is clearly visible in its extended “trumpet” shape with a defined oral apparatus and ciliary fringe. By 6.2 seconds, it has abruptly contracted — vanishing as a distinct structure and replaced by a dense cloud of dispersed particles that obscure its former location. This rapid morphological collapse and particle release are consistent with Stentor’s characteristic defensive contraction response. The contracted state persists through 9.2 seconds, with no re-extension observed. The surrounding debris and particle field remain relatively stable, confirming the event is localized to this specific stentor.</t>
    <phoneticPr fontId="1" type="noConversion"/>
  </si>
  <si>
    <t>no
The stentor does not exhibit the "contraction" behavior in this video. From 0.2 seconds to 9.2 seconds, the organism remains consistently in its extended “trumpet” shape — elongated with a clearly visible oral apparatus and ciliary fringe at the wide end. There is no visible shortening, rounding, or transformation into a compact “droplet” form at any point. While there may be minor movements or adjustments in orientation, the overall morphology remains unchanged, indicating no contraction occurred during this observation period.</t>
    <phoneticPr fontId="1" type="noConversion"/>
  </si>
  <si>
    <t>yes
The stentor exhibits the "contraction" behavior between 5.2 seconds and 6.2 seconds. At 5.2 seconds, the stentor is clearly visible in its extended “trumpet” shape, anchored and elongated with a defined oral apparatus. By 6.2 seconds, it has abruptly disappeared from its original position — consistent with rapid contraction into a compact “droplet” form and likely detachment or movement out of focal plane. A small, rounded, contracted form can be faintly seen at the lower left edge of the frame at 6.2 seconds and more clearly at 7.2–8.2 seconds, confirming the organism survived the contraction and remained in the field of view, albeit in its shortened state. This transition is characteristic of defensive stentor contraction, possibly triggered by proximity to the pipette tip visible above.</t>
    <phoneticPr fontId="1" type="noConversion"/>
  </si>
  <si>
    <t>yes
The stentor exhibits the "contraction" behavior between 5.2 seconds and 6.2 seconds. At 5.2 seconds, the stentor is still in its extended “trumpet” shape, though slightly bent, with its oral apparatus visible near the pipette tip. By 6.2 seconds, it has rapidly contracted into a compact, oval “droplet” form and repositioned to the left side of the frame — no longer elongated or anchored in its original orientation. This abrupt morphological change and displacement are consistent with defensive contraction, likely triggered by mechanical stimulation from the nearby pipette. The contracted form remains visible and stable in frames 7.2 to 9.2.</t>
    <phoneticPr fontId="1" type="noConversion"/>
  </si>
  <si>
    <t>yes
The stentor exhibits the "contraction" behavior between 8.2 seconds and 9.2 seconds. From 0.2 to 7.2 seconds, the organism remains in its extended “trumpet” shape — elongated with a clearly defined oral apparatus at the wide end. At 8.2 seconds, it begins to shorten slightly, and by 9.2 seconds, it has fully contracted into a compact, rounded “droplet” form, losing its characteristic trumpet morphology. This rapid transition confirms contraction behavior, likely triggered by environmental stimuli (possibly from the nearby pipette or particle movement). The change is subtle but clear upon close comparison of frames 8.2 and 9.2.</t>
    <phoneticPr fontId="1" type="noConversion"/>
  </si>
  <si>
    <t>yes
The stentor exhibits the "contraction" behavior between 5.2 seconds and 6.2 seconds. At 5.2 seconds, the stentor is still clearly visible in its extended “trumpet” shape, with a defined oral apparatus and elongated body. By 6.2 seconds, it has abruptly contracted into a compact, rounded “droplet” form — the extended stalk and trumpet mouth are no longer distinguishable. This rapid morphological change is characteristic of defensive contraction. The contracted form remains visible in subsequent frames (7.2–9.2), confirming the organism survived the event and remained in the field of view, albeit in its shortened state. The timing coincides with particle movement from the pipette tip, suggesting a stimulus-triggered response.</t>
    <phoneticPr fontId="1" type="noConversion"/>
  </si>
  <si>
    <t>yes
The stentor exhibits the "contraction" behavior between 5.2 seconds and 6.2 seconds. At 5.2 seconds, the stentor is clearly visible in its extended “trumpet” shape, with a defined oral apparatus and elongated body. By 6.2 seconds, it has abruptly disappeared from view — consistent with rapid contraction into a compact “droplet” form and likely detachment or movement out of the focal plane. No contracted form is visible in subsequent frames (7.2–9.2), suggesting it either moved out of frame or became too small/obscured to resolve after contracting. This sudden disappearance is characteristic of stentor defensive behavior, possibly triggered by proximity to the pipette tip visible on the right.</t>
    <phoneticPr fontId="1" type="noConversion"/>
  </si>
  <si>
    <t>yes
The stentor exhibits the "contraction" behavior between 5.2 seconds and 6.2 seconds. At 5.2 seconds, the organism is clearly visible in its extended “trumpet” shape, anchored with a defined oral apparatus facing the pipette tip. By 6.2 seconds, it has abruptly contracted into a compact, oval “droplet” form — the elongated stalk is no longer visible, and the body appears rounded and retracted. This change is consistent with defensive contraction, likely triggered by mechanical or chemical stimuli from the nearby pipette. The contracted form remains visible and relatively stable in frames 7.2 to 9.2, confirming the behavior occurred and was sustained.</t>
    <phoneticPr fontId="1" type="noConversion"/>
  </si>
  <si>
    <t>yes
The stentor exhibits the "contraction" behavior between 4.2 seconds and 5.2 seconds. At 4.2 seconds, the stentor is clearly visible in its extended “trumpet” shape, with a defined oral apparatus and elongated body. By 5.2 seconds, it has abruptly contracted into a compact, rounded form — the trumpet shape is lost, and the organism appears as a small, dense oval or droplet. This rapid morphological change is characteristic of defensive contraction, possibly triggered by the presence of nearby particles or movement from the pipette tip visible on the right. The contracted form remains partially visible in subsequent frames (6.2–7.2) before becoming obscured by debris or moving out of focus.</t>
    <phoneticPr fontId="1" type="noConversion"/>
  </si>
  <si>
    <t>yes
The stentor exhibits the "contraction" behavior between 8.2 seconds and 9.2 seconds. At 8.2 seconds, the organism is still in an extended or semi-extended shape — elongated with a visible oral apparatus near the pipette tip. By 9.2 seconds, it has fully contracted into a compact, rounded “droplet” form, losing its characteristic trumpet morphology. This rapid transition confirms contraction behavior, likely triggered by mechanical stimulation from the pipette. The change is subtle but clear upon frame-by-frame comparison: the body shortens significantly and becomes more spherical, consistent with defensive retraction.</t>
    <phoneticPr fontId="1" type="noConversion"/>
  </si>
  <si>
    <t>no
The stentor does not exhibit the "contraction" behavior in this video. From 0.2 seconds to 9.2 seconds, the organism remains consistently in its extended “trumpet” shape — elongated with a clearly visible oral apparatus and ciliary fringe at the wide end. Although it undergoes minor bending or repositioning (e.g., slight curvature at 4.2–5.2 seconds), there is no visible shortening, rounding, or transformation into a compact “droplet” form. The morphology remains stable throughout, indicating no defensive contraction occurred during this observation period.</t>
    <phoneticPr fontId="1" type="noConversion"/>
  </si>
  <si>
    <t>no
The stentor does not exhibit the "contraction" behavior in this video. From 0.2 seconds to 9.2 seconds, the organism remains consistently in its extended “trumpet” shape — elongated with a clearly defined oral apparatus and ciliary fringe at the wide end. Although there is slight movement or bending of the stalk (e.g., subtle curvature visible at 8.2–9.2 seconds), there is no visible shortening, rounding, or transformation into a compact “droplet” form. The overall morphology remains stable throughout, indicating no defensive contraction occurred during this observation period.</t>
    <phoneticPr fontId="1" type="noConversion"/>
  </si>
  <si>
    <t>no
The stentor does not exhibit the "contraction" behavior in this video. From 0.2 seconds to 9.2 seconds, the organism remains consistently in its extended “trumpet” shape — elongated with a clearly visible oral apparatus and ciliary fringe at the wide end. Although there is minor bending or repositioning of the stalk (e.g., slight curvature at 6.2–7.2 seconds), there is no visible shortening, rounding, or transformation into a compact “droplet” form. The overall morphology remains stable throughout, indicating no defensive contraction occurred during this observation period.</t>
    <phoneticPr fontId="1" type="noConversion"/>
  </si>
  <si>
    <t>yes
The stentor exhibits the "contraction" behavior between 7.2 seconds and 8.2 seconds. At 7.2 seconds, the organism is still visible in its extended “trumpet” shape, anchored with a defined oral apparatus near the pipette tip. By 8.2 seconds, it has abruptly contracted into a compact, rounded “droplet” form — the elongated stalk is no longer visible, and the body appears as a small, dense oval. This rapid morphological change is characteristic of defensive contraction, likely triggered by mechanical or chemical stimuli from the nearby pipette or particle movement. The contracted form remains visible in frame 9.2, confirming the behavior occurred and was sustained.</t>
    <phoneticPr fontId="1" type="noConversion"/>
  </si>
  <si>
    <t>no
The stentor does not exhibit the "contraction" behavior in this video. From 0.2 seconds to 9.2 seconds, the organism remains consistently in its extended “trumpet” shape — elongated with a clearly visible oral apparatus and ciliary fringe at the wide end. Although it appears slightly out of focus or partially obscured by debris, there is no visible shortening, rounding, or transformation into a compact “droplet” form. The overall morphology remains stable throughout, indicating no defensive contraction occurred during this observation period.</t>
    <phoneticPr fontId="1" type="noConversion"/>
  </si>
  <si>
    <t>yes
The stentor exhibits the "contraction" behavior between 5.2 seconds and 6.2 seconds. At 5.2 seconds, the organism is still visible in its extended “trumpet” shape, though partially obscured by debris and particle clouds. By 6.2 seconds, it has abruptly contracted into a compact, rounded “droplet” form — the elongated stalk and trumpet mouth are no longer distinguishable, and the body appears as a dense, dark oval. This rapid morphological change is characteristic of defensive contraction, likely triggered by mechanical or chemical stimuli from the nearby pipette tip and particle disturbance. The contracted form remains visible in subsequent frames (7.2–9.2), confirming the behavior occurred and was sustained.</t>
    <phoneticPr fontId="1" type="noConversion"/>
  </si>
  <si>
    <t>no
The stentor in the video does not exhibit the "contraction" behavior. Throughout the frames from 0.2 to 6.2 seconds, the organism maintains a relatively consistent elongated, somewhat curved shape — more akin to a “cigar” or “bean” than the extended “trumpet” form. There is no visible transition from an extended trumpet shape to a rounded “droplet” shape, which would indicate contraction. The organism appears to be either stationary or slowly adjusting its position relative to the micropipette, but it does not undergo the rapid shortening and rounding characteristic of stentor contraction. Therefore, the answer is “no.”</t>
    <phoneticPr fontId="1" type="noConversion"/>
  </si>
  <si>
    <t>no
In Video 2, there are two stentors visible. Neither exhibits the “contraction” behavior — that is, a transition from an extended “trumpet” shape to a rounded “droplet” shape.
- At 0.2 seconds, both stentors appear elongated and relatively static.
- From 1.2 to 9.2 seconds, they remain in similar extended forms with minor positional adjustments or slight bending, but no rapid shortening or rounding into a droplet shape occurs.
- The micropipette remains nearby but does not appear to trigger any contraction response in either organism during this time window.
Therefore, based on the visual evidence across all frames, the answer is “no.” No contraction behavior is observed.</t>
    <phoneticPr fontId="1" type="noConversion"/>
  </si>
  <si>
    <t>no
In Video 3, the stentor remains in a relatively stable, elongated, slightly curved form throughout the entire sequence (0.2 to 9.2 seconds). It does not exhibit any visible transition from an extended “trumpet” shape to a rounded “droplet” shape — the hallmark of contraction behavior.
- The organism shows minimal movement, possibly slight wiggling or repositioning, but no rapid shortening or body rounding.
- The micropipette is present and stationary nearby, but there is no observable stimulus-induced contraction.
- The overall morphology remains consistent across all frames.
Therefore, no contraction behavior is observed. The answer is “no.”</t>
    <phoneticPr fontId="1" type="noConversion"/>
  </si>
  <si>
    <t>yes
The stentor exhibits the “contraction” behavior between **0.2 seconds and 1.2 seconds**.
- At **0.2 seconds**, the stentor is in an extended, trumpet-like shape with its anterior end (oral apparatus) clearly visible and slightly flared.
- By **1.2 seconds**, the organism has rapidly shortened and rounded into a compact, droplet-like form — a clear indication of contraction.
- The change is abrupt and consistent with the known defensive or stress-induced contraction response of Stentor when stimulated (e.g., by mechanical contact from the micropipette, which is positioned very close to it).
This rapid morphological change from extended to contracted confirms that contraction occurred. Therefore, the answer is “yes,” and it happened between 0.2 and 1.2 seconds.</t>
    <phoneticPr fontId="1" type="noConversion"/>
  </si>
  <si>
    <t>no
In Video 5, the stentor remains in a relatively stable, elongated, slightly curved form throughout the entire sequence (0.2 to 9.2 seconds). It does not exhibit any visible transition from an extended “trumpet” shape to a rounded “droplet” shape — the defining characteristic of contraction behavior.
- The organism shows minor positional drift or slight bending, but no rapid shortening or rounding.
- Although a micropipette is present nearby, there is no observable stimulus-induced contraction.
- The morphology remains consistent across all frames, with no abrupt change indicative of contraction.
Therefore, no contraction behavior is observed. The answer is “no.”</t>
    <phoneticPr fontId="1" type="noConversion"/>
  </si>
  <si>
    <t>no
The stentor in the video does not exhibit the "contraction" behavior. In all frames from 0.2 to 9.2 seconds, the organism maintains a relatively consistent elongated, trumpet-like shape. There is no visible transition from an extended “trumpet” form to a contracted “droplet” form. The structure remains stable throughout the sequence, with no signs of rapid shortening or rounding up that would indicate contraction.</t>
    <phoneticPr fontId="1" type="noConversion"/>
  </si>
  <si>
    <t>no
The stentor in Video 2 does not exhibit the “contraction” behavior. Throughout the entire sequence (0.2 to 9.2 seconds), the organism remains in a relatively static, elongated, and slightly curved form — consistent with an extended or resting state. There is no visible shortening, rounding, or transformation into a compact “droplet” shape that characterizes contraction. The structure appears stable, and no dynamic morphological change indicative of contraction occurs during this time window.</t>
    <phoneticPr fontId="1" type="noConversion"/>
  </si>
  <si>
    <t>no
In Video 3, the stentor is not clearly visible in a recognizable extended “trumpet” shape at any point. The frames are extremely dark and noisy, with many small particles and possible debris obscuring the field of view. While there may be a rounded or compact object near the center-right (possibly a contracted stentor), there is no observable transition from an extended form to a contracted one — which is required to confirm the “contraction” behavior. Since we cannot establish a baseline extended shape or observe a dynamic change from trumpet to droplet, we cannot conclude that contraction occurred.
Therefore, based on the available visual evidence, the answer is **no**.</t>
    <phoneticPr fontId="1" type="noConversion"/>
  </si>
  <si>
    <t>no
In Video 4, the organism identified as a stentor (the elongated, dark object in the lower left) remains in a relatively consistent extended, cylindrical shape throughout all frames from 0.2 to 9.2 seconds. There is no visible transition from an extended “trumpet” form to a contracted “droplet” form. While there is some movement and slight rotation of the organism, its overall morphology does not change in a way that indicates contraction. The other round object in the field appears to be a different cell type (possibly a cyst or another ciliate) and does not exhibit stentor-like contraction behavior either.
Therefore, based on the absence of any observable shape change from extended to contracted, the answer is **no**.</t>
    <phoneticPr fontId="1" type="noConversion"/>
  </si>
  <si>
    <t>no
In Video 5, the stentor (the larger, elongated organism on the right) appears to be already in a contracted or partially contracted state at the beginning of the sequence (0.2 seconds), and it remains in that compact, rounded form throughout all frames up to 9.2 seconds. There is no visible transition from an extended “trumpet” shape to a contracted “droplet” shape — which is the defining characteristic of the contraction behavior we are looking for.
Since we cannot observe the dynamic change from extended to contracted (i.e., the actual act of contraction), we cannot confirm that the behavior occurred during this video clip. The organism may have contracted before the recording started.
Therefore, based on the absence of observable morphological transition, the answer is **no**.</t>
    <phoneticPr fontId="1" type="noConversion"/>
  </si>
  <si>
    <t>no
In Video 6, the stentor (the elongated, oval-shaped organism on the left) remains in a stable, extended form throughout the entire sequence from 0.2 to 9.2 seconds. There is no visible shortening, rounding, or transformation into a compact “droplet” shape that would indicate contraction. The organism’s morphology is consistent across all frames, and no dynamic change occurs.
Therefore, since no contraction behavior — defined as a transition from trumpet to droplet shape — is observed, the answer is **no**.</t>
    <phoneticPr fontId="1" type="noConversion"/>
  </si>
  <si>
    <t>no
In Video 7, the image quality is very low — dark, grainy, and with poor contrast — making it difficult to clearly identify any organism’s morphology. While there may be one or more rounded or oval-shaped objects that could be stentors, none are clearly visible in an extended “trumpet” shape at any point, nor is there any observable transition to a contracted “droplet” form. Without clear visualization of both states and the dynamic change between them, we cannot confirm that contraction occurred.
Therefore, based on insufficient visual evidence of the required morphological change, the answer is **no**.</t>
    <phoneticPr fontId="1" type="noConversion"/>
  </si>
  <si>
    <t>no
The stentor in the video does not exhibit the "contraction" behavior. Throughout the frames from 0.2 to 9.2 seconds, the organism maintains a consistent elongated, somewhat curved shape that resembles a droplet or slipper rather than the extended trumpet shape. There is no visible transition from an extended form to a contracted one; its morphology remains stable. Therefore, no contraction occurs in this clip.</t>
    <phoneticPr fontId="1" type="noConversion"/>
  </si>
  <si>
    <t>yes
The stentor exhibits the "contraction" behavior between approximately 6.2 and 7.2 seconds.
At 6.2 seconds, the stentor is still in a relatively extended, somewhat elongated shape. By 7.2 seconds, it has visibly shortened and rounded into a more compact, droplet-like form — a clear transition from an extended (trumpet-like) state to a contracted (droplet-like) state. This rapid morphological change is characteristic of stentor contraction, likely triggered by mechanical stimulation or environmental disturbance (possibly from the nearby pipette).
Therefore, contraction occurs around 6.2–7.2 seconds.</t>
    <phoneticPr fontId="1" type="noConversion"/>
  </si>
  <si>
    <t>no
The stentor in this video does not exhibit the "contraction" behavior. Throughout all frames from 0.2 to 9.2 seconds, the organism remains in a consistently contracted, rounded, or teardrop-shaped form. There is no visible transition from an extended “trumpet” shape to a contracted “droplet” shape — it appears to have already been in its contracted state at the beginning of the clip and maintains that shape throughout.
Therefore, no contraction occurs in this video.</t>
    <phoneticPr fontId="1" type="noConversion"/>
  </si>
  <si>
    <t>no
The stentor in this video does not exhibit the "contraction" behavior. Both visible stentors (one on the left, one on the right) maintain a consistent elongated, somewhat tapered shape throughout all frames from 0.2 to 9.2 seconds — resembling their extended “trumpet” form rather than transitioning into a contracted “droplet” shape.
There is no observable change in morphology that indicates contraction; they remain extended and relatively stable in form. Therefore, no contraction occurs in this clip.</t>
    <phoneticPr fontId="1" type="noConversion"/>
  </si>
  <si>
    <t>no
The stentor in this video does not exhibit the "contraction" behavior. Throughout all frames from 0.2 to 9.2 seconds, the organism (visible on the right side of the frame) maintains a consistent elongated, slightly curved shape — characteristic of its extended “trumpet” form. There is no visible transition into a rounded or compact “droplet” shape.
While there may be slight movement or rotation, the overall morphology remains unchanged, indicating no contraction has occurred. Therefore, the answer is "no".</t>
    <phoneticPr fontId="1" type="noConversion"/>
  </si>
  <si>
    <t>yes
The stentor exhibits the "contraction" behavior between approximately 1.2 and 3.2 seconds.
At 0.2–1.2 seconds, the stentor appears in a relatively extended, oval or slightly elongated shape — consistent with its “trumpet” form. By 2.2–3.2 seconds, it has visibly shortened and rounded into a compact, nearly spherical “droplet” shape. This rapid morphological change is a clear example of contraction, likely triggered by mechanical contact or proximity to the pipette tip visible in the frame.
Therefore, contraction occurs around 1.2–3.2 seconds.</t>
    <phoneticPr fontId="1" type="noConversion"/>
  </si>
  <si>
    <t>no
The stentor in this video does not exhibit the "contraction" behavior. Although a stentor becomes visible around 4.2 seconds and remains in view through 9.2 seconds, it maintains a consistent elongated, slightly curved shape — characteristic of its extended “trumpet” form — throughout the entire clip. There is no observable transition to a rounded or compact “droplet” shape.
Even as it moves slightly within the frame, its morphology remains stable, indicating no contraction has occurred. Therefore, the answer is "no".</t>
    <phoneticPr fontId="1" type="noConversion"/>
  </si>
  <si>
    <t>no
The stentor in this video does not exhibit the "contraction" behavior. The organism, visible in the upper left corner throughout all frames (0.2–9.2 seconds), maintains a consistent elongated, somewhat oval shape — typical of its extended “trumpet” form. There is no visible transition into a rounded or compact “droplet” shape at any point.
Its position and orientation shift slightly, but its overall morphology remains unchanged, indicating no contraction has occurred. Therefore, the answer is "no".</t>
    <phoneticPr fontId="1" type="noConversion"/>
  </si>
  <si>
    <t>no
The stentor in this video does not exhibit the "contraction" behavior. Throughout all frames from 0.2 to 9.2 seconds, the organism maintains a consistent elongated, oval shape with visible cilia — characteristic of its extended “trumpet” form. There is no observable transition into a rounded or compact “droplet” shape.
Although it moves slightly and rotates within the field of view, its morphology remains stable, indicating no contraction has occurred. Therefore, the answer is "no".</t>
    <phoneticPr fontId="1" type="noConversion"/>
  </si>
  <si>
    <t>no
The stentor in this video does not exhibit the "contraction" behavior. Throughout all frames from 0.2 to 9.2 seconds, the larger organism (the stentor) maintains a consistent elongated, tapered shape — characteristic of its extended “trumpet” form. There is no visible transition into a rounded or compact “droplet” shape.
While it exhibits slight movement and rotation, its overall morphology remains unchanged, indicating no contraction has occurred. Therefore, the answer is "no".</t>
    <phoneticPr fontId="1" type="noConversion"/>
  </si>
  <si>
    <t>no
The stentor in this video does not exhibit the "contraction" behavior. Throughout all frames from 0.2 to 9.2 seconds, the organism maintains a consistent elongated, slightly curved shape — typical of its extended “trumpet” form. There is no visible transition into a rounded or compact “droplet” shape.
Although it moves and rotates within the field of view, its overall morphology remains stable, indicating no contraction has occurred. Therefore, the answer is "no".</t>
    <phoneticPr fontId="1" type="noConversion"/>
  </si>
  <si>
    <t>no
The stentor in this video does not exhibit the "contraction" behavior. Throughout all frames from 0.2 to 9.2 seconds, the organism maintains a consistent elongated, teardrop-shaped form — characteristic of its extended “trumpet” state. There is no visible transition into a rounded or compact “droplet” shape.
Its position and orientation shift slightly, but its overall morphology remains unchanged, indicating no contraction has occurred. Therefore, the answer is "no".</t>
    <phoneticPr fontId="1" type="noConversion"/>
  </si>
  <si>
    <t>no
The stentor in the video remains in a relatively extended, elongated shape throughout all the provided frames (from 0.2 to 9.2 seconds). There is no visible transition from a "trumpet" shape to a compact "droplet" shape, which would indicate contraction. The organism appears to be slowly moving or adjusting its position, but it does not exhibit the rapid shortening and rounding characteristic of a contraction behavior.</t>
  </si>
  <si>
    <t>no
The stentor in the video remains in a relatively extended, elongated shape throughout all the provided frames (from 0.2 to 9.2 seconds). There is no visible transition from a "trumpet" shape to a compact "droplet" shape, which would indicate contraction. The organism appears to be slowly moving or adjusting its position, but it does not exhibit the rapid shortening and rounding characteristic of a contraction behavior.</t>
    <phoneticPr fontId="1" type="noConversion"/>
  </si>
  <si>
    <t>no
In Video 2, the stentor (the oval-shaped organism near the top center) remains in a relatively static, extended form throughout all frames (0.2 to 9.2 seconds). There is no observable change from an extended “trumpet” shape to a contracted “droplet” shape. The organism does not shorten or round up, which would indicate contraction. Its position and morphology appear consistent across the sequence, suggesting no contraction behavior occurred during this time window.</t>
    <phoneticPr fontId="1" type="noConversion"/>
  </si>
  <si>
    <t>no
In Video 3, the stentor (the elongated, dark organism in the lower right) remains in a relatively extended, slightly curved shape throughout all frames (0.2 to 9.2 seconds). There is no visible transition from an extended “trumpet” form to a contracted “droplet” form. The organism appears to be slowly rotating or drifting but does not shorten or round up, which would indicate contraction. No rapid or even gradual change in body shape consistent with contraction behavior is observed during this time window.</t>
    <phoneticPr fontId="1" type="noConversion"/>
  </si>
  <si>
    <t>yes
The stentor exhibits contraction behavior between approximately 7.2 and 8.2 seconds.
At 7.2 seconds, the stentor is in an extended, somewhat “trumpet-like” shape with a visible oral groove and elongated body. By 8.2 seconds, it has rapidly shortened and rounded into a compact, “droplet”-like form — a clear sign of contraction. This change is abrupt and consistent with the typical defensive or stress-induced contraction response seen in stentors. The transition occurs within one frame interval (between 7.2s and 8.2s), which is expected given the subsampled nature of the video and the speed of this behavior.</t>
    <phoneticPr fontId="1" type="noConversion"/>
  </si>
  <si>
    <t>no
The stentor in Video 5 remains in a relatively extended, elongated, and slightly curved shape throughout all frames (0.2 to 9.2 seconds). There is no visible transition from an extended “trumpet” form to a contracted “droplet” shape. While the organism appears to be slowly rotating or drifting, its overall morphology does not change significantly — it does not shorten or round up as would be expected during contraction. Therefore, no contraction behavior is observed in this video.</t>
    <phoneticPr fontId="1" type="noConversion"/>
  </si>
  <si>
    <t>no
The stentor in Video 6 maintains a consistent, elongated, and slightly curved “trumpet”-like shape throughout all frames (0.2 to 9.2 seconds). There is no observable transition to a compact, rounded “droplet” shape that would indicate contraction. The organism appears to be slowly rotating or adjusting its orientation, but its overall body length and form remain stable. No rapid shortening or rounding occurs, which are hallmarks of contraction behavior. Therefore, the stentor does not exhibit contraction in this video.</t>
    <phoneticPr fontId="1" type="noConversion"/>
  </si>
  <si>
    <t>yes
The stentor exhibits contraction behavior between approximately 6.2 and 7.2 seconds.
At 6.2 seconds, the stentor is clearly visible in an extended, elongated “trumpet” shape with a defined oral groove and ciliary fringe. By 7.2 seconds, it has rapidly contracted into a compact, rounded, “droplet”-like form — a classic sign of stentor contraction. This change is abrupt and occurs within one frame interval, consistent with the fast nature of this defensive response and the subsampled video format. The organism remains contracted or blurred due to movement through 8.2 and 9.2 seconds, further supporting that a contraction event occurred around 7.2 seconds.</t>
    <phoneticPr fontId="1" type="noConversion"/>
  </si>
  <si>
    <t>no
In Video 8, there is no clearly identifiable stentor exhibiting the characteristic “trumpet to droplet” shape change associated with contraction. The frame at 0.2 seconds shows a round, dark object that may be a contracted stentor or another ciliate, but it remains in a compact, rounded form throughout all frames (0.2 to 9.2 seconds). There is no visible transition from an extended shape to a contracted one — meaning we cannot confirm that a contraction *occurred* during this clip. Since the organism does not change from extended to contracted, and no clear “before and after” of contraction is observed, we conclude that contraction behavior is not exhibited in this video.</t>
    <phoneticPr fontId="1" type="noConversion"/>
  </si>
  <si>
    <t>no
The stentor in this video does not exhibit the "contraction" behavior. Throughout all frames from 0.2 to 9.2 seconds, the organism maintains a consistent elongated, slightly curved shape — characteristic of its extended “trumpet” form. There is no visible transition into a rounded or compact “droplet” shape.
Although it moves slightly and rotates within the field of view, its overall morphology remains stable, indicating no contraction has occurred. Therefore, the answer is "no".</t>
    <phoneticPr fontId="1" type="noConversion"/>
  </si>
  <si>
    <t>no
The stentor in Video 9 remains in a compact, rounded “droplet” shape throughout all frames (0.2 to 9.2 seconds). There is no visible transition from an extended “trumpet” form to this contracted state — meaning we cannot confirm that a contraction *occurred* during the video. Since the organism does not change shape from extended to contracted, and appears already contracted at the start of the clip, we conclude that contraction behavior is not exhibited in this video.</t>
    <phoneticPr fontId="1" type="noConversion"/>
  </si>
  <si>
    <t>no
The stentor remains in an extended, trumpet-like shape throughout all frames (0.2 to 9.2 seconds). There is no visible shortening, coiling, or transition into a compact droplet form that would indicate contraction. The organism exhibits minor positional drift and ciliary movement but maintains its elongated morphology without any rapid defensive retraction.</t>
  </si>
  <si>
    <t>yes
Contraction occurs between 3.2 seconds and 5.2 seconds. The stentor, initially visible in an extended trumpet shape at 3.2s, rapidly shortens and disappears from view by 5.2s — consistent with a full contraction into a compact, droplet-like form that is no longer clearly distinguishable from the background. This rapid retraction is characteristic of Stentor’s defensive contraction behavior.</t>
  </si>
  <si>
    <t>no
The stentor remains in a fully extended, trumpet-shaped configuration throughout all frames (0.2 to 9.2 seconds). There is no visible shortening, coiling, or transition into a compact droplet form. The organism exhibits slight undulations or ciliary motion but maintains its elongated morphology without any indication of contraction behavior.</t>
  </si>
  <si>
    <t>no
The stentor remains in an extended, trumpet-like shape throughout all frames (0.2 to 9.2 seconds). There is no visible transition to a compact, droplet-like form — the defining feature of contraction. While there is slight movement or drift, the organism does not exhibit rapid shortening or coiling. Thus, no contraction behavior is observed.</t>
  </si>
  <si>
    <t>yes
Contraction occurs between 4.2 seconds and 6.2 seconds. The stentor, clearly extended with a visible oral apparatus at 4.2s, rapidly shortens and retracts into a compact, rounded form by 5.2s, becoming nearly indistinguishable from the background by 6.2s — consistent with full contraction behavior.</t>
  </si>
  <si>
    <t>yes
Contraction occurs between 6.2 seconds and 7.2 seconds. The stentor, clearly visible in an extended, curved trumpet shape at 6.2s, rapidly retracts and disappears from view by 7.2s — consistent with a full contraction into a compact, droplet-like form that blends into the background debris. This abrupt disappearance indicates a rapid defensive contraction behavior.</t>
  </si>
  <si>
    <t>yes
The stentor exhibits the "contraction" behavior between 0.2 seconds and 7.2 seconds. At 0.2 seconds, the stentor is in its extended "trumpet" shape. By 7.2 seconds, it has rapidly contracted into a compact, rounded "droplet" shape. This change is clearly visible as the organism shortens and thickens significantly within this time frame.</t>
  </si>
  <si>
    <t>yes
The stentor exhibits the "contraction" behavior between 0.2 seconds and 5.2 seconds. At 0.2 seconds, it is in its extended "trumpet" shape. By 4.2 seconds, it has visibly begun to contract, and at 5.2 seconds, it is fully contracted into a small, rounded "droplet" shape, almost disappearing from view next to the micropipette. The organism remains in this contracted state through 6.2 seconds before beginning to re-extend.</t>
  </si>
  <si>
    <t>no
The stentor does not exhibit the "contraction" behavior in this video. Throughout the entire sequence from 0.2 seconds to 9.2 seconds, the organism remains in a relatively stable, extended "trumpet" shape. There is no observable change to a compact, rounded "droplet" form. The stentor appears to be stationary and maintains its elongated morphology without any signs of rapid shortening or thickening characteristic of contraction.</t>
  </si>
  <si>
    <t>yes
The stentor exhibits the "contraction" behavior between 0.2 seconds and 1.2 seconds. At 0.2 seconds, a stentor is visible in its extended "trumpet" shape on the right side of the frame. By 1.2 seconds, this same stentor has rapidly contracted into a compact, rounded "droplet" shape. The change is quick and distinct, with the organism losing its elongated form and becoming much smaller and more spherical. It remains in this contracted state for the rest of the video.</t>
  </si>
  <si>
    <t>no
The stentor does not exhibit the "contraction" behavior in this video. Throughout the entire sequence from 0.2 seconds to 9.2 seconds, the organism remains in its extended "trumpet" shape. While there is some slight bending or movement of the body, it never retracts into a compact, rounded "droplet" form. The overall length and morphology are maintained, indicating no contraction has occurred.</t>
  </si>
  <si>
    <t>yes
The stentor exhibits the "contraction" behavior between 0.2 seconds and 6.2 seconds. At 0.2 seconds, the stentor is clearly visible in its extended "trumpet" shape. By 4.2 seconds, it begins to contract, becoming shorter and thicker. At 6.2 seconds, it has fully contracted into a compact, rounded "droplet" shape and is no longer visible in its extended form. The organism remains contracted for the rest of the video, as seen at 8.2 and 9.2 seconds, where it appears as a small, oval-shaped body among the debris.</t>
  </si>
  <si>
    <t>no
The stentor does not exhibit the "contraction" behavior in this video. Throughout the entire sequence from 0.2 seconds to 9.2 seconds, the organism remains in its extended "trumpet" shape. Although it shows some slight bending or movement, particularly around 7.2–9.2 seconds where the body appears to flex, it never retracts into a compact, rounded "droplet" form. The overall elongated morphology is preserved, indicating no contraction has occurred.</t>
  </si>
  <si>
    <t>yes
The stentor exhibits the "contraction" behavior between 0.2 seconds and 8.2 seconds. At 0.2 seconds, the stentor is clearly visible in its extended "trumpet" shape. By 8.2 seconds, it has rapidly contracted into a compact, rounded "droplet" shape. The change is distinct: the organism shortens significantly and thickens, losing its elongated form. It remains in this contracted state at 9.2 seconds. This rapid morphological change from extended to compact confirms the contraction behavior.</t>
  </si>
  <si>
    <t>no
The stentor does not exhibit the "contraction" behavior in this video. Throughout the entire sequence from 0.2 seconds to 9.2 seconds, the organism remains in a stable, extended "trumpet" shape. There is no observable change to a compact, rounded "droplet" form. The stentor appears stationary and maintains its elongated morphology without any signs of rapid shortening or thickening characteristic of contraction.</t>
  </si>
  <si>
    <t>yes
The stentor exhibits the "contraction" behavior between 0.2 seconds and 1.2 seconds. At 0.2 seconds, the stentor is in its extended "trumpet" shape, with a long, slender body. By 1.2 seconds, it has rapidly contracted into a more compact, rounded "droplet" shape, significantly shortening its body and thickening its form. This change is quick and distinct, confirming the contraction behavior. The organism remains in this contracted state for the rest of the video.</t>
  </si>
  <si>
    <t>no
The stentor does not exhibit the "contraction" behavior in this video. Throughout the entire sequence from 0.2 seconds to 9.2 seconds, the organism remains in its extended "trumpet" shape. Although it shows some slight bending or movement (e.g., curving at 2.2–3.2 seconds), it never retracts into a compact, rounded "droplet" form. The overall elongated morphology is preserved, indicating no contraction has occurred.</t>
  </si>
  <si>
    <t>no
The stentor does not exhibit the "contraction" behavior in this video. Throughout the entire sequence from 0.2 seconds to 9.2 seconds, the organism remains in its extended "trumpet" shape. While it shows a slight curvature or bending of its body (e.g., at 0.2 and 3.2 seconds), there is no observable retraction into a compact, rounded "droplet" form. The overall elongated morphology is maintained without any signs of rapid shortening or thickening characteristic of contraction.</t>
  </si>
  <si>
    <t>no
The stentor does not exhibit the "contraction" behavior in this video. Throughout the entire sequence from 0.2 seconds to 9.2 seconds, the organism remains in its extended "trumpet" shape. Although it shows a slight bend or curve in its body (e.g., at 0.2 and 3.2 seconds), there is no visible retraction into a compact, rounded "droplet" form. The overall elongated morphology is preserved without any signs of rapid shortening or thickening characteristic of contraction.</t>
  </si>
  <si>
    <t>Qwen_judge</t>
  </si>
  <si>
    <t>Prompt 1</t>
    <phoneticPr fontId="1" type="noConversion"/>
  </si>
  <si>
    <t>C</t>
    <phoneticPr fontId="1" type="noConversion"/>
  </si>
  <si>
    <t>GT/Prediction</t>
    <phoneticPr fontId="1" type="noConversion"/>
  </si>
  <si>
    <t>Non-C (A)</t>
    <phoneticPr fontId="1" type="noConversion"/>
  </si>
  <si>
    <t>Non-C (B)</t>
    <phoneticPr fontId="1" type="noConversion"/>
  </si>
  <si>
    <t>Non-C (D)</t>
    <phoneticPr fontId="1" type="noConversion"/>
  </si>
  <si>
    <t>Non-C</t>
    <phoneticPr fontId="1" type="noConversion"/>
  </si>
  <si>
    <t>TP</t>
    <phoneticPr fontId="1" type="noConversion"/>
  </si>
  <si>
    <t>FP</t>
    <phoneticPr fontId="1" type="noConversion"/>
  </si>
  <si>
    <t>FN</t>
    <phoneticPr fontId="1" type="noConversion"/>
  </si>
  <si>
    <t>TN</t>
    <phoneticPr fontId="1" type="noConversion"/>
  </si>
  <si>
    <t>Model</t>
    <phoneticPr fontId="1" type="noConversion"/>
  </si>
  <si>
    <t>Q3Max</t>
    <phoneticPr fontId="1" type="noConversion"/>
  </si>
  <si>
    <t>see 5A_1222, 4 0010</t>
    <phoneticPr fontId="1" type="noConversion"/>
  </si>
  <si>
    <t>see 18A/18B, 14C 1309</t>
    <phoneticPr fontId="1" type="noConversion"/>
  </si>
  <si>
    <t>yes
The stentor changes from an extended trumpet-like shape (visible in frames 0-5) to a condensed, ball-like shape (visible in frame 6), which meets the definition of a contraction.</t>
    <phoneticPr fontId="1" type="noConversion"/>
  </si>
  <si>
    <t>yes
The stentor transitions from an extended trumpet-like shape (visible in early frames) to a condensed form where the "head" and "tail" are closer together (evident in later frames), fulfilling the definition of a contraction.</t>
    <phoneticPr fontId="1" type="noConversion"/>
  </si>
  <si>
    <t>no
The stentor remains in an extended trumpet-like shape throughout all frames of the video and does not transition to a condensed, ball-like shape at any point.</t>
    <phoneticPr fontId="1" type="noConversion"/>
  </si>
  <si>
    <t>no
The stentor maintains an extended shape throughout all frames and does not exhibit a transition to a condensed, ball-like form at any point in the video.</t>
    <phoneticPr fontId="1" type="noConversion"/>
  </si>
  <si>
    <t>no
The stentor remains in an extended shape throughout all frames and does not transition to a condensed, ball-like form at any point in the video.</t>
    <phoneticPr fontId="1" type="noConversion"/>
  </si>
  <si>
    <t>no
The stentor remains in an extended trumpet-like shape throughout all frames and does not transition to a condensed, ball-like form at any point in the video.</t>
    <phoneticPr fontId="1" type="noConversion"/>
  </si>
  <si>
    <t>yes
The stentor transitions from an extended trumpet-like shape (visible in frames 0-4) to a condensed form (evident in later frames), fulfilling the definition of a contraction.</t>
    <phoneticPr fontId="1" type="noConversion"/>
  </si>
  <si>
    <t>yes
The stentor transitions from an extended trumpet-like shape (visible in early frames) to a condensed form (evident in later frames), fulfilling the definition of a contraction.</t>
    <phoneticPr fontId="1" type="noConversion"/>
  </si>
  <si>
    <t>no
The stentor remains in an extended shape throughout all frames and does not exhibit a transition to a condensed, ball-like form at any point in the video.</t>
    <phoneticPr fontId="1" type="noConversion"/>
  </si>
  <si>
    <t>yes
The stentor transitions from an extended shape (visible in early frames) to a condensed form (no longer visible in the extended position in later frames), fulfilling the definition of a contraction.</t>
    <phoneticPr fontId="1" type="noConversion"/>
  </si>
  <si>
    <t>Prompt 2</t>
    <phoneticPr fontId="1" type="noConversion"/>
  </si>
  <si>
    <t>Q3-VL235B-A22B</t>
    <phoneticPr fontId="1" type="noConversion"/>
  </si>
  <si>
    <t>yes
The stentor transitions from an extended trumpet-like shape (visible in early frames) to a condensed form (no longer visible in the extended position in later frames), fulfilling the definition of a contraction.</t>
    <phoneticPr fontId="1" type="noConversion"/>
  </si>
  <si>
    <t>no  
The stentor in the video frames remains elongated and trumpet-shaped throughout, with no observable shortening or rounding into a ball-like form. The distance between its head and tail does not decrease significantly, and there is no evidence of rapid or slow contraction as defined.</t>
    <phoneticPr fontId="1" type="noConversion"/>
  </si>
  <si>
    <t>yes  
The stentor is clearly visible in the first few frames in an extended, trumpet-like shape (e.g., at 0.2–0.4 s), with a distinct head and elongated body. By frame 0.5 s onward, the stentor disappears from view—consistent with rapid contraction into a compact, ball-like form that moves out of the focal plane or becomes too small/dense to resolve. This abrupt disappearance after being clearly extended matches the expected behavior of a fast contraction, as defined.</t>
    <phoneticPr fontId="1" type="noConversion"/>
  </si>
  <si>
    <t>yes  
The stentor is initially visible in an extended, trumpet-shaped form (0.2–0.4 s), with a clear elongated body and distinct head region. By 0.6 s, it has disappeared from the field of view—its outline is no longer discernible, and only diffuse granular debris remains near the original location. This abrupt loss of recognizable morphology, following an extended state, is consistent with a rapid contraction into a condensed, ball-like shape that either moves out of focus or becomes too compact to resolve under the microscope. This matches the defined behavior of contraction.</t>
    <phoneticPr fontId="1" type="noConversion"/>
  </si>
  <si>
    <t>yes  
The stentor is clearly extended in frames 0.2–0.5 s, showing a long, tapering body with a distinct oral end (head) and visible ciliary rows. By frame 0.6 s, it is no longer visible—only background particles and debris remain in that region. The sudden disappearance after being fully extended is characteristic of a rapid contraction into a compact, spherical form that moves out of the focal plane or becomes unresolved. This satisfies the definition of contraction.</t>
    <phoneticPr fontId="1" type="noConversion"/>
  </si>
  <si>
    <t>yes  
The stentor is visible in an extended, trumpet-like shape at 0.2–0.2 s and remains clearly elongated through 0.2–0.3 s. By 0.4 s, it is no longer discernible in its original location—only diffuse granular material remains where it was. This abrupt disappearance after being fully extended is consistent with a rapid contraction into a condensed, ball-like form that moves out of focus or becomes unresolved, satisfying the definition of contraction.</t>
    <phoneticPr fontId="1" type="noConversion"/>
  </si>
  <si>
    <t>yes  
The stentor is clearly extended in frames 0.2–0.4 s, displaying a classic trumpet shape with a distinct oral end and elongated body. By frame 0.5 s, it begins to shorten and thicken; by 0.6–0.9 s, it appears as a compact, rounded mass near the pipette tip—no longer elongated, with head and tail regions merged into a condensed form. This morphological change from extended to ball-like satisfies the definition of contraction.</t>
    <phoneticPr fontId="1" type="noConversion"/>
  </si>
  <si>
    <t>yes  
The stentor is clearly extended in frames 0.2–0.4 s, with a visible elongated body and distinct oral end (head). By frame 0.5 s, it is no longer visible in its original position—only background particles remain. Its abrupt disappearance after being fully extended indicates a rapid contraction into a condensed, ball-like form that moved out of focus or became unresolved, fulfilling the definition of contraction.</t>
    <phoneticPr fontId="1" type="noConversion"/>
  </si>
  <si>
    <t>yes  
The stentor is clearly extended in frames 0.2–0.5 s, exhibiting a long, slender body with a distinct trumpet-shaped oral end. By frame 0.6 s, it is no longer visible in that location—only background particles remain. This sudden disappearance after being fully extended is consistent with a rapid contraction into a condensed, ball-like form that moves out of focus or becomes unresolved, satisfying the definition of contraction.</t>
    <phoneticPr fontId="1" type="noConversion"/>
  </si>
  <si>
    <t>yes  
The stentor on the left is clearly extended in frames 0.2–0.4 s, with a long body and distinct oral end. By frame 0.5 s, it vanishes from view, while the other stentor (on the pipette) remains visible and unchanged. The abrupt disappearance of the left stentor after being fully extended is consistent with a rapid contraction into a condensed, ball-like form that moves out of focus or becomes unresolved—meeting the definition of contraction.</t>
    <phoneticPr fontId="1" type="noConversion"/>
  </si>
  <si>
    <t>yes  
At 0.2 s, a stentor is visible in an extended, trumpet-like shape in the lower-left region. By 0.3–0.4 s, it begins to shorten and round up; by 0.5 s onward, it appears as a compact, spherical mass (distinct from background debris) near the same location—matching the “contracted” morphology shown in the reference image. The transition from extended to condensed ball-like form confirms contraction.</t>
    <phoneticPr fontId="1" type="noConversion"/>
  </si>
  <si>
    <t>yes  
A stentor is clearly extended in frames 0.2–0.3 s (trumpet-shaped, with visible oral end and elongated body). By frame 0.5 s, it has shortened significantly and appears as a dense, rounded mass near the same location—distinct from surrounding debris and consistent with the contracted morphology in the reference image. The change from extended to condensed ball-like shape confirms contraction.</t>
    <phoneticPr fontId="1" type="noConversion"/>
  </si>
  <si>
    <t>yes  
The stentor in the upper-left is clearly extended at 0.2–0.3 s, with a recognizable elongated body and tapered oral end. By 0.4 s, it begins to shorten; by 0.5–0.9 s, it appears as a compact, dark, rounded mass—no longer trumpet-shaped, and distinct from surrounding debris. This morphological transition from extended to condensed ball-like form satisfies the definition of contraction.</t>
    <phoneticPr fontId="1" type="noConversion"/>
  </si>
  <si>
    <t>yes
The stentor transitions from an extended trumpet-like shape (visible in frames 0.2–4 seconds) to a condensed form that is no longer visible as an extended structure by frame 5 seconds, indicating a contraction.</t>
    <phoneticPr fontId="1" type="noConversion"/>
  </si>
  <si>
    <t>yes
The stentor transitions from an extended trumpet-like shape (visible at 0.2 seconds) to a condensed ball-like shape (evident by 5 seconds and maintained in later frames), confirming a contraction.</t>
    <phoneticPr fontId="1" type="noConversion"/>
  </si>
  <si>
    <t>yes
The stentor is initially extended (visible in frames 0.2–4 seconds) and then transitions to a condensed, ball-like shape by frame 5 seconds, indicating a contraction.</t>
    <phoneticPr fontId="1" type="noConversion"/>
  </si>
  <si>
    <t>yes
The stentor is extended in the 0.2-second frame and no longer visible in its extended form by 1.2 seconds, indicating a transition to a condensed shape (contraction).</t>
    <phoneticPr fontId="1" type="noConversion"/>
  </si>
  <si>
    <t>yes
The stentor is extended in the 0.2-second frame and transitions to a condensed shape (no longer visible as an extended structure) by 5 seconds, indicating a contraction.</t>
    <phoneticPr fontId="1" type="noConversion"/>
  </si>
  <si>
    <t>yes
The stentor is extended in the initial frames (0.2–2.2 seconds) and no longer visible in its extended form by 3 seconds, indicating a transition to a condensed shape (contraction).</t>
    <phoneticPr fontId="1" type="noConversion"/>
  </si>
  <si>
    <t>yes
The stentor is extended in the initial frames (0.2–4 seconds) and no longer visible in its extended form by 5 seconds, indicating a transition to a condensed shape (contraction).</t>
    <phoneticPr fontId="1" type="noConversion"/>
  </si>
  <si>
    <t>yes
The stentor is extended in the initial frames (0.2–4 seconds) and transitions to a condensed shape (no longer visible as an extended structure) by frame 5 seconds, indicating a contraction.</t>
    <phoneticPr fontId="1" type="noConversion"/>
  </si>
  <si>
    <t>yes
The stentor is extended in the initial frames (0.2–3.2 seconds) and no longer visible in its extended form by 4.2 seconds, indicating a transition to a condensed shape (contraction).</t>
    <phoneticPr fontId="1" type="noConversion"/>
  </si>
  <si>
    <t>yes
The stentor is extended in the initial frames (0.2–4.2 seconds) and no longer visible in its extended form by 5.2 seconds, indicating a transition to a condensed shape (contraction).</t>
    <phoneticPr fontId="1" type="noConversion"/>
  </si>
  <si>
    <t>yes
The stentor is extended in the initial frames (0.2–5.2 seconds) and no longer visible in its extended form by 6.2 seconds, indicating a transition to a condensed shape (contraction).</t>
    <phoneticPr fontId="1" type="noConversion"/>
  </si>
  <si>
    <t>yes
The stentor changes from an extended trumpet-like shape in the initial frames to a condensed, ball-like shape in later frames (e.g., frame 5 and beyond), which matches the definition of a contraction.</t>
    <phoneticPr fontId="1" type="noConversion"/>
  </si>
  <si>
    <t>yes
The stentor transitions from an extended trumpet-like shape in the initial frames to a condensed, ball-like shape in later frames (e.g., frame 5 onward), fulfilling the definition of a contraction.</t>
    <phoneticPr fontId="1" type="noConversion"/>
  </si>
  <si>
    <t>yes
The stentor changes from an extended trumpet-like shape in the initial frames to a condensed, ball-like shape in later frames (e.g., frame 4 onward), which matches the definition of a contraction.</t>
    <phoneticPr fontId="1" type="noConversion"/>
  </si>
  <si>
    <t>no
The stentor remains in a condensed, ball-like shape throughout the video frames and does not transition from an extended trumpet-like shape to a condensed shape within the observed sequence.</t>
    <phoneticPr fontId="1" type="noConversion"/>
  </si>
  <si>
    <t>no
The stentor remains in a condensed, ball-like shape throughout all frames and does not exhibit a transition from an extended trumpet-like shape to a condensed shape within the video sequence.</t>
    <phoneticPr fontId="1" type="noConversion"/>
  </si>
  <si>
    <t>yes
The stentor transitions from an extended trumpet-like shape in the initial frames (0.2–3.2 seconds) to a condensed, ball-like shape in later frames (5.2 seconds onward), fulfilling the definition of a contraction.</t>
    <phoneticPr fontId="1" type="noConversion"/>
  </si>
  <si>
    <t>yes
The stentor transitions from an extended trumpet-like shape in the initial frames (0.2–4.2 seconds) to a condensed, ball-like shape in later frames (5.2 seconds onward), fulfilling the definition of a contraction.</t>
    <phoneticPr fontId="1" type="noConversion"/>
  </si>
  <si>
    <t>no
The stentors in the video maintain their extended, trumpet-like shapes throughout all frames and do not transition to a condensed, ball-like shape, so no contraction is observed.</t>
    <phoneticPr fontId="1" type="noConversion"/>
  </si>
  <si>
    <t>no
The stentors in the video maintain their extended shapes throughout all frames and do not transition to a condensed, ball-like shape, so no contraction is observed.</t>
    <phoneticPr fontId="1" type="noConversion"/>
  </si>
  <si>
    <t>yes
The stentor transitions from an extended trumpet-like shape in the initial frames (0.2–3.2 seconds) to a condensed, ball-like shape in later frames (4.2 seconds onward), fulfilling the definition of a contraction.</t>
    <phoneticPr fontId="1" type="noConversion"/>
  </si>
  <si>
    <t>yes
The stentor transitions from an extended trumpet-like shape in the initial frames (0.2–2.2 seconds) to a condensed, ball-like shape in later frames (3.2 seconds onward), fulfilling the definition of a contraction.</t>
    <phoneticPr fontId="1" type="noConversion"/>
  </si>
  <si>
    <t>yes
The stentor transitions from an extended trumpet-like shape in the initial frames to a condensed, ball-like shape in frame 3, fulfilling the definition of a contraction.</t>
    <phoneticPr fontId="1" type="noConversion"/>
  </si>
  <si>
    <t>yes
The stentor transitions from an extended trumpet-like shape in the initial frames (0.2–3.2 seconds) to a condensed, ball-like shape (no longer visible in extended form from frame 4.2 seconds onward), fulfilling the definition of a contraction.</t>
    <phoneticPr fontId="1" type="noConversion"/>
  </si>
  <si>
    <t>yes  
The stentor transitions from an extended, trumpet-like shape (frames 0–4) to a condensed, rounded form (frames 5–9), where the head and tail are no longer elongated and distinct—matching the definition of contraction. The change occurs rapidly between frames 4 and 5, consistent with typical fast contractions.</t>
    <phoneticPr fontId="1" type="noConversion"/>
  </si>
  <si>
    <t>yes  
The stentor starts in an extended trumpet shape (frames 0–3) and by frame 4 is visibly shortening, completing a condensed, ball-like form by frame 5 that persists through frame 9—fulfilling the definition of contraction. The transition occurs rapidly between frames 3 and 5, consistent with a fast contraction event.</t>
    <phoneticPr fontId="1" type="noConversion"/>
  </si>
  <si>
    <t>no  
The stentor remains in an elongated, trumpet-like shape throughout all frames (0–9), with no observable shortening or condensation into a ball-like form; the distance between head and tail stays relatively constant, and no contraction event occurs.</t>
    <phoneticPr fontId="1" type="noConversion"/>
  </si>
  <si>
    <t>yes  
The stentor begins in an extended trumpet shape (frames 0–3), then rapidly contracts between frames 3 and 4: the elongated body collapses into a dense, rounded mass that is no longer distinguishable as a head-tail structure, and remains condensed through frame 9—meeting the definition of contraction.</t>
    <phoneticPr fontId="1" type="noConversion"/>
  </si>
  <si>
    <t>yes  
The stentor starts in a partially extended shape (frame 0), then progressively shortens and condenses from frame 1 onward, losing its trumpet morphology and becoming a compact, dark, ball-like mass by frames 4–9—consistent with a contraction event.</t>
    <phoneticPr fontId="1" type="noConversion"/>
  </si>
  <si>
    <t>yes  
The stentor begins in an extended trumpet shape (frames 0–3), then contracts rapidly between frames 3 and 5, losing its elongated structure and forming a condensed, rounded mass that persists through frame 9—meeting the definition of contraction.</t>
    <phoneticPr fontId="1" type="noConversion"/>
  </si>
  <si>
    <t>yes  
The stentor is extended in frames 0–4 (trumpet shape) and contracts by frame 5 into a condensed, rounded mass that persists through frame 9—fulfilling the definition of contraction.</t>
    <phoneticPr fontId="1" type="noConversion"/>
  </si>
  <si>
    <t>yes  
The stentor is visible in an extended trumpet shape in frame 4, then transitions to a condensed, rounded mass in subsequent frames (5–9), where the head and tail are no longer distinguishable—fulfilling the definition of contraction.</t>
    <phoneticPr fontId="1" type="noConversion"/>
  </si>
  <si>
    <t>no  
The stentor remains in an extended trumpet-like shape throughout all frames (0.2–9 seconds), with no observable transition to a condensed, ball-like form; the distance between head and tail stays consistent, indicating no contraction.</t>
    <phoneticPr fontId="1" type="noConversion"/>
  </si>
  <si>
    <t>yes  
The stentor transitions from an extended trumpet shape (frames 0–3) to a condensed, rounded mass (frames 4–9), where the head and tail are no longer distinguishable—fulfilling the definition of contraction.</t>
    <phoneticPr fontId="1" type="noConversion"/>
  </si>
  <si>
    <t>yes  
Two stentors are visible in extended trumpet shapes (frames 0–4); by frame 5, both disappear from their extended positions, and condensed, rounded masses appear in subsequent frames (7–9), confirming contraction events for both organisms.</t>
    <phoneticPr fontId="1" type="noConversion"/>
  </si>
  <si>
    <t>yes  
The stentor begins in an extended, elongated shape (frames 0–4) and contracts into a condensed, rounded mass by frame 5, maintaining this form through frame 9—fulfilling the definition of contraction.</t>
    <phoneticPr fontId="1" type="noConversion"/>
  </si>
  <si>
    <t>no  
The stentor remains in an elongated, trumpet-like shape throughout all visible frames (2–9), with no transition to a condensed, ball-like form; the distance between head and tail stays consistent, indicating no contraction.</t>
    <phoneticPr fontId="1" type="noConversion"/>
  </si>
  <si>
    <t>yes  
The stentor begins in an extended trumpet shape (frames 0.2–3.2) and transitions to a condensed, rounded mass by frame 4, maintaining this form through frame 9—fulfilling the definition of contraction.</t>
    <phoneticPr fontId="1" type="noConversion"/>
  </si>
  <si>
    <t>yes  
The stentor transitions from an extended trumpet shape (frames 0.2–5.2) to a condensed, rounded mass (frames 6–9), where the head and tail are no longer distinguishable—fulfilling the definition of contraction.</t>
    <phoneticPr fontId="1" type="noConversion"/>
  </si>
  <si>
    <t>yes  
The stentor begins in an extended trumpet shape (frames 0.2–3) and transitions to a condensed, rounded mass by frame 5, maintaining this form through frame 9—fulfilling the definition of contraction.</t>
    <phoneticPr fontId="1" type="noConversion"/>
  </si>
  <si>
    <t>yes
The stentor transitions from an extended, trumpet-like shape in the initial frames (e.g., 0.2–3.2 seconds) to a condensed, oval/ball-like shape in frame 4.2 seconds, which matches the defined contraction behavior. This shape change from extended to condensed confirms a contraction occurred.</t>
    <phoneticPr fontId="1" type="noConversion"/>
  </si>
  <si>
    <t>yes
The stentor transitions from an extended, trumpet-like shape in frames 0.2–4.2 seconds to a condensed, oval/ball-like shape in frame 5.2 seconds, matching the defined contraction behavior. This shape change confirms a contraction occurred.</t>
    <phoneticPr fontId="1" type="noConversion"/>
  </si>
  <si>
    <t>yes
The stentor transitions from an extended, trumpet-like shape in frames 0.2–4.2 seconds to a condensed, ball-like shape in frame 5.2 seconds, matching the defined contraction behavior. This shape change confirms a contraction occurred.</t>
    <phoneticPr fontId="1" type="noConversion"/>
  </si>
  <si>
    <t>yes
The stentor transitions from an extended, trumpet-like shape in frames 0.2–2.2 seconds to a condensed, ball-like shape in frame 4.2 seconds, matching the defined contraction behavior. This shape change confirms a contraction occurred.</t>
    <phoneticPr fontId="1" type="noConversion"/>
  </si>
  <si>
    <t>yes
The stentor transitions from an extended, trumpet-like shape in frames 0.2–3.2 seconds to a condensed, ball-like shape in frame 4.2 seconds, matching the defined contraction behavior. This shape change confirms a contraction occurred.</t>
    <phoneticPr fontId="1" type="noConversion"/>
  </si>
  <si>
    <t>yes
The stentor transitions from an extended, trumpet-like shape in frame 0.2 seconds to a condensed, ball-like shape by frame 5.2 seconds, matching the defined contraction behavior. This shape change confirms a contraction occurred.</t>
    <phoneticPr fontId="1" type="noConversion"/>
  </si>
  <si>
    <t>yes
In the video, the stentor changes from an extended trumpet-like shape in earlier frames to a condensed, more rounded shape in later frames (e.g., around the 5-second mark), which matches the definition of a contraction.</t>
    <phoneticPr fontId="1" type="noConversion"/>
  </si>
  <si>
    <t>no
The stentor remains in an extended, trumpet-like shape throughout all visible frames and does not transition to a condensed, ball-like shape at any point.</t>
    <phoneticPr fontId="1" type="noConversion"/>
  </si>
  <si>
    <t>yes
In Video 3, the stentor transitions from an extended trumpet-like shape in earlier frames to a condensed, rounded shape in frame 6, which meets the definition of a contraction.</t>
    <phoneticPr fontId="1" type="noConversion"/>
  </si>
  <si>
    <t>yes
In Video 4, the stentor changes from an extended trumpet-like shape in the initial frames to a condensed, rounded shape in later frames (e.g., around the 5-6 second mark), which qualifies as a contraction.</t>
    <phoneticPr fontId="1" type="noConversion"/>
  </si>
  <si>
    <t>no
The stentor remains in an extended trumpet-like shape through the first four frames and then disappears from view without transitioning to a condensed, ball-like shape at any point.</t>
    <phoneticPr fontId="1" type="noConversion"/>
  </si>
  <si>
    <t>yes
In Video 6, the stentor transitions from an extended trumpet-like shape in the initial frames to a condensed, rounded shape by frame 5, which meets the definition of a contraction.</t>
    <phoneticPr fontId="1" type="noConversion"/>
  </si>
  <si>
    <t>no
The stentor remains in an extended trumpet-like shape through frames 0 to 5 and then disappears from view without transitioning to a condensed, ball-like shape at any point.</t>
    <phoneticPr fontId="1" type="noConversion"/>
  </si>
  <si>
    <t>yes
In Video 8, the stentor transitions from an extended trumpet-like shape in the early frames to a condensed, rounded shape by frame 4, which meets the definition of a contraction.</t>
    <phoneticPr fontId="1" type="noConversion"/>
  </si>
  <si>
    <t>yes
The stentor changes from an extended trumpet-like shape (visible in early frames) to a condensed ball-like shape (evident in frame 5), meeting the definition of contraction.</t>
    <phoneticPr fontId="1" type="noConversion"/>
  </si>
  <si>
    <t>yes
The stentor transitions from an extended trumpet-like shape (visible in frames 0.2–5 seconds) to a condensed ball-like shape (evident in frames 7–9 seconds), satisfying the definition of contraction.</t>
    <phoneticPr fontId="1" type="noConversion"/>
  </si>
  <si>
    <t>no
The stentor remains in an extended trumpet-like shape throughout all frames (0.2–9 seconds) without transitioning to a condensed ball-like shape, so no contraction is observed.</t>
    <phoneticPr fontId="1" type="noConversion"/>
  </si>
  <si>
    <t>yes
In Video 9, the stentor transitions from an extended trumpet-like shape in the initial frames to a condensed, rounded shape in later frames (e.g., by frame 6), which meets the definition of a contraction.</t>
    <phoneticPr fontId="1" type="noConversion"/>
  </si>
  <si>
    <t>yes
The stentor transitions from an extended trumpet-like shape (frames 0.2–4 seconds) to a condensed ball-like shape (evident from frame 5 onward), meeting the definition of contraction.</t>
    <phoneticPr fontId="1" type="noConversion"/>
  </si>
  <si>
    <t>yes
The stentor changes from an extended trumpet-like shape (visible in frames 0.2–4 seconds) to a condensed ball-like shape (evident from frame 5 onward), fulfilling the definition of contraction.</t>
    <phoneticPr fontId="1" type="noConversion"/>
  </si>
  <si>
    <t>yes
The stentor transitions from an extended trumpet-like shape (frames 0.2–4 seconds) to a condensed ball-like shape (evident in frame 5), meeting the definition of contraction.</t>
    <phoneticPr fontId="1" type="noConversion"/>
  </si>
  <si>
    <t>yes
The stentor changes from an extended trumpet-like shape (visible in frames 0.2–5 seconds) to a condensed ball-like shape (evident in frames 6–9 seconds), satisfying the definition of contraction.</t>
    <phoneticPr fontId="1" type="noConversion"/>
  </si>
  <si>
    <t>yes
The stentor transitions from an extended trumpet-like shape (visible in frames 0.2–4 seconds) to a condensed ball-like shape (evident in frames 5–9 seconds), meeting the definition of contraction.</t>
    <phoneticPr fontId="1" type="noConversion"/>
  </si>
  <si>
    <t>yes
The stentor transitions from an extended trumpet-like shape (visible in early frames) to a condensed ball-like shape (evident in later frames), meeting the definition of contraction.</t>
    <phoneticPr fontId="1" type="noConversion"/>
  </si>
  <si>
    <t>Qwen_judge Q3-VL235B-A22B</t>
  </si>
  <si>
    <t>no  
The stentor remains in an extended, trumpet-like shape throughout all frames; there is no visible shortening or condensation into a ball-like form. The distance between the head and tail remains large and stable, consistent with a resting (non-contracted) state.</t>
    <phoneticPr fontId="1" type="noConversion"/>
  </si>
  <si>
    <t>no  
The stentor maintains an extended, trumpet-shaped morphology across all frames; its head and tail remain widely separated with no visible shortening or rounding into a condensed, ball-like shape. Although there is some movement (e.g., slight bending or ciliary activity), no contraction occurs.</t>
    <phoneticPr fontId="1" type="noConversion"/>
  </si>
  <si>
    <t>no  
The stentor remains elongated and slender throughout all frames, with no reduction in length or transition to a condensed, ball-like shape. Its head and tail stay distinctly separated, consistent with a non-contracted (resting or swimming) state.</t>
    <phoneticPr fontId="1" type="noConversion"/>
  </si>
  <si>
    <t>no  
The stentor remains in an elongated, tapered shape across all frames with no visible shortening or rounding into a condensed, ball-like form; the distance between head and tail is consistently large, indicating no contraction occurred.</t>
    <phoneticPr fontId="1" type="noConversion"/>
  </si>
  <si>
    <t>yes  
In frames 0.2–1.2 s, the stentor is extended; by frame 2.2 s and onward, it rapidly shortens and rounds up into a compact, ball-like shape with the head and tail brought close together—consistent with a full contraction. The change is clear and meets the definition provided.</t>
    <phoneticPr fontId="1" type="noConversion"/>
  </si>
  <si>
    <t>yes  
At 0.2–0.4 s, two stentors are visible in extended forms; by 1.2 s, the right stentor has shortened significantly and rounded into a compact, ball-like shape (head near tail), while the left stentor remains extended. The right organism clearly undergoes contraction, satisfying the definition.</t>
    <phoneticPr fontId="1" type="noConversion"/>
  </si>
  <si>
    <t>no  
The stentor remains in a consistently extended, trumpet-like shape across all frames; there is no shortening or rounding into a condensed, ball-like form. The distance between head and tail stays large, indicating no contraction occurred.</t>
    <phoneticPr fontId="1" type="noConversion"/>
  </si>
  <si>
    <t>no  
The stentor remains in an extended, trumpet-shaped morphology throughout all frames; although it moves slightly and the focus shifts, there is no visible shortening or condensation into a ball-like shape. The head and tail stay distinctly separated, indicating no contraction occurred.</t>
    <phoneticPr fontId="1" type="noConversion"/>
  </si>
  <si>
    <t>yes  
In the early frames (0.2–4.2 s), the stentor is extended in a trumpet-like shape; by frame 5.2 s and onward, it transitions to a condensed, ball-like form with the head and tail brought close together, satisfying the definition of contraction.</t>
    <phoneticPr fontId="1" type="noConversion"/>
  </si>
  <si>
    <t>yes  
In frames 0.2–5.2 s, the stentor is extended in a trumpet-like shape; by frame 6.2 s and onward, it transitions to a condensed, ball-like form (no longer elongated, with head and tail close together), confirming a contraction.</t>
    <phoneticPr fontId="1" type="noConversion"/>
  </si>
  <si>
    <t>yes  
In frames 0.2–6.2 s, the stentor is extended in a trumpet-like shape; by frame 7.2 s and onward, it is no longer visible in the extended form, indicating it contracted into a condensed, ball-like shape (consistent with the definition of contraction).</t>
    <phoneticPr fontId="1" type="noConversion"/>
  </si>
  <si>
    <t>yes  
In frames 0.2–5.2 s, stentors are visible in extended, trumpet-like shapes; by frame 6.2 s and onward, they are no longer present in the extended form, indicating they contracted into condensed, ball-like shapes (consistent with the definition of contraction).</t>
    <phoneticPr fontId="1" type="noConversion"/>
  </si>
  <si>
    <t>yes  
In frames 0.2–7.2 s, the stentor is extended in a trumpet-like shape; by frame 8.2 s and onward, it is no longer visible in the extended form, indicating it contracted into a condensed, ball-like shape (consistent with the definition of contraction).</t>
    <phoneticPr fontId="1" type="noConversion"/>
  </si>
  <si>
    <t>no  
The stentor maintains an extended, trumpet-like shape throughout all frames; there is no visible shortening or condensation into a ball-like form, and the distance between head and tail remains large, indicating no contraction occurred.</t>
    <phoneticPr fontId="1" type="noConversion"/>
  </si>
  <si>
    <t>no  
The stentor remains in an extended, trumpet-like shape across all frames with no visible shortening or transition to a condensed, ball-like form; the distance between head and tail is consistently large, indicating no contraction occurred.</t>
    <phoneticPr fontId="1" type="noConversion"/>
  </si>
  <si>
    <t>yes  
In frames 0.2–4.2 s, the stentor is extended; by frames 5.2–9.2 s, it shortens and rounds into a condensed, ball-like shape with the head and tail brought close together, satisfying the definition of contraction.</t>
    <phoneticPr fontId="1" type="noConversion"/>
  </si>
  <si>
    <t>no  
The stentor remains in an extended, trumpet-like shape across all visible frames (0.2–6.2 s); it disappears from the field of view in later frames (7.2–9.2 s) without transitioning to a condensed, ball-like shape. No shortening or rounding into a contracted form is observed.</t>
    <phoneticPr fontId="1" type="noConversion"/>
  </si>
  <si>
    <t>no  
The stentor remains in an extended, trumpet-like shape across all frames; there is no visible shortening or transition to a condensed, ball-like form, and the distance between head and tail stays large, indicating no contraction occurred.</t>
    <phoneticPr fontId="1" type="noConversion"/>
  </si>
  <si>
    <t>yes  
In frames 0.2–8.2 s, the stentor is extended in a trumpet-like shape; by frame 9.2 s, it is no longer visible in the extended form, indicating it contracted into a condensed, ball-like shape (consistent with the definition of contraction).</t>
    <phoneticPr fontId="1" type="noConversion"/>
  </si>
  <si>
    <t>yes  
In frames 0.2–7.2 s, the stentor is extended in a trumpet-like shape; by frame 8.2 s and onward, it transitions to a condensed, ball-like form (no longer elongated, with head and tail close together), confirming a contraction.</t>
    <phoneticPr fontId="1" type="noConversion"/>
  </si>
  <si>
    <t>yes  
In frames 7.2–9.2 s, a stentor transitions from an extended, trumpet-like shape to a condensed, ball-like form (head and tail brought close together), satisfying the definition of contraction.</t>
    <phoneticPr fontId="1" type="noConversion"/>
  </si>
  <si>
    <t>yes  
In frame 0.2 s, the stentor is extended in a trumpet-like shape; by frame 1.2 s and onward, it is no longer visible in the extended form, indicating it contracted into a condensed, ball-like shape (consistent with the definition of contraction).</t>
    <phoneticPr fontId="1" type="noConversion"/>
  </si>
  <si>
    <t>yes  
In frames 0.2–5.2 s, the stentor is extended in a trumpet-like shape; by frame 6.2 s and onward, it is no longer visible in the extended form, indicating it contracted into a condensed, ball-like shape (consistent with the definition of contraction).</t>
    <phoneticPr fontId="1" type="noConversion"/>
  </si>
  <si>
    <t>yes  
In frames 0.2–4.2 s, the stentor is extended in a trumpet-like shape; by frame 5.2 s, it is no longer visible in the extended form, indicating it contracted into a condensed, ball-like shape (consistent with the definition of contraction).</t>
    <phoneticPr fontId="1" type="noConversion"/>
  </si>
  <si>
    <t>no
Explanation: The stentor in Video 1 remains in an extended, trumpet-like shape throughout all provided frames and does not transition to a condensed, ball-like shape at any point.</t>
    <phoneticPr fontId="1" type="noConversion"/>
  </si>
  <si>
    <t>no
Explanation: The stentor in Video 2 maintains an extended, trumpet-like shape across all frames and does not exhibit a transition to a condensed, ball-like form at any point.</t>
    <phoneticPr fontId="1" type="noConversion"/>
  </si>
  <si>
    <t>yes
Explanation: The stentor in Video 3 transitions from an extended, trumpet-like shape in the initial frames to a condensed state (no longer visible in extended form) by frame 6, indicating a contraction occurred.</t>
    <phoneticPr fontId="1" type="noConversion"/>
  </si>
  <si>
    <t>yes
Explanation: The stentor in Video 4 transitions from an extended, trumpet-like shape in the initial frames to a condensed state (no longer visible in extended form) by frame 7, indicating a contraction occurred.</t>
    <phoneticPr fontId="1" type="noConversion"/>
  </si>
  <si>
    <t>no
Explanation: The stentor in Video 5 maintains an extended, trumpet-like shape throughout all frames and does not transition to a condensed, ball-like form at any point.</t>
    <phoneticPr fontId="1" type="noConversion"/>
  </si>
  <si>
    <t>yes
Explanation: The stentor in Video 6 transitions from an extended, trumpet-like shape in the initial frames to a condensed state (no longer visible in extended form) by frame 5, indicating a contraction occurred.</t>
    <phoneticPr fontId="1" type="noConversion"/>
  </si>
  <si>
    <t>yes
Explanation: The stentor in Video 7 transitions from an extended, trumpet-like shape in the initial frames to a condensed, ball-like shape by frame 6, indicating a contraction occurred.</t>
    <phoneticPr fontId="1" type="noConversion"/>
  </si>
  <si>
    <t>no
Explanation: The stentor in Video 8 maintains an extended, trumpet-like shape throughout all frames and does not exhibit a transition to a condensed, ball-like form at any point.</t>
    <phoneticPr fontId="1" type="noConversion"/>
  </si>
  <si>
    <t>yes
Explanation: The stentor in Video 9 transitions from an extended, trumpet-like shape in the initial frames to a condensed state (no longer visible in extended form) by frame 6, indicating a contraction occurred.</t>
    <phoneticPr fontId="1" type="noConversion"/>
  </si>
  <si>
    <t>yes
Explanation: The stentor in Video 10 transitions from an extended, trumpet-like shape in the initial frames to a condensed state (no longer visible in extended form) by frame 6, indicating a contraction occurred.</t>
    <phoneticPr fontId="1" type="noConversion"/>
  </si>
  <si>
    <t>no
Explanation: The stentor in Video 11 maintains an extended, trumpet-like shape throughout all frames and does not transition to a condensed, ball-like form at any point.</t>
    <phoneticPr fontId="1" type="noConversion"/>
  </si>
  <si>
    <t>yes
Explanation: The stentor in Video 12 transitions from an extended, trumpet-like shape in the initial frames to a condensed, ball-like shape by frame 7, indicating a contraction occurred.</t>
    <phoneticPr fontId="1" type="noConversion"/>
  </si>
  <si>
    <t>yes
Explanation: The stentor in Video 13 transitions from an extended, trumpet-like shape in the initial frames to a condensed state (no longer visible in extended form) by frame 6, indicating a contraction occurred.</t>
    <phoneticPr fontId="1" type="noConversion"/>
  </si>
  <si>
    <t>yes
Explanation: The stentor in Video 14 transitions from an extended, trumpet-like shape in the initial frames to a condensed state (no longer visible in extended form) by frame 6, indicating a contraction occurred.</t>
    <phoneticPr fontId="1" type="noConversion"/>
  </si>
  <si>
    <t>yes
Explanation: The stentor in Video 15 transitions from an extended, trumpet-like shape in the initial frames to a condensed state (no longer visible in extended form) by frame 5, indicating a contraction occurred.</t>
    <phoneticPr fontId="1" type="noConversion"/>
  </si>
  <si>
    <t>yes
Explanation: The stentor in Video 16 transitions from an extended, trumpet-like shape in the initial frames to a condensed, ball-like shape by frame 9, indicating a contraction occurred.</t>
    <phoneticPr fontId="1" type="noConversion"/>
  </si>
  <si>
    <t>no
Explanation: The stentor in Video 17 maintains an extended, trumpet-like shape throughout all frames and does not transition to a condensed, ball-like form at any point.</t>
    <phoneticPr fontId="1" type="noConversion"/>
  </si>
  <si>
    <t>no
Explanation: The stentor in Video 18 maintains an extended, trumpet-like shape throughout all frames and does not exhibit a transition to a condensed, ball-like form at any point.</t>
    <phoneticPr fontId="1" type="noConversion"/>
  </si>
  <si>
    <t>no
Explanation: The stentor in Video 19 maintains an extended, trumpet-like shape throughout all frames and does not transition to a condensed, ball-like form at any point.</t>
    <phoneticPr fontId="1" type="noConversion"/>
  </si>
  <si>
    <t>yes
Explanation: The stentor in Video 20 transitions from an extended, trumpet-like shape in the initial frames to a condensed state (no longer visible in extended form) by frame 8, indicating a contraction occurred.</t>
    <phoneticPr fontId="1" type="noConversion"/>
  </si>
  <si>
    <t>no
Explanation: The stentor in Video 21 maintains an extended, trumpet-like shape throughout all frames and does not transition to a condensed, ball-like form at any point.</t>
    <phoneticPr fontId="1" type="noConversion"/>
  </si>
  <si>
    <t>no
Explanation: The stentor in Video 22 maintains an extended, trumpet-like shape throughout all frames and does not transition to a condensed, ball-like form at any point.</t>
    <phoneticPr fontId="1" type="noConversion"/>
  </si>
  <si>
    <t>no
Explanation: In all provided frames of the video, the stentor maintains an extended, trumpet-like shape with the "head" and "tail" at a maximum distance. There is no frame showing a condensed, ball-like shape where the "head" is much closer to the "tail," which would indicate a contraction.</t>
    <phoneticPr fontId="1" type="noConversion"/>
  </si>
  <si>
    <t>no
Explanation: The stentor in all frames of Video 2 maintains an extended, trumpet-like shape with the "head" and "tail" at maximum distance. No frame shows a condensed, ball-like shape indicative of contraction.</t>
    <phoneticPr fontId="1" type="noConversion"/>
  </si>
  <si>
    <t>no
Explanation: The stentors visible in the initial frames (0.2 to 4.2 seconds) maintain an extended, trumpet-like shape. By frame 5.2 seconds, the stentors are no longer visible, but there is no frame showing a condensed, ball-like shape indicative of contraction. The disappearance of the stentor does not equate to a contraction event as defined.</t>
    <phoneticPr fontId="1" type="noConversion"/>
  </si>
  <si>
    <t>no
Explanation: The stentor in all frames of Video 4 maintains an extended, trumpet-like shape with the "head" and "tail" at maximum distance. No frame shows a condensed, ball-like shape indicative of contraction.</t>
    <phoneticPr fontId="1" type="noConversion"/>
  </si>
  <si>
    <t>no
Explanation: The stentor in all frames of Video 5 maintains an extended, trumpet-like shape with the "head" and "tail" at maximum distance. No frame shows a condensed, ball-like shape indicative of contraction.</t>
    <phoneticPr fontId="1" type="noConversion"/>
  </si>
  <si>
    <t>yes
Explanation: In Video 6, the stentor transitions from an extended, trumpet-like shape in the initial frames to a condensed, ball-like shape by frame 6.2 seconds, indicating a contraction event.</t>
    <phoneticPr fontId="1" type="noConversion"/>
  </si>
  <si>
    <t>no
Explanation: The stentor is visible in an extended, trumpet-like shape in frames 0.2 to 6.2 seconds. In subsequent frames (7.2 to 9.2 seconds), the stentor is no longer visible in the field of view, but there is no frame showing a condensed, ball-like shape indicative of contraction. The absence of the stentor does not confirm a contraction event as defined.</t>
    <phoneticPr fontId="1" type="noConversion"/>
  </si>
  <si>
    <t>yes
Explanation: In Video 8, the stentor transitions from an extended, trumpet-like shape in frames 0.2 to 6.2 seconds to a condensed, ball-like shape in frame 7.2 seconds, indicating a contraction event.</t>
    <phoneticPr fontId="1" type="noConversion"/>
  </si>
  <si>
    <t>yes
Explanation: In Video 9, the stentor transitions from an extended shape in the initial frames to a condensed, ball-like shape in later frames (e.g., frame 7.2 seconds), indicating a contraction event.</t>
    <phoneticPr fontId="1" type="noConversion"/>
  </si>
  <si>
    <t>no
Explanation: The stentor in all frames of Video 10 maintains an extended, trumpet-like shape with the "head" and "tail" at maximum distance. No frame shows a condensed, ball-like shape indicative of contraction.</t>
    <phoneticPr fontId="1" type="noConversion"/>
  </si>
  <si>
    <t>no
Explanation: The stentors in all frames of Video 11 maintain extended shapes, and no frame shows a transition to a condensed, ball-like shape indicative of contraction.</t>
    <phoneticPr fontId="1" type="noConversion"/>
  </si>
  <si>
    <t>yes
Explanation: The stentor transitions from an extended, trumpet-like shape in earlier frames to a condensed, ball-like shape in later frames (e.g., comparing initial elongated form to the shorter, rounded structure in frames 6–9), satisfying the definition of contraction.</t>
    <phoneticPr fontId="1" type="noConversion"/>
  </si>
  <si>
    <t>yes
Explanation: The stentor transitions from an extended, trumpet-like shape in early frames (e.g., 0.2–3.2 seconds) to a condensed, shorter form in later frames (e.g., 4.2–6.2 seconds), fulfilling the definition of contraction.</t>
    <phoneticPr fontId="1" type="noConversion"/>
  </si>
  <si>
    <t>no
Explanation: The stentor remains in an extended, trumpet-like shape throughout all frames of the video and does not transition to a condensed, ball-like shape.</t>
    <phoneticPr fontId="1" type="noConversion"/>
  </si>
  <si>
    <t>yes
Explanation: The stentor transitions from an extended, trumpet-like shape in early frames to a condensed, ball-like shape in later frames (e.g., frame 9.2), indicating a contraction.</t>
    <phoneticPr fontId="1" type="noConversion"/>
  </si>
  <si>
    <t>no
Explanation: The stentor maintains an extended, trumpet-like shape throughout all frames and does not transition to a condensed, ball-like shape.</t>
    <phoneticPr fontId="1" type="noConversion"/>
  </si>
  <si>
    <t>no
Explanation: The stentor remains in an extended, trumpet-like shape across all frames and does not exhibit a transition to a condensed, ball-like shape.</t>
    <phoneticPr fontId="1" type="noConversion"/>
  </si>
  <si>
    <t>no
Explanation: The stentor remains in an extended, trumpet-like shape across all frames and does not transition to a condensed, ball-like shape.</t>
    <phoneticPr fontId="1" type="noConversion"/>
  </si>
  <si>
    <t>yes
The stentor changes from an extended trumpet-like shape (visible in frames 0.2–5 seconds) to a condensed, ball-like shape (evident in frame 6 seconds and subsequent frames where the extended structure disappears, indicating contraction).</t>
    <phoneticPr fontId="1" type="noConversion"/>
  </si>
  <si>
    <t>no
The stentor maintains an extended trumpet-like shape throughout all frames (0.2–9 seconds) without transitioning to a condensed, ball-like shape. No contraction is observed.</t>
    <phoneticPr fontId="1" type="noConversion"/>
  </si>
  <si>
    <t>no
The stentor remains in an extended trumpet-like shape across all frames (0.2–5.2 seconds) and disappears from view in later frames without transitioning to a condensed, ball-like shape. No contraction is observed.</t>
    <phoneticPr fontId="1" type="noConversion"/>
  </si>
  <si>
    <t>no
The stentor remains in an extended shape throughout all frames (0.2–9 seconds) without any transition to a condensed, ball-like shape. No contraction is observed.</t>
    <phoneticPr fontId="1" type="noConversion"/>
  </si>
  <si>
    <t>no
The stentor maintains an extended shape throughout all frames (0.2–9 seconds) without transitioning to a condensed, ball-like shape. No contraction is observed.</t>
    <phoneticPr fontId="1" type="noConversion"/>
  </si>
  <si>
    <t>no
The stentor remains in an extended shape throughout all frames (0.2–9 seconds) without transitioning to a condensed, ball-like shape. No contraction is observed.</t>
    <phoneticPr fontId="1" type="noConversion"/>
  </si>
  <si>
    <t>yes
The stentor transitions from an extended trumpet-like shape (visible in early frames) to a condensed, ball-like shape (evident in later frames, e.g., frame 8.2 seconds), indicating a contraction.</t>
    <phoneticPr fontId="1" type="noConversion"/>
  </si>
  <si>
    <t>no
The stentor remains in an extended shape throughout all visible frames (0.2–9 seconds) without transitioning to a condensed, ball-like shape. No contraction is observed.</t>
    <phoneticPr fontId="1" type="noConversion"/>
  </si>
  <si>
    <t>yes
The stentor transitions from an extended trumpet-like shape (visible in early frames) to a condensed, ball-like shape (evident in frame 8.2 seconds), indicating a contraction.</t>
    <phoneticPr fontId="1" type="noConversion"/>
  </si>
  <si>
    <t>yes
The stentor transitions from an extended trumpet-like shape (visible in frames 0.2–4 seconds) to a condensed, ball-like shape (evident in frames 5–9 seconds), indicating a contraction.</t>
    <phoneticPr fontId="1" type="noConversion"/>
  </si>
  <si>
    <t>yes
The stentor transitions from an extended trumpet-like shape (visible in frames 0.2–3.2 seconds) to a condensed, ball-like shape (evident as the extended structure disappears in later frames, indicating contraction).</t>
    <phoneticPr fontId="1" type="noConversion"/>
  </si>
  <si>
    <t>yes
The stentor transitions from an extended trumpet-like shape (visible in frames 0.2–3.2 seconds) to a condensed, ball-like shape (evident in frame 4.2 seconds and subsequent frames), indicating a contraction.</t>
    <phoneticPr fontId="1" type="noConversion"/>
  </si>
  <si>
    <t>yes
The stentor transitions from an extended trumpet-like shape (visible in frames 0.2–4.2 seconds) to a condensed, ball-like shape (evident in frame 5.2 seconds and subsequent frames), indicating a contraction.</t>
    <phoneticPr fontId="1" type="noConversion"/>
  </si>
  <si>
    <t>yes
The stentor transitions from an extended trumpet-like shape (visible in frames 0.2–5.2 seconds) to a condensed, ball-like shape (evident in frame 6.2 seconds and subsequent frames), indicating a contraction.</t>
    <phoneticPr fontId="1" type="noConversion"/>
  </si>
  <si>
    <t>yes
The stentor transitions from an extended trumpet-like shape (visible in frames 0.2–3.2 seconds) to a condensed, ball-like shape (evident as the extended structure disappears in frame 4.2 seconds and subsequent frames), indicating a contraction.</t>
    <phoneticPr fontId="1" type="noConversion"/>
  </si>
  <si>
    <t>yes
The stentor transitions from an extended trumpet-like shape (visible in frames 0.2–4.2 seconds) to a condensed, ball-like shape (evident as the extended structure disappears in frame 5.2 seconds and subsequent frames), indicating a contraction.</t>
    <phoneticPr fontId="1" type="noConversion"/>
  </si>
  <si>
    <t>yes
The stentor transitions from an extended shape (visible in frames 0.2–4.2 seconds) to a condensed, ball-like shape (evident in frames 5.2–9.2 seconds), indicating a contraction.</t>
    <phoneticPr fontId="1" type="noConversion"/>
  </si>
  <si>
    <t>yes
The stentor transitions from an extended trumpet-like shape (frames 0-4) to a condensed, ball-like shape (frames 5-9), which matches the definition of a contraction.</t>
    <phoneticPr fontId="1" type="noConversion"/>
  </si>
  <si>
    <t>no
The stentor maintains an extended shape throughout all frames without transitioning to a condensed, ball-like shape.</t>
    <phoneticPr fontId="1" type="noConversion"/>
  </si>
  <si>
    <t>no
The stentor does not transition from an extended shape to a condensed, ball-like shape in any of the frames; it remains in an extended form throughout the video.</t>
    <phoneticPr fontId="1" type="noConversion"/>
  </si>
  <si>
    <t>yes
The stentor transitions from an extended trumpet-like shape (frames 0-4) to a condensed state (evidenced by its absence in the extended form in subsequent frames), indicating a contraction.</t>
    <phoneticPr fontId="1" type="noConversion"/>
  </si>
  <si>
    <t>no
The stentor remains in an extended shape throughout all frames without any transition to a condensed, ball-like shape.</t>
    <phoneticPr fontId="1" type="noConversion"/>
  </si>
  <si>
    <t>yes
The stentor transitions from an extended shape (frames 0-4) to a condensed state (no longer visible in extended form in subsequent frames), indicating a contraction.</t>
    <phoneticPr fontId="1" type="noConversion"/>
  </si>
  <si>
    <t>yes
The stentor is in an extended shape in the initial frames (0-5) and then disappears from that extended form in subsequent frames (6-9), indicating it contracted into a condensed shape.</t>
    <phoneticPr fontId="1" type="noConversion"/>
  </si>
  <si>
    <t>yes
The stentor is present in an extended shape in the initial frames (0-5) and is no longer visible in that extended form in subsequent frames (6-9), indicating it contracted into a condensed shape.</t>
    <phoneticPr fontId="1" type="noConversion"/>
  </si>
  <si>
    <t>yes
The stentor is visible in an extended shape in the initial frames (0-2) and disappears from that extended form in subsequent frames (3-9), indicating a contraction into a condensed shape.</t>
    <phoneticPr fontId="1" type="noConversion"/>
  </si>
  <si>
    <t>yes
The stentor transitions from an extended shape (frames 0-4) to a condensed shape (evident in frames 5-9), indicating a contraction.</t>
    <phoneticPr fontId="1" type="noConversion"/>
  </si>
  <si>
    <t>yes
The stentor is present in an extended shape in frames 0-4 and disappears from that form in frames 5-9, indicating a contraction into a condensed shape.</t>
    <phoneticPr fontId="1" type="noConversion"/>
  </si>
  <si>
    <t>yes
The stentor is visible in an extended shape in frames 0-5 and disappears from that extended form in frames 6-9, indicating a contraction into a condensed shape.</t>
    <phoneticPr fontId="1" type="noConversion"/>
  </si>
  <si>
    <t>yes
The stentor is present in an extended shape in frames 0-4 and disappears from that extended form in frame 5, indicating a contraction into a condensed shape.</t>
    <phoneticPr fontId="1" type="noConversion"/>
  </si>
  <si>
    <t>yes
The stentor is in an extended shape in frames 0-4 and is no longer visible in that extended form in subsequent frames (5-9), indicating a transition to a condensed shape.</t>
    <phoneticPr fontId="1" type="noConversion"/>
  </si>
  <si>
    <t>yes
The stentor transitions from an extended shape (frames 0-3) to a condensed, ball-like shape (frames 5-9), indicating a contraction.</t>
    <phoneticPr fontId="1" type="noConversion"/>
  </si>
  <si>
    <t>yes
The stentor is visible in an extended shape in frames 0-3 and disappears from that extended form in frames 4-9, indicating a contraction into a condensed shape.</t>
    <phoneticPr fontId="1" type="noConversion"/>
  </si>
  <si>
    <t>yes
The stentor is present in an extended shape in frames 0-4 and is no longer visible in that extended form in frame 5, indicating a contraction into a condensed shape.</t>
    <phoneticPr fontId="1" type="noConversion"/>
  </si>
  <si>
    <t>yes
The stentor transitions from an extended shape (frames 0.2-2.2) to a condensed, ball-like shape (evident in frames 4.2-9.2), indicating a contraction.</t>
    <phoneticPr fontId="1" type="noConversion"/>
  </si>
  <si>
    <t>yes
The stentor is visible in an extended shape in the initial frame (0.2 seconds) and disappears from that extended form in subsequent frames (1.2-6.2 seconds), indicating a contraction into a condensed shape.</t>
    <phoneticPr fontId="1" type="noConversion"/>
  </si>
  <si>
    <t>yes
The stentor is present in an extended shape in frames 0.2-4.2 seconds and disappears from that extended form in subsequent frames (5.2-9.2 seconds), indicating a contraction into a condensed shape.</t>
    <phoneticPr fontId="1" type="noConversion"/>
  </si>
  <si>
    <t>yes
The stentor is visible in an extended shape in frames 0.2-4.2 seconds and disappears from that extended form in subsequent frames (5.2-9.2 seconds), indicating a contraction into a condensed shape.</t>
    <phoneticPr fontId="1" type="noConversion"/>
  </si>
  <si>
    <t>yes
The stentor is present in an extended shape in frames 0.2-4.2 seconds and disappears from that extended form in frame 5.2 seconds, indicating a contraction into a condensed shape.</t>
    <phoneticPr fontId="1" type="noConversion"/>
  </si>
  <si>
    <t>yes
The stentor is visible in an extended shape in frames 0.2-4.2 seconds and disappears from that extended form in frame 5.2 seconds, indicating a contraction into a condensed shape.</t>
    <phoneticPr fontId="1" type="noConversion"/>
  </si>
  <si>
    <t>yes
The stentor is visible in an extended shape in frames 0.2-3.2 seconds and disappears from that extended form in frame 4.2 seconds, indicating a contraction into a condensed shape.</t>
    <phoneticPr fontId="1" type="noConversion"/>
  </si>
  <si>
    <t>yes
The stent is visible in an extended shape in frames 0.2-4.2 seconds and disappears from that extended form in frame 5.2 seconds, indicating a contraction into a condensed shape.</t>
    <phoneticPr fontId="1" type="noConversion"/>
  </si>
  <si>
    <t>yes
The stentor is visible in an extended shape in frames 0.2-5.2 seconds and disappears from that extended form in frame 6.2 seconds, indicating a contraction into a condensed shape.</t>
    <phoneticPr fontId="1" type="noConversion"/>
  </si>
  <si>
    <t>no
The stentor transitions from a condensed shape to an extended shape, which is the opposite of a contraction (defined as changing from extended to condensed). No contraction occurs in the video.</t>
    <phoneticPr fontId="1" type="noConversion"/>
  </si>
  <si>
    <t>no
The stentor remains in a condensed shape throughout the video and does not transition from an extended shape to a condensed shape, so no contraction occurs.</t>
    <phoneticPr fontId="1" type="noConversion"/>
  </si>
  <si>
    <t>no
The stentor does not transition from an extended shape to a condensed shape in any of the frames; it remains in a condensed or indistinct form throughout the video, so no contraction occurs.</t>
    <phoneticPr fontId="1" type="noConversion"/>
  </si>
  <si>
    <t>no
In the provided video frames, all stentors maintain an extended, trumpet-like shape throughout the sequence. There are no instances where a stentor transitions to a condensed, ball-like form as defined by the contraction behavior. The observed stentors remain in their extended state across all subsampled frames, with no visible shortening of the distance between "head" and "tail" to form a contracted shape.</t>
    <phoneticPr fontId="1" type="noConversion"/>
  </si>
  <si>
    <t>no
In Video 2, the stentor is visible in an extended, trumpet-like shape across frames 0.2 to 4.2. By frame 5.2, the stentor is no longer visible in its original position, but there is no intermediate or subsequent frame showing a condensed, ball-like shape. Contraction requires a visible transition to a ball-like form, which is not observed here—only the absence of the extended stentor without evidence of the contracted state. Thus, no contraction occurs.</t>
    <phoneticPr fontId="1" type="noConversion"/>
  </si>
  <si>
    <t>no
In Video 3, the stentor is visible in an extended, trumpet-like shape across frames 0.2 to 4.2. In frame 5.2 and subsequent frames, the stentor is no longer present in its original position, but there is no intermediate or subsequent frame showing a condensed, ball-like shape. Since contraction requires a visible transition to or presence of the ball-like form (as defined), and no such shape is observed, the stentor does not contract.</t>
    <phoneticPr fontId="1" type="noConversion"/>
  </si>
  <si>
    <t>no
In Video 4, all stentors remain in an extended, trumpet-like shape across all frames (0.2 to 9.2 seconds). There is no visible transition to a condensed, ball-like shape at any point, so no contraction occurs.</t>
    <phoneticPr fontId="1" type="noConversion"/>
  </si>
  <si>
    <t>no
In Video 5, the stentor remains in an extended shape throughout all frames (0.2 to 9.2 seconds). There is no visible transition to a condensed, ball-like form, so no contraction occurs.</t>
    <phoneticPr fontId="1" type="noConversion"/>
  </si>
  <si>
    <t>yes
In Video 6, the stentor transitions from an extended, trumpet-like shape (visible in early frames) to a condensed, ball-like shape (evident in later frames, e.g., frame 5.2 and beyond). This change in shape meets the definition of contraction, so the stentor contracts.</t>
    <phoneticPr fontId="1" type="noConversion"/>
  </si>
  <si>
    <t>yes
In Video 7, the stentor transitions from an extended, trumpet-like shape (visible at 0.2 seconds) to a condensed, ball-like shape in subsequent frames (e.g., by 1.2–2.2 seconds). This change in shape meets the definition of contraction, so the stentor contracts.</t>
    <phoneticPr fontId="1" type="noConversion"/>
  </si>
  <si>
    <t>no
In Video 8, the stentor remains in an extended, trumpet-like shape across all frames (0.2 to 9.2 seconds). There is no visible transition to a condensed, ball-like form, so no contraction occurs.</t>
    <phoneticPr fontId="1" type="noConversion"/>
  </si>
  <si>
    <t>no
In Video 9, the stentor is visible in an extended, trumpet-like shape in the early frames (0.2 to 4.2 seconds) but disappears from the frame in later frames (5.2 to 9.2 seconds) without transitioning to a condensed, ball-like shape. Since no ball-like form is observed, the stentor does not contract.</t>
    <phoneticPr fontId="1" type="noConversion"/>
  </si>
  <si>
    <t>yes
In Video 10, the stentor transitions from an extended, trumpet-like shape (visible in frames 0.2–4.2) to a condensed, ball-like shape (evident in frames 5.2–9.2). This change in shape meets the definition of contraction, so the stentor contracts.</t>
    <phoneticPr fontId="1" type="noConversion"/>
  </si>
  <si>
    <t>yes
In Video 11, the stentor transitions from an extended, trumpet-like shape (visible in frames 0.2–3.2) to a condensed, ball-like shape (evident in frames 4.2–9.2). This change in shape meets the definition of contraction, so the stentor contracts.</t>
    <phoneticPr fontId="1" type="noConversion"/>
  </si>
  <si>
    <t>no
In Video 12, the stentor remains in an extended, trumpet-like shape across all frames (0.2 to 9.2 seconds). There is no visible transition to a condensed, ball-like form, so no contraction occurs.</t>
    <phoneticPr fontId="1" type="noConversion"/>
  </si>
  <si>
    <t>no
In Video 13, the stentor is visible in an extended, trumpet-like shape in frames 0.2–3.2. By frame 4.2, it is no longer present in its original position, but there is no intermediate or subsequent frame showing a condensed, ball-like shape. Since contraction requires a visible transition to or presence of the ball-like form (as defined), and no such shape is observed, the stentor does not contract.</t>
    <phoneticPr fontId="1" type="noConversion"/>
  </si>
  <si>
    <t>yes
In Video 14, the stentor transitions from an extended, trumpet-like shape (visible at 0.2 seconds) to a condensed, ball-like shape (evident in later frames, e.g., 5.2–9.2 seconds). This change in shape meets the definition of contraction, so the stentor contracts.</t>
    <phoneticPr fontId="1" type="noConversion"/>
  </si>
  <si>
    <t>no
In Video 15, the stentor is visible in an extended, trumpet-like shape across frames 0.2 to 4.2. In subsequent frames (5.2 to 9.2), the stentor is no longer present in its original position, but there is no intermediate or subsequent frame showing a condensed, ball-like shape. Since contraction requires a visible transition to or presence of the ball-like form (as defined), and no such shape is observed, the stentor does not contract.</t>
    <phoneticPr fontId="1" type="noConversion"/>
  </si>
  <si>
    <t>no
In Video 16, the stentor is visible in an extended, trumpet-like shape across frames 0.2 to 4.2. In subsequent frames (5.2 to 9.2), the stentor is no longer present in its original position, but there is no intermediate or subsequent frame showing a condensed, ball-like shape. Since contraction requires a visible transition to or presence of the ball-like form (as defined), and no such shape is observed, the stentor does not contract.</t>
    <phoneticPr fontId="1" type="noConversion"/>
  </si>
  <si>
    <t>no
In Video 17, the stentor is visible in an shape in frame 0.2, but subsequent frames do not show a transition to a condensed, ball-like shape. No frame depicts the stentor in the contracted form, so no contraction occurs.</t>
    <phoneticPr fontId="1" type="noConversion"/>
  </si>
  <si>
    <t>no
In Video 18, the stentor remains in an extended, trumpet-like shape across all frames (0.2 to 9.2 seconds). There is no visible transition to a condensed, ball-like form, so no contraction occurs.</t>
    <phoneticPr fontId="1" type="noConversion"/>
  </si>
  <si>
    <t>yes
In Video 19, the stentor transitions from an extended, trumpet-like shape (visible in frames 0.2–3.2) to a condensed, ball-like shape (evident in frames 5.2–9.2). This change in shape meets the definition of contraction, so the stentor contracts.</t>
    <phoneticPr fontId="1" type="noConversion"/>
  </si>
  <si>
    <t>yes
In Video 20, the stentors transition from an extended, trumpet-like shape (visible in frames 0.2–4.2) to a condensed, ball-like shape (evident in frames 5.2–9.2). This change in shape meets the definition of contraction, so the stentors contract.</t>
    <phoneticPr fontId="1" type="noConversion"/>
  </si>
  <si>
    <t>yes
In Video 21, the stentor transitions from an extended, trumpet-like shape (visible in frames 0.2–4.2) to a condensed, ball-like shape (evident in frames 5.2–9.2). This change in shape meets the definition of contraction, so the stentor contracts.</t>
    <phoneticPr fontId="1" type="noConversion"/>
  </si>
  <si>
    <t>no
In Video 22, the stentor is visible in an extended, trumpet-like shape across frames 2.2 to 9.2 seconds. There is no visible transition to a condensed, ball-like form, so no contraction occurs.</t>
    <phoneticPr fontId="1" type="noConversion"/>
  </si>
  <si>
    <t>no
In Video 23, the stentor is visible in an extended, trumpet-like shape in frames 0.2–3.2. It is not visible in frames 4.2–7.2, and in frames 8.2–9.2, it reappears in an extended shape. No frame shows a condensed, ball-like form, so no contraction occurs.</t>
    <phoneticPr fontId="1" type="noConversion"/>
  </si>
  <si>
    <t>yes
In Video 24, the stentor transitions from an extended, trumpet-like shape (visible in frames 0.2–5.2) to a condensed, ball-like shape (evident in frames 6.2–9.2). This change in shape meets the definition of contraction, so the stentor contracts.</t>
    <phoneticPr fontId="1" type="noConversion"/>
  </si>
  <si>
    <t>yes
In Video 25, the stentor transitions from an extended, trumpet-like shape (visible in frames 0.2–3.2) to a condensed, ball-like shape (evident in frames 4.2–9.2). This change in shape meets the definition of contraction, so the stentor contracts.</t>
    <phoneticPr fontId="1" type="noConversion"/>
  </si>
  <si>
    <t>yes
In Video 26, the stentor transitions from an extended, trumpet-like shape (visible in frames 0.2–3.2) to a condensed, ball-like shape (evident in frames 4.2–9.2). This change in shape meets the definition of contraction, so the stentor contracts.</t>
    <phoneticPr fontId="1" type="noConversion"/>
  </si>
  <si>
    <t>yes
In Video 27, the stentor transitions from an extended, trumpet-like shape (visible in frames 0.2–3.2) to a condensed, ball-like shape (evident in frames 4.2–9.2). This change in shape meets the definition of contraction, so the stentor contracts.</t>
    <phoneticPr fontId="1" type="noConversion"/>
  </si>
  <si>
    <t>yes
In Video 28, the stentor transitions from an extended, trumpet-like shape (visible in frames 0.2–3.2) to a condensed, ball-like shape (evident in frames 4.2–9.2). This change in shape meets the definition of contraction, so the stentor contracts.</t>
    <phoneticPr fontId="1" type="noConversion"/>
  </si>
  <si>
    <t>yes
In Video 29, the stentor transitions from an extended, trumpet-like shape (visible in frames 0.2–3.2) to a condensed, ball-like shape (evident in frames 4.2–9.2). This change in shape meets the definition of contraction, so the stentor contracts.</t>
    <phoneticPr fontId="1" type="noConversion"/>
  </si>
  <si>
    <t>yes
In Video 30, the stentor transitions from an extended, trumpet-like shape (visible in frames 0.2–3.2) to a condensed, ball-like shape (evident in frames 4.2–9.2). This change in shape meets the definition of contraction, so the stentor contracts.</t>
    <phoneticPr fontId="1" type="noConversion"/>
  </si>
  <si>
    <t>yes
In Video 31, the stentor transitions from an extended, trumpet-like shape (visible in frames 0.2–3.2) to a condensed, ball-like shape (evident in frames 4.2–9.2). This change in shape meets the definition of contraction, so the stentor contracts.</t>
    <phoneticPr fontId="1" type="noConversion"/>
  </si>
  <si>
    <t>yes
In Video 32, the stentor transitions from an extended, trumpet-like shape (visible in frames 0.2–5.2) to a condensed, ball-like shape (evident in frames 6.2–9.2). This change in shape meets the definition of contraction, so the stentor contracts.</t>
    <phoneticPr fontId="1" type="noConversion"/>
  </si>
  <si>
    <t>yes
In Video 33, the stentor transitions from an extended, trumpet-like shape (visible in frames 0.2–2.2) to a condensed, ball-like shape (evident in frames 3.2–9.2). This change in shape meets the definition of contraction, so the stentor contracts.</t>
    <phoneticPr fontId="1" type="noConversion"/>
  </si>
  <si>
    <t>yes
The stentor changes from an extended shape (visible in frames 0-3) to a condensed, ball-like shape (visible in frame 4), which meets the definition of a contraction.</t>
    <phoneticPr fontId="1" type="noConversion"/>
  </si>
  <si>
    <t>yes
The stentor transitions from an extended shape (visible in frames 0-3) to a condensed, ball-like shape (visible in frames 4-5), which satisfies the definition of a contraction.</t>
    <phoneticPr fontId="1" type="noConversion"/>
  </si>
  <si>
    <t>no
The stentor remains in an extended shape throughout the video frames and does not transition to a condensed, ball-like shape, so no contraction is observed.</t>
    <phoneticPr fontId="1" type="noConversion"/>
  </si>
  <si>
    <t>yes
The stentor transitions from an extended shape (visible in frames 0.2-4) to a condensed, ball-like shape (visible in frame 5), which meets the definition of a contraction.</t>
    <phoneticPr fontId="1" type="noConversion"/>
  </si>
  <si>
    <t>yes
The stentor changes from an extended shape (visible in frames 0.2-4) to a condensed, ball-like shape (visible in frame 5), which satisfies the definition of a contraction.</t>
    <phoneticPr fontId="1" type="noConversion"/>
  </si>
  <si>
    <t>yes
The stentor changes from an extended shape (visible in frames 0.2-3) to a condensed, ball-like shape (visible in frame 4), which satisfies the definition of a contraction.</t>
    <phoneticPr fontId="1" type="noConversion"/>
  </si>
  <si>
    <t>no
The stentor remains in a condensed shape throughout all frames and does not transition from an extended shape to a condensed shape, so no contraction is observed.</t>
    <phoneticPr fontId="1" type="noConversion"/>
  </si>
  <si>
    <t>yes
The stentor transitions from an extended shape to a condensed, ball-like shape at some point in the video, which meets the definition of a contraction.</t>
    <phoneticPr fontId="1" type="noConversion"/>
  </si>
  <si>
    <t>yes
The stentor transitions from an extended shape (visible in frames 0.2-4.2) to a condensed, ball-like shape (evident in later frames), which satisfies the definition of a contraction.</t>
    <phoneticPr fontId="1" type="noConversion"/>
  </si>
  <si>
    <t>yes
The stentor transitions from an extended shape (visible in frames 0.2-5) to a condensed, ball-like shape (visible in frame 6), which meets the definition of a contraction.</t>
    <phoneticPr fontId="1" type="noConversion"/>
  </si>
  <si>
    <t>yes
The stentor changes from an extended shape (visible in frames 0.2-4) to a condensed, ball-like shape (visible in frame 6), which satisfies the definition of a contraction.</t>
    <phoneticPr fontId="1" type="noConversion"/>
  </si>
  <si>
    <t>yes
The stentor transitions from an extended shape (visible in frames 0.2-4) to a condensed, ball-like shape (evident in frame 5), which meets the definition of a contraction.</t>
    <phoneticPr fontId="1" type="noConversion"/>
  </si>
  <si>
    <t>yes
The stentor changes from an extended shape (visible in frames 0.2-5) to a condensed, ball-like shape (visible in frame 6), which satisfies the definition of a contraction.</t>
    <phoneticPr fontId="1" type="noConversion"/>
  </si>
  <si>
    <t>yes
The stentor transitions from an extended shape (visible in frames 0.2-3) to a condensed, ball-like shape (evident in frame 4), which meets the definition of a contraction.</t>
    <phoneticPr fontId="1" type="noConversion"/>
  </si>
  <si>
    <t>yes
The stentor transitions from an extended shape (visible in frames 0.2-5) to a condensed, ball-like shape (evident in frame 6), which meets the definition of a contraction.</t>
    <phoneticPr fontId="1" type="noConversion"/>
  </si>
  <si>
    <t>yes
The stentor changes from an extended shape (visible in frames 0.2-4) to a condensed, ball-like shape (evident in frame 5), which satisfies the definition of a contraction.</t>
    <phoneticPr fontId="1" type="noConversion"/>
  </si>
  <si>
    <t>yes
The stentor transitions from an extended shape (visible in frames 0.2-5) to a condensed, ball-like shape (evident in frames 6-8), which meets the definition of a contraction.</t>
    <phoneticPr fontId="1" type="noConversion"/>
  </si>
  <si>
    <t>no
The stentor remains in an extended shape throughout all frames and does not transition to a condensed, ball-like shape, so no contraction is observed.</t>
    <phoneticPr fontId="1" type="noConversion"/>
  </si>
  <si>
    <t>yes
The stentor transitions from an extended shape (visible in frames 0.2-3) to a condensed, ball-like shape (evident in frame 5), which meets the definition of a contraction.</t>
    <phoneticPr fontId="1" type="noConversion"/>
  </si>
  <si>
    <t>yes
Explanation: In the video, the stentor transitions from an extended shape (visible in frames 0.2–4 seconds) to a condensed, ball-like shape (evident in frame 5 seconds), which meets the definition of a contraction.</t>
    <phoneticPr fontId="1" type="noConversion"/>
  </si>
  <si>
    <t>yes
Explanation: The stentor transitions from an extended shape (visible in frames 0.2–4 seconds) to a condensed, ball-like shape (evident in frames 5–9 seconds), which matches the definition of a contraction.</t>
    <phoneticPr fontId="1" type="noConversion"/>
  </si>
  <si>
    <t>yes
Explanation: The stentor transitions from an extended shape (visible in frame 0.2 seconds) to a condensed, ball-like shape (evident in frames 1–9 seconds), which matches the definition of a contraction.</t>
    <phoneticPr fontId="1" type="noConversion"/>
  </si>
  <si>
    <t>no
Explanation: The stentor in Video 4 maintains a consistent shape across all frames and does not transition from an extended trumpet-like shape to a condensed ball-like shape, so no contraction occurs.</t>
    <phoneticPr fontId="1" type="noConversion"/>
  </si>
  <si>
    <t>no
Explanation: The stentor in Video 5 maintains an extended or elongated shape throughout all frames and does not transition to a condensed, ball-like shape, so no contraction occurs.</t>
    <phoneticPr fontId="1" type="noConversion"/>
  </si>
  <si>
    <t>no
Explanation: The stentor in Video 6 maintains an extended shape throughout all frames and does not transition to a condensed, ball-like shape, so no contraction occurs.</t>
    <phoneticPr fontId="1" type="noConversion"/>
  </si>
  <si>
    <t>no
Explanation: The stentor in Video 7 maintains an extended shape across all frames and does not transition to a condensed, ball-like shape, so no contraction occurs.</t>
    <phoneticPr fontId="1" type="noConversion"/>
  </si>
  <si>
    <t>no
Explanation: The stentor in Video 8 maintains an extended shape throughout all frames and does not transition to a condensed, ball-like shape, so no contraction occurs.</t>
    <phoneticPr fontId="1" type="noConversion"/>
  </si>
  <si>
    <t>no
Explanation: The stentor in Video 9 maintains an extended shape across all frames and does not transition to a condensed, ball-like shape, so no contraction occurs.</t>
    <phoneticPr fontId="1" type="noConversion"/>
  </si>
  <si>
    <t>no
Explanation: The stentor in Video 10 maintains an extended shape throughout all frames and does not transition to a condensed, ball-like shape, so no contraction occurs.</t>
    <phoneticPr fontId="1" type="noConversion"/>
  </si>
  <si>
    <t>no
Explanation: The stentor in Video 11 maintains an extended shape across all frames and does not transition to a condensed, ball-like shape, so no contraction occurs.</t>
    <phoneticPr fontId="1" type="noConversion"/>
  </si>
  <si>
    <t>no
Explanation: The stentor in Video 12 maintains an extended shape throughout all frames and does not transition to a condensed, ball-like shape, so no contraction occurs.</t>
    <phoneticPr fontId="1" type="noConversion"/>
  </si>
  <si>
    <t>no
Explanation: The stentor in Video 13 maintains an extended shape across all frames and does not transition to a condensed, ball-like shape, so no contraction occurs.</t>
    <phoneticPr fontId="1" type="noConversion"/>
  </si>
  <si>
    <t>no
Explanation: The stentor in Video 14 maintains an extended shape throughout all frames and does not transition to a condensed, ball-like shape, so no contraction occurs.</t>
    <phoneticPr fontId="1" type="noConversion"/>
  </si>
  <si>
    <t>no
Explanation: The stentor in Video 15 maintains an extended shape across all frames and does not transition to a condensed, ball-like shape, so no contraction occurs.</t>
    <phoneticPr fontId="1" type="noConversion"/>
  </si>
  <si>
    <t>no
Explanation: The stentor in Video 16 maintains an extended shape across all frames and does not transition to a condensed, ball-like shape, so no contraction occurs.</t>
    <phoneticPr fontId="1" type="noConversion"/>
  </si>
  <si>
    <t>no
Explanation: The stentor in Video 17 maintains an extended shape across all frames and does not transition to a condensed, ball-like shape, so no contraction occurs.</t>
    <phoneticPr fontId="1" type="noConversion"/>
  </si>
  <si>
    <t>no
Explanation: The stentor in Video 18 maintains an extended shape across all frames and does not transition to a condensed, ball-like shape, so no contraction occurs.</t>
    <phoneticPr fontId="1" type="noConversion"/>
  </si>
  <si>
    <t>no
Explanation: The stentor in Video 19 maintains an extended shape across all frames and does not transition to a condensed, ball-like shape, so no contraction occurs.</t>
    <phoneticPr fontId="1" type="noConversion"/>
  </si>
  <si>
    <t>no
Explanation: The stentor in Video 20 maintains an extended shape across all frames and does not transition to a condensed, ball-like shape, so no contraction occurs.</t>
    <phoneticPr fontId="1" type="noConversion"/>
  </si>
  <si>
    <t>no
Explanation: The stentor in Video 21 maintains an extended shape across all frames and does not transition to a condensed, ball-like shape, so no contraction occurs.</t>
    <phoneticPr fontId="1" type="noConversion"/>
  </si>
  <si>
    <t>no
Explanation: The stentor in Video 22 maintains an extended shape across all frames and does not transition to a condensed, ball-like shape, so no contraction occurs.</t>
    <phoneticPr fontId="1" type="noConversion"/>
  </si>
  <si>
    <t>no
Explanation: The stentor in Video 23 maintains an extended shape across all frames and does not transition to a condensed, ball-like shape, so no contraction occurs.</t>
    <phoneticPr fontId="1" type="noConversion"/>
  </si>
  <si>
    <t>1m</t>
    <phoneticPr fontId="1" type="noConversion"/>
  </si>
  <si>
    <t>1v</t>
    <phoneticPr fontId="1" type="noConversion"/>
  </si>
  <si>
    <t>2m</t>
    <phoneticPr fontId="1" type="noConversion"/>
  </si>
  <si>
    <t>2v</t>
    <phoneticPr fontId="1" type="noConversion"/>
  </si>
  <si>
    <t>no
The stentor maintains its extended trumpet-like shape throughout all frames from 0.0 to 9.0 seconds. There is no visible change where the head moves closer to the tail to form a condensed, ball-like shape as defined in the instructions. The distance between the head and tail remains consistent, indicating no contraction occurred during the video sequence.</t>
    <phoneticPr fontId="1" type="noConversion"/>
  </si>
  <si>
    <t>yes
The stentor clearly contracts between frames 3.2 and 5.2 seconds. In the early frames, it maintains an extended trumpet-like shape with the head and tail at maximum distance. By frame 5.2 seconds, the head has moved significantly closer to the tail, forming a condensed, ball-like shape as defined in the instructions. This contraction behavior continues to be visible in subsequent frames.</t>
    <phoneticPr fontId="1" type="noConversion"/>
  </si>
  <si>
    <t>no
The stentor maintains a consistent elongated shape throughout all frames from 0.2 to 9.2 seconds. There is no visible change where the head moves closer to the tail to form a condensed, ball-like shape. The organism remains in an extended form without any observable contraction behavior during the video sequence.</t>
    <phoneticPr fontId="1" type="noConversion"/>
  </si>
  <si>
    <t>no
The stentor maintains its extended trumpet-like shape throughout all frames from 0.2 to 9.2 seconds. While there is some slight movement and bending visible, particularly around frame 3.2, there is no observable change where the head moves significantly closer to the tail to form a condensed, ball-like shape. The organism remains in an extended form without any clear contraction behavior during the video sequence.</t>
    <phoneticPr fontId="1" type="noConversion"/>
  </si>
  <si>
    <t>no
The stentor maintains its extended trumpet-like shape throughout all frames where it is visible (0.2-5.2 seconds). There is no observable change where the head moves closer to the tail to form a condensed, ball-like shape. The organism remains in an extended form without any contraction behavior. By frame 6.2 seconds, the stentor is no longer visible in the frame, but this is due to movement out of the field of view rather than contraction.</t>
    <phoneticPr fontId="1" type="noConversion"/>
  </si>
  <si>
    <t>no
The stentor maintains its extended trumpet-like shape throughout all frames from 0.2 to 9.2 seconds. There is no visible change where the head moves closer to the tail to form a condensed, ball-like shape. The organism remains in an extended form without any observable contraction behavior during the video sequence.</t>
    <phoneticPr fontId="1" type="noConversion"/>
  </si>
  <si>
    <t>yes
The stentor clearly contracts between frames 2.2 and 3.2 seconds. In the early frames (0.2-1.2 seconds), it maintains an extended trumpet-like shape with the head and tail separated. By frame 3.2 seconds, the stentor has transformed into a condensed, ball-like shape with the head moved significantly closer to the tail, meeting the definition of contraction. The organism remains in this contracted state through frame 4.2 before beginning to extend again.</t>
    <phoneticPr fontId="1" type="noConversion"/>
  </si>
  <si>
    <t>yes
The stentor clearly contracts between frames 4.2 and 8.2 seconds. In the initial frames (0.2-4.2 seconds), it maintains an extended trumpet-like shape with the head and tail clearly separated. By frame 8.2 seconds, the stentor has transformed into a condensed, ball-like shape that is visible in the lower left portion of the frame. This represents a clear contraction behavior where the head has moved significantly closer to the tail, meeting the definition provided.</t>
    <phoneticPr fontId="1" type="noConversion"/>
  </si>
  <si>
    <t>no
The stentor maintains its extended trumpet-like shape throughout all frames where it is visible (0.2-5.2 seconds). There is no observable change where the head moves closer to the tail to form a condensed, ball-like shape. In frame 6.2 seconds, the stentor is no longer visible in the frame, but this appears to be due to movement out of the field of view rather than a contraction behavior. No intermediate contracted state is observed between the extended shape and disappearance from the frame.</t>
    <phoneticPr fontId="1" type="noConversion"/>
  </si>
  <si>
    <t>yes
The stentor clearly contracts between frames 5.2 and 6.2 seconds. In the initial frames (0.2-5.2 seconds), it maintains an extended trumpet-like shape with the head and tail clearly separated. By frame 6.2 seconds, the stentor has transformed into a condensed shape with the head moved significantly closer to the tail. The organism then moves out of the frame by 7.2 seconds, but the contraction behavior is clearly visible in the transition between frames 5.2 and 6.2.</t>
    <phoneticPr fontId="1" type="noConversion"/>
  </si>
  <si>
    <t>no
The stentor maintains its extended trumpet-like shape throughout all frames where it is visible (0.2-5.2 seconds). There is no observable change where the head moves closer to the tail to form a condensed, ball-like shape. By frame 6.2 seconds, the stentor is no longer visible in the frame, but this appears to be due to movement out of the field of view rather than a contraction behavior. No intermediate contracted state is observed between the extended shape and disappearance from the frame.</t>
    <phoneticPr fontId="1" type="noConversion"/>
  </si>
  <si>
    <t>no
The stentor maintains its extended, curved trumpet-like shape throughout frames 0.2-7.2 seconds. There is no visible change where the head moves closer to the tail to form a condensed, ball-like shape. In frame 8.2 seconds, the stentor is no longer visible in the field of view, but this appears to be due to movement out of the frame rather than a contraction behavior. No intermediate contracted state is observed between the extended shape and disappearance from the frame.</t>
    <phoneticPr fontId="1" type="noConversion"/>
  </si>
  <si>
    <t>no
The stentor maintains its extended trumpet-like shape throughout all frames from 0.2 to 9.2 seconds. While there is some slight movement and bending visible, particularly in the orientation of the head, there is no observable change where the head moves significantly closer to the tail to form a condensed, ball-like shape. The organism remains in an extended form without any clear contraction behavior during the video sequence.</t>
    <phoneticPr fontId="1" type="noConversion"/>
  </si>
  <si>
    <t>yes
The stentor clearly contracts between frames 5.2 and 7.2 seconds. In the initial frames (0.2-5.2 seconds), it maintains an extended trumpet-like shape. By frame 7.2 seconds, the stentor has transformed into a condensed, ball-like shape with the head moved significantly closer to the tail. This contraction behavior is clearly visible in the transition between these frames and meets the definition provided.</t>
    <phoneticPr fontId="1" type="noConversion"/>
  </si>
  <si>
    <t>no
The stentor maintains its extended trumpet-like shape throughout all frames where it is visible (0.2-2.2 seconds). There is no observable change where the head moves closer to the tail to form a condensed, ball-like shape. By frame 3.2 seconds, the stentor is no longer visible in the frame, but this appears to be due to movement out of the field of view rather than a contraction behavior. No intermediate contracted state is observed between the extended shape and disappearance from the frame.</t>
    <phoneticPr fontId="1" type="noConversion"/>
  </si>
  <si>
    <t>no
The stentor maintains its extended shape throughout all frames where it is visible (0.2-8.2 seconds). There is no observable change where the head moves closer to the tail to form a condensed, ball-like shape. By frame 9.2 seconds, the stentor is no longer visible in the frame, but this appears to be due to movement out of the field of view rather than a contraction behavior. No intermediate contracted state is observed between the extended shape and disappearance from the frame.</t>
    <phoneticPr fontId="1" type="noConversion"/>
  </si>
  <si>
    <t>yes
The stentor clearly contracts between frames 7.2 and 9.2 seconds. In the initial frames (0.2-7.2 seconds), it maintains an extended trumpet-like shape with the head and tail clearly separated. By frame 9.2 seconds, the stentor has transformed into a condensed, ball-like shape with the head moved significantly closer to the tail. This contraction behavior is clearly visible in the transition between these frames and meets the definition provided.</t>
    <phoneticPr fontId="1" type="noConversion"/>
  </si>
  <si>
    <t>yes
The stentor clearly contracts between frames 7.2 and 8.2 seconds. In the initial frames (0.2-7.2 seconds), it maintains an extended trumpet-like shape with the head and tail separated. By frame 8.2 seconds, the stentor has transformed into a condensed, ball-like shape with the head moved significantly closer to the tail. This contraction behavior is clearly visible in the transition between these frames and meets the definition provided.</t>
    <phoneticPr fontId="1" type="noConversion"/>
  </si>
  <si>
    <t>yes
The stentor clearly contracts between frames 6.2 and 7.2 seconds. In the initial frames (0.2-6.2 seconds), it maintains an extended trumpet-like shape with the head and tail clearly separated. By frame 7.2 seconds, the stentor has transformed into a condensed, ball-like shape with the head moved significantly closer to the tail. This contraction behavior is clearly visible in the transition between these frames and meets the definition provided.</t>
    <phoneticPr fontId="1" type="noConversion"/>
  </si>
  <si>
    <t>yes
The stentor clearly contracts between the 0.5 and 0.6 second mark. In the initial frames (0.0-0.5s), it displays the extended trumpet shape with a long stalk and bell-shaped head. In the later frames (0.6-0.9s), it has transformed into a condensed, ball-like shape with the head and tail brought close together, releasing numerous small particles. This rapid transition from extended to contracted form meets the definition provided.</t>
    <phoneticPr fontId="1" type="noConversion"/>
  </si>
  <si>
    <t>yes
The stentor clearly contracts between the 0.5 and 0.6 second mark. In the initial frames (0.0-0.5s), it displays the extended trumpet shape with a long stalk and bell-shaped head. In the later frames (0.6-0.9s), it has transformed into a condensed, ball-like shape with the head and tail brought close together. This rapid transition from extended to contracted form meets the definition provided.</t>
    <phoneticPr fontId="1" type="noConversion"/>
  </si>
  <si>
    <t>yes
The stentor clearly contracts between the 0.6 and 0.7 second mark. In the initial frames (0.2-0.6s), it displays the extended trumpet shape with a long stalk and bell-shaped head. In the later frames (0.7-0.9s), it has transformed into a condensed, ball-like shape. This rapid transition from extended to contracted form meets the definition provided.</t>
    <phoneticPr fontId="1" type="noConversion"/>
  </si>
  <si>
    <t>yes
The stentor clearly contracts between the 0.5 and 0.6 second mark. In the initial frames (0.2-0.5s), it displays the extended trumpet shape with a long stalk and bell-shaped head. In the later frames (0.6-0.9s), it has transformed into a condensed, ball-like shape with the head and tail brought close together. This rapid transition from extended to contracted form meets the definition provided.</t>
    <phoneticPr fontId="1" type="noConversion"/>
  </si>
  <si>
    <t>no
The stentor is visible in an extended trumpet-like shape at 0.2 seconds. By 1.2 seconds, it is no longer visible in the frame. However, there is no observable intermediate state where the head moves closer to the tail to form a condensed, ball-like shape. The disappearance appears to be due to movement out of the field of view rather than a contraction behavior, as no contracted form is visible during the transition.</t>
    <phoneticPr fontId="1" type="noConversion"/>
  </si>
  <si>
    <t>yes
The stentor clearly contracts between the 3.2 and 5.2 second mark. In the initial frames (0.2-3.2s), it displays the extended trumpet shape with a long stalk and bell-shaped head. By 4.2-5.2s, it has disappeared from view, which is consistent with it contracting into a small ball-like shape. The appearance of numerous small particles during this period further confirms the contraction event. The stentor then reappears at 7.2s in a condensed state before gradually extending again. This transition from extended to contracted form meets the definition provided.</t>
    <phoneticPr fontId="1" type="noConversion"/>
  </si>
  <si>
    <t>yes
The stentor changes from an extended trumpet-like shape to a condensed ball-like shape between approximately 2.0 and 5.0 seconds, which meets the definition of a contraction. The organism is clearly visible throughout the video, showing the transition from extended to contracted form and then back to extended.</t>
    <phoneticPr fontId="1" type="noConversion"/>
  </si>
  <si>
    <t>no
The stentor remains in an extended, trumpet-like shape throughout the entire video sequence. There is no visible transition to a condensed, ball-like shape at any point between 0.2 and 9.2 seconds. The organism maintains its elongated form with the "head" and "tail" at maximum distance, which does not meet the definition of a contraction.</t>
    <phoneticPr fontId="1" type="noConversion"/>
  </si>
  <si>
    <t>no
The stentor remains in an extended, trumpet-like shape throughout the entire video sequence. While there is slight bending and movement of the organism, there is no visible transition to a condensed, ball-like shape at any point between 0.2 and 9.2 seconds. The distance between the "head" and "tail" remains at maximum extension, which does not meet the definition of a contraction.</t>
    <phoneticPr fontId="1" type="noConversion"/>
  </si>
  <si>
    <t>no
The stentor remains in an extended, trumpet-like shape throughout the entire video sequence. There is no visible transition to a condensed, ball-like shape at any point between 0.2 and 9.2 seconds. While there are minor movements and slight changes in positioning, the fundamental extended shape is maintained without any contraction behavior occurring.</t>
    <phoneticPr fontId="1" type="noConversion"/>
  </si>
  <si>
    <t>no
The stentor remains in an extended, trumpet-like shape throughout the entire video sequence. There is no visible transition to a condensed, ball-like shape at any point between 0.2 and 9.2 seconds. While the stentor shows some movement and slight bending, the fundamental extended shape is maintained without any contraction behavior occurring.</t>
    <phoneticPr fontId="1" type="noConversion"/>
  </si>
  <si>
    <t>yes
The stentor contracts between 5.0 and 6.0 seconds. In the first five frames, the stentor maintains its extended trumpet-like shape. At 6.0 seconds, the stentor is no longer visible in its extended form and has been replaced by dispersed particles, indicating it rapidly contracted into a condensed shape (which likely happened between frames) before releasing its contents. This rapid change from extended to dispersed particles is consistent with the definition of contraction, even though the condensed ball-like shape itself isn't visible in a single frame due to the speed of the contraction.</t>
    <phoneticPr fontId="1" type="noConversion"/>
  </si>
  <si>
    <t>yes
The stentor contracts between 4.0 and 6.0 seconds. In the first four frames (0.2-4.0 seconds), the stentor maintains its extended trumpet-like shape. At 5.0 seconds, the stentor begins to contract as the "head" starts to curl inward. By 6.0 seconds, the stentor has clearly contracted and is no longer in its extended form. This change from an extended shape to a condensed form meets the definition of contraction, even though the fully contracted ball-like shape isn't visible in a single frame. The progressive change through these frames confirms a contraction event.</t>
    <phoneticPr fontId="1" type="noConversion"/>
  </si>
  <si>
    <t>yes
The stentor contracts between 5.2 and 7.2 seconds. In the first five frames (0.2-5.2 seconds), the stentor maintains its extended trumpet-like shape with a clear "head" and "tail" structure. At 6.2 seconds, the stentor begins to contract as the "head" starts to curl inward. By 7.2 seconds, the stentor has clearly changed to a condensed shape, no longer maintaining its extended form. This change from an extended trumpet-like shape to a condensed form meets the definition of contraction, even though the fully contracted ball-like shape isn't perfectly visible in a single frame. The progressive change through these frames confirms a contraction event.</t>
    <phoneticPr fontId="1" type="noConversion"/>
  </si>
  <si>
    <t>yes
The stentor contracts between 4.2 and 5.2 seconds. In the first five frames (0.2-4.2 seconds), the stentor maintains its extended trumpet-like shape. At 5.2 seconds, the stentor is no longer visible in its extended form and has been replaced by dispersed particles, indicating it rapidly contracted into a condensed shape before releasing its contents. This rapid change from extended to dispersed particles is consistent with the definition of contraction, even though the condensed ball-like shape itself isn't visible in a single frame due to the speed of the contraction.</t>
    <phoneticPr fontId="1" type="noConversion"/>
  </si>
  <si>
    <t>yes
The stentor contracts between 5.2 and 6.2 seconds. In the first five frames (0.2-5.2 seconds), the stentor maintains its extended trumpet-like shape with a clear elongated structure. At 6.2 seconds, the stentor has clearly changed to a condensed, oval-shaped form that is significantly shorter than before, with the "head" now much closer to the base. This change from an extended trumpet-like shape to a condensed form meets the definition of contraction. The stentor remains in this condensed state through the remaining frames.</t>
    <phoneticPr fontId="1" type="noConversion"/>
  </si>
  <si>
    <t>no
The stentor does not contract in Video 6.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</si>
  <si>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yes
The stentor contracts between 5.2 and 6.2 seconds. In the first six frames (0.2-5.2 seconds), the stentor maintains its extended trumpet-like shape. At 6.2 seconds, the stentor is no longer visible in its extended form and has been replaced by a small oval object on the left side of the frame, indicating it contracted into a condensed shape. This change from an extended trumpet-like shape to a condensed form meets the definition of contraction. The absence of the stentor in its extended position and the appearance of what appears to be a contracted form confirms this behavior.</t>
    <phoneticPr fontId="1" type="noConversion"/>
  </si>
  <si>
    <t>yes
The stentor contracts between 5.2 and 6.2 seconds. In the first five frames (0.2-5.2 seconds), the stentor maintains its extended trumpet-like shape with a clear elongated structure. At 6.2 seconds, the stentor is no longer visible in its extended form and has been replaced by a small oval object on the left side of the frame, indicating it contracted into a condensed shape. This change from an extended trumpet-like shape to a condensed form meets the definition of contraction. The stentor remains in this condensed state through the remaining frames.</t>
    <phoneticPr fontId="1" type="noConversion"/>
  </si>
  <si>
    <t>no
The stentor does not contract in Video 9.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</si>
  <si>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yes
The stentor contracts between 5.2 and 6.2 seconds. In the first five frames (0.2-5.2 seconds), the stentor maintains its extended trumpet-like shape with a clear elongated structure. At 6.2 seconds, the stentor is no longer visible in its extended form and has been replaced by dispersed particles, indicating it rapidly contracted into a condensed shape. By 8.2 and 9.2 seconds, a small condensed oval object is visible, confirming the contracted state. This change from an extended trumpet-like shape to a condensed form meets the definition of contraction.</t>
    <phoneticPr fontId="1" type="noConversion"/>
  </si>
  <si>
    <t>yes
The stentor contracts between 5.2 and 6.2 seconds. In frames 1.2-5.2 seconds, the stentor is clearly visible in its extended trumpet-like shape. At 6.2 seconds, the stentor is no longer visible in its extended form, indicating it rapidly contracted into a condensed shape. This rapid change from extended to disappeared (with the condensed form likely not clearly visible due to the speed of contraction) is consistent with the definition of contraction. The absence of the stentor in its extended position in frame 6.2 confirms this behavior.</t>
    <phoneticPr fontId="1" type="noConversion"/>
  </si>
  <si>
    <t>yes
The stentor contracts between 5.2 and 6.2 seconds. In frames 0.2-5.2 seconds, the stentor maintains its extended trumpet-like shape with a clear elongated structure. At 6.2 seconds, the stentor is no longer visible in its extended form and has been replaced by a condensed object on the left side of the frame. This change from an extended trumpet-like shape to a condensed form meets the definition of contraction. The stentor remains in this condensed state through the remaining frames.</t>
    <phoneticPr fontId="1" type="noConversion"/>
  </si>
  <si>
    <t>yes
The stentor contracts between 4.2 and 5.2 seconds. In frames 0.2-4.2 seconds, the stentor maintains its extended trumpet-like shape with a clear elongated structure. At 5.2 seconds, the stentor is no longer visible in its extended form and has been replaced by a condensed mass where it was previously located. This change from an extended trumpet-like shape to a condensed form meets the definition of contraction. The stentor remains in this condensed state through the remaining frames.</t>
    <phoneticPr fontId="1" type="noConversion"/>
  </si>
  <si>
    <t>yes
The stentor contracts between 8.2 and 9.2 seconds. In frames 0.2-8.2 seconds, the stentor maintains its extended trumpet-like shape with a clear elongated structure. At 9.2 seconds, the stentor has changed to a condensed, rounded shape that is significantly shorter than before, with the "head" now much closer to the "tail." This change from an extended trumpet-like shape to a condensed form meets the definition of contraction.</t>
    <phoneticPr fontId="1" type="noConversion"/>
  </si>
  <si>
    <t>no
The stentor does not contract in Video 15.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</si>
  <si>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no
The stentor does not contract in Video 16.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</si>
  <si>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no
The stentor does not contract in Video 17.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</si>
  <si>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yes
The stentor contracts between 7.2 and 8.2 seconds. In frames 0.2-7.2 seconds, the stentor maintains its extended trumpet-like shape with a clear elongated structure. At 8.2 seconds, the stentor begins to contract, and by 9.2 seconds, it has changed to a condensed, rounded shape that is significantly shorter than before, with the "head" now much closer to the "tail." This change from an extended trumpet-like shape to a condensed form meets the definition of contraction.</t>
    <phoneticPr fontId="1" type="noConversion"/>
  </si>
  <si>
    <t>yes
The stentor contracts between 5.2 and 6.2 seconds. In frames 0.2-5.2 seconds, the stentor maintains its extended trumpet-like shape. At 6.2 seconds, the stentor is no longer visible in its extended form, indicating it rapidly contracted into a condensed shape. This rapid change from extended to disappeared (with the condensed form likely not clearly visible due to the speed of contraction) is consistent with the definition of contraction. The absence of the stentor in its extended position in frame 6.2 confirms this behavior.</t>
    <phoneticPr fontId="1" type="noConversion"/>
  </si>
  <si>
    <t>yes
The stentor contracts between 1.2 and 3.2 seconds. In the initial frame (0.2 seconds), the stentor maintains its extended trumpet-like shape. By 1.2 seconds, the stentor begins to contract as the structure starts to condense. By 3.2 seconds, the stentor has clearly changed to a condensed, rounded shape that is significantly shorter than before, with the "head" now much closer to the "tail." This change from an extended trumpet-like shape to a condensed form meets the definition of contraction. The stentor remains in this condensed state through the remaining frames.</t>
    <phoneticPr fontId="1" type="noConversion"/>
  </si>
  <si>
    <t>yes
The stentor contracts between 0.2 and 6.2 seconds. In the initial frame (0.2 seconds), the stentor maintains its extended trumpet-like shape with a clear elongated structure. As the video progresses through subsequent frames (1.2-6.2 seconds), the stentor gradually changes to a condensed, rounded shape that is significantly shorter than before, with the "head" moving closer to the "tail." This progressive change from an extended trumpet-like shape to a condensed form meets the definition of contraction. The stentor remains in this condensed state by the end of the video.</t>
    <phoneticPr fontId="1" type="noConversion"/>
  </si>
  <si>
    <t>no
The stentor does not contract in Video 22.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</si>
  <si>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no
The stentor does not contract in Video 23. Throughout all frames (0.2-9.0 seconds), the stentor maintains its extended trumpet-like shape with a consistent distance between its "head" and "tail." There is no visible change to a ball-like shape at any point in the video. The stentor remains in its extended resting state for the entire duration, with no indication of the contraction behavior defined in the instructions.</t>
    <phoneticPr fontId="1" type="noConversion"/>
  </si>
  <si>
    <t>no
The stentor does not contract in Video 24.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</si>
  <si>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no
The stentor does not contract in Video 25.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</si>
  <si>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no
The stentor does not contract in Video 26.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</si>
  <si>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no
The stentor does not contract in Video 27.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</si>
  <si>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no
The stentor does not contract in Video 28. Throughout all frames (0.2-9.0 seconds), there is no visible stentor in an extended trumpet-like shape that changes to a condensed form. The video frames are dark and lack clear visibility of a stentor undergoing the characteristic contraction behavior defined in the instructions. No structural change from an extended shape to a condensed, ball-like shape is observed.</t>
    <phoneticPr fontId="1" type="noConversion"/>
  </si>
  <si>
    <t>no
The stentor does not contract in Video 29. Throughout all frames (0.2-9.0 seconds), there is no clear transition from an extended trumpet-like shape to a condensed, ball-like shape. While some movement or structural changes may be observed, they do not meet the specific definition of contraction as a change from the extended form to a condensed form. The stentor either remains in an extended state or the changes observed do not align with the contraction behavior defined in the instructions.</t>
    <phoneticPr fontId="1" type="noConversion"/>
  </si>
  <si>
    <t>no
The stentor does not contract in Video 30. Throughout all frames (0.2-9.0 seconds), there is no clear transition from an extended trumpet-like shape to a condensed, ball-like shape. The structures observed either maintain a consistent form or exhibit movement that does not align with the specific definition of contraction (changing from extended to condensed). No structural change meeting the contraction criteria is observed.</t>
    <phoneticPr fontId="1" type="noConversion"/>
  </si>
  <si>
    <t>no
The stentor does not contract in Video 31.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</si>
  <si>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yes
The stentor contracts between 0.2 and 2.2 seconds. In frame 0.2 seconds, the stentor is visible in its extended trumpet-like shape. By frame 1.2 seconds, the stentor begins to contract, and by frame 2.2 seconds, it has changed to a condensed, rounded shape that is significantly shorter than before, with the "head" now much closer to the "tail." This change from an extended trumpet-like shape to a condensed form meets the definition of contraction. The stentor remains in this condensed state through the remaining frames.</t>
    <phoneticPr fontId="1" type="noConversion"/>
  </si>
  <si>
    <t>no
The stentor does not contract in Video 33.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</si>
  <si>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yes
The stentor contracts between 6.2 and 7.2 seconds. In frames 0.2-6.2 seconds, the stentor maintains its extended trumpet-like shape with a clear elongated structure. At 7.2 seconds, the stentor is no longer visible in its extended form and has been replaced by a condensed object, indicating it contracted into a ball-like shape. This change from an extended trumpet-like shape to a condensed form meets the definition of contraction. The stentor remains in this condensed state through the remaining frames.</t>
    <phoneticPr fontId="1" type="noConversion"/>
  </si>
  <si>
    <t>no
The stentor does not contract in Video 35.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</si>
  <si>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no
The stentor does not contract in Video 36. Throughout all frames (0.2-9.0 seconds), the stentors maintain their extended trumpet-like shapes with consistent distances between their "heads" and "tails." There is no visible change to condensed, ball-like shapes at any point in the video. The stentors remain in their extended resting states for the entire duration, with no indication of the contraction behavior defined in the instructions.</t>
    <phoneticPr fontId="1" type="noConversion"/>
  </si>
  <si>
    <t>no
The stentor does not contract in Video 37. Throughout all frames (0.2-9.0 seconds), the stentors maintain their extended trumpet-like shapes with consistent distances between their "heads" and "tails." There is no visible change to condensed, ball-like shapes at any point in the video. The stentors remain in their extended resting states for the entire duration, with no indication of the contraction behavior defined in the instructions.</t>
    <phoneticPr fontId="1" type="noConversion"/>
  </si>
  <si>
    <t>yes
The stentor contracts between 0.2 and 1.2 seconds. In the initial frame (0.2 seconds), the stentor maintains its extended trumpet-like shape. By 1.2 seconds, the stentor has changed to a condensed, rounded shape that is significantly shorter than before, with the "head" now much closer to the "tail." This change from an extended trumpet-like shape to a condensed form meets the definition of contraction. The stentor remains in this condensed state through the remaining frames.</t>
    <phoneticPr fontId="1" type="noConversion"/>
  </si>
  <si>
    <t>no
The stentor does not contract in Video 39. Throughout all frames (0.2-9.0 seconds), there is no clear transition from an extended trumpet-like shape to a condensed, ball-like shape. The structures observed either maintain a consistent form or exhibit movement that does not align with the specific definition of contraction (changing from extended to condensed). No structural change meeting the contraction criteria is observed.</t>
    <phoneticPr fontId="1" type="noConversion"/>
  </si>
  <si>
    <t>no
The stentor does not contract in Video 40. Throughout all frames (0.2-9.0 seconds), there is no clear transition from an extended trumpet-like shape to a condensed, ball-like shape. The structures observed either maintain a consistent form or exhibit movement that does not align with the specific definition of contraction (changing from extended to condensed). No structural change meeting the contraction criteria is observed.</t>
    <phoneticPr fontId="1" type="noConversion"/>
  </si>
  <si>
    <t>no
The stentor does not contract in Video 41.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</si>
  <si>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no
The stentor does not contract in Video 42. Throughout all frames (0.2-9.0 seconds), the stentor maintains its extended trumpet-like shape with a consistent distance between its "head" and "tail." There is no visible change to a condensed, ball-like shape at any point in the video. The stentor remains in its extended resting state for the entire duration, with no indication of the contraction behavior defined in the instructions.</t>
    <phoneticPr fontId="1" type="noConversion"/>
  </si>
  <si>
    <t>no
The stentor maintains an elongated, trumpet-like shape throughout all frames of the video. There is no visible transition to a condensed, ball-like shape where the head and tail come significantly closer together as defined in the instructions. The organism shows movement and slight shape variations during swimming, but no actual contraction behavior occurs in any of the provided frames.</t>
    <phoneticPr fontId="1" type="noConversion"/>
  </si>
  <si>
    <t>no
The stentor in Video 2 maintains a consistent elongated, trumpet-like shape throughout all frames. There is no visible transition to a condensed, ball-like shape where the head and tail come significantly closer together as defined in the instructions. The organism shows slight movements and minor shape variations, but no actual contraction behavior occurs in any of the provided frames.</t>
    <phoneticPr fontId="1" type="noConversion"/>
  </si>
  <si>
    <t>no
The stentor in Video 3 maintains a consistent elongated, trumpet-like shape throughout all frames. There is no visible transition to a condensed, ball-like shape where the head and tail come significantly closer together as defined in the instructions. The organism shows minor movements but no actual contraction behavior occurs in any of the provided frames.</t>
    <phoneticPr fontId="1" type="noConversion"/>
  </si>
  <si>
    <t>no
The stentor in Video 4 maintains a consistent elongated shape throughout all frames. There is no visible transition to a condensed, ball-like shape where the head and tail come significantly closer together as defined in the instructions. The organism shows minimal movement but no actual contraction behavior occurs in any of the provided frames.</t>
    <phoneticPr fontId="1" type="noConversion"/>
  </si>
  <si>
    <t>no
The stentor in Video 5 maintains a consistent elongated shape throughout all frames. There is no visible transition to a condensed, ball-like shape where the head and tail come significantly closer together as defined in the instructions. The organism shows minimal movement but no actual contraction behavior occurs in any of the provided frames.</t>
    <phoneticPr fontId="1" type="noConversion"/>
  </si>
  <si>
    <t>yes
The stentor in Video 6 clearly transitions from an extended, trumpet-like shape to a condensed, ball-like shape between frames 6-8. In frame 8, the organism is visibly contracted with the head and tail regions significantly closer together, matching the definition of a contraction as described in the knowledge base. The stentor then begins to return to its extended shape in frame 9.</t>
    <phoneticPr fontId="1" type="noConversion"/>
  </si>
  <si>
    <t>yes
The stentor in Video 7 transitions from an extended, trumpet-like shape in frame 0.2 to a condensed, ball-like shape in frame 1.2. This clearly shows the head and tail regions coming significantly closer together as defined in the instructions. The organism then begins to return to its extended shape in subsequent frames, confirming a complete contraction event occurred.</t>
    <phoneticPr fontId="1" type="noConversion"/>
  </si>
  <si>
    <t>no
The stentor in Video 8 maintains a consistent elongated, trumpet-like shape throughout all frames. There is no visible transition to a condensed, ball-like shape where the head and tail come significantly closer together as defined in the instructions. The organism shows minor movements and slight shape variations but no actual contraction behavior occurs in any of the provided frames.</t>
    <phoneticPr fontId="1" type="noConversion"/>
  </si>
  <si>
    <t>yes
The stentor in Video 9 transitions from an extended, trumpet-like shape in frames 0.2-6.2 to a condensed, ball-like shape in frames 7.2-9.2. In frame 7.2, the organism begins to contract, and by frame 8.2, it has clearly transformed into a condensed, rounded shape where the head and tail regions are significantly closer together, matching the definition of a contraction as described in the instructions.</t>
    <phoneticPr fontId="1" type="noConversion"/>
  </si>
  <si>
    <t>no
The stentor in Video 10 maintains a consistent elongated, trumpet-like shape throughout all frames. There is no visible transition to a condensed, ball-like shape where the head and tail come significantly closer together as defined in the instructions. The organism shows minimal movement but no actual contraction behavior occurs in any of the provided frames.</t>
    <phoneticPr fontId="1" type="noConversion"/>
  </si>
  <si>
    <t>no
The stentor in Video 11 maintains a consistent elongated shape throughout all frames. There is no visible transition to a condensed, ball-like shape where the head and tail come significantly closer together as defined in the instructions. The organism shows minimal movement but no actual contraction behavior occurs in any of the provided frames.</t>
    <phoneticPr fontId="1" type="noConversion"/>
  </si>
  <si>
    <t>no
The stentor in the video maintains an extended shape resembling a trumpet throughout all frames; there is no visible transition to a condensed, ball-like shape where the "head" moves significantly closer to the "tail".</t>
    <phoneticPr fontId="1" type="noConversion"/>
  </si>
  <si>
    <t>yes
The stentor in Video 12 transitions from a somewhat extended shape at 0.2 seconds to a condensed, ball-like shape between 1.2-4.2 seconds. In these middle frames, the organism clearly contracts with its head and tail regions coming significantly closer together, matching the definition of a contraction. The stentor then begins to return to its extended shape from 5.2-9.2 seconds, confirming a complete contraction event occurred.</t>
    <phoneticPr fontId="1" type="noConversion"/>
  </si>
  <si>
    <t>no
The stentor in Video 2 maintains an extended trumpet-like shape throughout all frames without transitioning to a condensed, ball-like shape where the "head" moves significantly closer to the "tail".</t>
    <phoneticPr fontId="1" type="noConversion"/>
  </si>
  <si>
    <t>no
The stentor in Video 3 maintains an extended trumpet-like shape in all visible frames where it appears (0.2–4.2 seconds) and then disappears from the frame without transitioning to a condensed, ball-like shape. No frame shows the "head" moving significantly closer to the "tail" to form a ball-like structure.</t>
    <phoneticPr fontId="1" type="noConversion"/>
  </si>
  <si>
    <t>no
The stentor in Video 4 maintains an extended trumpet-like shape throughout all frames without any visible transition to a condensed, ball-like shape where the "head" moves significantly closer to the "tail".</t>
    <phoneticPr fontId="1" type="noConversion"/>
  </si>
  <si>
    <t>no
The stentor in Video 5 maintains an extended trumpet-like shape throughout all frames without transitioning to a condensed, ball-like shape where the "head" moves significantly closer to the "tail".</t>
    <phoneticPr fontId="1" type="noConversion"/>
  </si>
  <si>
    <t>no
The stentor in Video 6 maintains an extended trumpet-like shape in all visible frames (0.2–4.2 seconds) and does not transition to a condensed, ball-like shape where the "head" moves significantly closer to the "tail". No frame shows the characteristic contracted form.</t>
    <phoneticPr fontId="1" type="noConversion"/>
  </si>
  <si>
    <t>no
The stentor in Video 7 maintains an extended trumpet-like shape in all visible frames (0.2–6.2 seconds) and does not transition to a condensed, ball-like shape where the "head" moves significantly closer to the "tail". No frame shows the characteristic contracted form.</t>
    <phoneticPr fontId="1" type="noConversion"/>
  </si>
  <si>
    <t>yes
In Video 8, the stentor transitions from an extended trumpet-like shape (0.2–6.2 seconds) to a condensed, ball-like shape at 7.2 seconds, where the "head" moves significantly closer to the "tail", fulfilling the definition of a contraction.</t>
    <phoneticPr fontId="1" type="noConversion"/>
  </si>
  <si>
    <t>yes
In Video 9, the stentor transitions from an extended trumpet-like shape (0.2–4.2 seconds) to a condensed, ball-like shape by 6.2–7.2 seconds, where the "head" moves significantly closer to the "tail", fulfilling the definition of a contraction.</t>
    <phoneticPr fontId="1" type="noConversion"/>
  </si>
  <si>
    <t>no
The stentor in Video 10 maintains an extended trumpet-like shape throughout all frames without transitioning to a condensed, ball-like shape where the "head" moves significantly closer to the "tail".</t>
    <phoneticPr fontId="1" type="noConversion"/>
  </si>
  <si>
    <t>no
The stentor in Video 11 maintains an extended trumpet-like shape throughout all frames without transitioning to a condensed, ball-like shape where the "head" moves significantly closer to the "tail".</t>
    <phoneticPr fontId="1" type="noConversion"/>
  </si>
  <si>
    <t>no
The stentor in Video 12 maintains an extended trumpet-like shape throughout all frames without transitioning to a condensed, ball-like shape where the "head" moves significantly closer to the "tail".</t>
    <phoneticPr fontId="1" type="noConversion"/>
  </si>
  <si>
    <t>yes
In Video 13, the stentor transitions from an extended trumpet-like shape (0.2–4.2 seconds) to a condensed, ball-like shape by 5.2–6.2 seconds, where the "head" moves significantly closer to the "tail", fulfilling the definition of a contraction.</t>
    <phoneticPr fontId="1" type="noConversion"/>
  </si>
  <si>
    <t>no
The stentor in Video 14 maintains an extended trumpet-like shape throughout all frames without transitioning to a condensed, ball-like shape where the "head" moves significantly closer to the "tail".</t>
    <phoneticPr fontId="1" type="noConversion"/>
  </si>
  <si>
    <t>yes
In Video 15, the stentor transitions from an extended trumpet-like shape (0.2–7.2 seconds) to a condensed, ball-like shape by 8.2–9.2 seconds, where the "head" moves significantly closer to the "tail", fulfilling the definition of a contraction.</t>
    <phoneticPr fontId="1" type="noConversion"/>
  </si>
  <si>
    <t>no
The stentor in Video 16 maintains an extended trumpet-like shape throughout all frames without transitioning to a condensed, ball-like shape where the "head" moves significantly closer to the "tail".</t>
    <phoneticPr fontId="1" type="noConversion"/>
  </si>
  <si>
    <t>no
The stentor in Video 17 maintains an extended trumpet-like shape throughout all frames without transitioning to a condensed, ball-like shape where the "head" moves significantly closer to the "tail".</t>
    <phoneticPr fontId="1" type="noConversion"/>
  </si>
  <si>
    <t>no
The stentor in Video 18 maintains an extended trumpet-like shape throughout all frames without transitioning to a condensed, ball-like shape where the "head" moves significantly closer to the "tail".</t>
    <phoneticPr fontId="1" type="noConversion"/>
  </si>
  <si>
    <t>no
The stentor in Video 19 maintains an extended trumpet-like shape throughout all frames without transitioning to a condensed, ball-like shape where the "head" moves significantly closer to the "tail".</t>
    <phoneticPr fontId="1" type="noConversion"/>
  </si>
  <si>
    <t>no
The stentor in Video 20 maintains an extended trumpet-like shape throughout all frames without transitioning to a condensed, ball-like shape where the "head" moves significantly closer to the "tail".</t>
    <phoneticPr fontId="1" type="noConversion"/>
  </si>
  <si>
    <t>yes
The stentor in Video 1 changes from an elongated, extended shape to a condensed, more rounded form across the frames, which matches the definition of a contraction (head and tail moving closer into a ball-like shape).</t>
    <phoneticPr fontId="1" type="noConversion"/>
  </si>
  <si>
    <t>no
In Video 2, the stentors maintain an extended shape throughout all frames; there is no visible transition to a condensed, ball-like shape (i.e., no reduction in the distance between "head" and "tail" as defined for contraction).</t>
    <phoneticPr fontId="1" type="noConversion"/>
  </si>
  <si>
    <t>yes
In Video 4, one stentor transitions from an extended shape to a condensed, ball-like form (evidenced by the reduced distance between "head" and "tail" across frames), which meets the definition of a contraction.</t>
    <phoneticPr fontId="1" type="noConversion"/>
  </si>
  <si>
    <t>yes
In Video 5, the stentor transitions from an extended shape to a condensed, ball-like form (with the "head" moving closer to the "tail") across the frames, satisfying the definition of a contraction.</t>
    <phoneticPr fontId="1" type="noConversion"/>
  </si>
  <si>
    <t>no
In Video 6, the stentor maintains an extended shape throughout all frames, with no observable transition to a condensed, ball-like form (i.e., the distance between "head" and "tail" does not decrease as required for a contraction).</t>
    <phoneticPr fontId="1" type="noConversion"/>
  </si>
  <si>
    <t>no
In Video 7, the stentor remains in an extended shape throughout all frames, with no observable transition to a condensed, ball-like form (i.e., the distance between "head" and "tail" does not decrease as required for a contraction).</t>
    <phoneticPr fontId="1" type="noConversion"/>
  </si>
  <si>
    <t>no
In Video 8, the stentors (if visible) maintain an extended shape throughout all frames, with no observable transition to a condensed, ball-like form (i.e., no reduction in the distance between "head" and "tail" as defined for contraction). The low visibility due to darkness does not reveal any contraction behavior.</t>
    <phoneticPr fontId="1" type="noConversion"/>
  </si>
  <si>
    <t>no
In Video 9, all stentors visible across the frames maintain an extended shape resembling a trumpet, with no observable transition to a condensed, ball-like form (i.e., no reduction in the distance between "head" and "tail" as required for a contraction).</t>
    <phoneticPr fontId="1" type="noConversion"/>
  </si>
  <si>
    <t>no
In Video 10, all stentors visible across the frames maintain a condensed, ball-like shape without any observable transition from an extended (trumpet-shaped) form, so no contraction occurs within the video.</t>
    <phoneticPr fontId="1" type="noConversion"/>
  </si>
  <si>
    <t>no
In Video 11, the stentor maintains an extended shape resembling a trumpet across all frames, with no observable transition to a condensed, ball-like form (i.e., the distance between "head" and "tail" does not decrease as required for a contraction).</t>
    <phoneticPr fontId="1" type="noConversion"/>
  </si>
  <si>
    <t>no
In Video 12, the stentors (if visible) maintain their shape without any observable transition from an extended (trumpet-shaped) form to a condensed, ball-like form across all frames, so no contraction occurs.</t>
    <phoneticPr fontId="1" type="noConversion"/>
  </si>
  <si>
    <t>no
In Video 13, the stentor maintains an extended shape resembling a trumpet across all frames, with no observable transition to a condensed, ball-like form (i.e., the distance between "head" and "tail" does not decrease as required for a contraction).</t>
    <phoneticPr fontId="1" type="noConversion"/>
  </si>
  <si>
    <t>yes
In Video 14, the stentor transitions from an extended shape to a condensed, ball-like form across the frames, with the distance between "head" and "tail" decreasing, which meets the definition of a contraction.</t>
    <phoneticPr fontId="1" type="noConversion"/>
  </si>
  <si>
    <t>no
In Video 15, the stentor is already in a condensed, ball-like shape across all frames and does not transition from an extended (trumpet-shaped) form, so no contraction occurs within the video.</t>
    <phoneticPr fontId="1" type="noConversion"/>
  </si>
  <si>
    <t>no
In Video 16, all stentors visible across the frames maintain an extended shape resembling a trumpet, with no observable transition to a condensed, ball-like form (i.e., no reduction in the distance between "head" and "tail" as required for a contraction).</t>
    <phoneticPr fontId="1" type="noConversion"/>
  </si>
  <si>
    <t>no
In Video 17, all stentors visible across the frames maintain an extended shape resembling a trumpet, with no observable transition to a condensed, ball-like form (i.e., no reduction in the distance between "head" and "tail" as required for a contraction).</t>
    <phoneticPr fontId="1" type="noConversion"/>
  </si>
  <si>
    <t>yes
In Video 18, the stentor transitions from an extended shape to a condensed, ball-like form across the frames, with the distance between "head" and "tail" decreasing, which meets the definition of a contraction.</t>
    <phoneticPr fontId="1" type="noConversion"/>
  </si>
  <si>
    <t>yes
In Video 19, the stentor transitions from an extended shape to a condensed, ball-like form across the frames, with the distance between "head" and "tail" decreasing, which meets the definition of a contraction.</t>
    <phoneticPr fontId="1" type="noConversion"/>
  </si>
  <si>
    <t>no
In Video 20, all stentors visible across the frames maintain an extended shape resembling a trumpet, with no observable transition to a condensed, ball-like form (i.e., no reduction in the distance between "head" and "tail" as required for a contraction).</t>
    <phoneticPr fontId="1" type="noConversion"/>
  </si>
  <si>
    <t>no
In Video 21, the stentor maintains an extended shape resembling a trumpet across all frames, with no observable transition to a condensed, ball-like form (i.e., the distance between "head" and "tail" does not decrease as required for a contraction).</t>
    <phoneticPr fontId="1" type="noConversion"/>
  </si>
  <si>
    <t>no
In Video 22, all stentors visible across the frames maintain an extended shape resembling a trumpet, with no observable transition to a condensed, ball-like form (i.e., no reduction in the distance between "head" and "tail" as required for a contraction).</t>
    <phoneticPr fontId="1" type="noConversion"/>
  </si>
  <si>
    <t>no
In Video 23, the stentor maintains an extended shape resembling a trumpet across all frames, with no observable transition to a condensed, ball-like form (i.e., the distance between "head" and "tail" does not decrease as required for a contraction).</t>
    <phoneticPr fontId="1" type="noConversion"/>
  </si>
  <si>
    <t>no
In Video 24, the stentor maintains an extended shape resembling a trumpet across all frames, with no observable transition to a condensed, ball-like form (i.e., the distance between "head" and "tail" does not decrease as required for a contraction).</t>
    <phoneticPr fontId="1" type="noConversion"/>
  </si>
  <si>
    <t>no
In Video 25, the stentor maintains an extended shape resembling a trumpet across all frames, with no observable transition to a condensed, ball-like form (i.e., the distance between "head" and "tail" does not decrease as required for a contraction).</t>
    <phoneticPr fontId="1" type="noConversion"/>
  </si>
  <si>
    <t>no
In Video 26, all stentors visible across the frames maintain an extended shape resembling a trumpet, with no observable transition to a condensed, ball-like form (i.e., no reduction in the distance between "head" and "tail" as required for a contraction).</t>
    <phoneticPr fontId="1" type="noConversion"/>
  </si>
  <si>
    <t>no
In Video 27, all stentors visible across the frames maintain an extended shape resembling a trumpet, with no observable transition to a condensed, ball-like form (i.e., no reduction in the distance between "head" and "tail" as required for a contraction).</t>
    <phoneticPr fontId="1" type="noConversion"/>
  </si>
  <si>
    <t>no
In Video 28, the stentor maintains an extended shape resembling a trumpet across all frames, with no observable transition to a condensed, ball-like form (i.e., the distance between "head" and "tail" does not decrease as required for a contraction).</t>
    <phoneticPr fontId="1" type="noConversion"/>
  </si>
  <si>
    <t>no
In Video 29, all stentors visible across the frames maintain an extended shape resembling a trumpet, with no observable transition to a condensed, ball-like form (i.e., no reduction in the distance between "head" and "tail" as required for a contraction).</t>
    <phoneticPr fontId="1" type="noConversion"/>
  </si>
  <si>
    <t>no
In Video 30, the stentor maintains an extended shape resembling a trumpet across all frames, with no observable transition to a condensed, ball-like form (i.e., the distance between "head" and "tail" does not decrease as required for a contraction).</t>
    <phoneticPr fontId="1" type="noConversion"/>
  </si>
  <si>
    <t>yes
In Video 31, the stentor transitions from an extended shape to a condensed, ball-like form across the frames, with the distance between "head" and "tail" decreasing, which meets the definition of a contraction.</t>
    <phoneticPr fontId="1" type="noConversion"/>
  </si>
  <si>
    <t>no
In Video 32, the stentor maintains an extended shape resembling a trumpet across all frames, with no observable transition to a condensed, ball-like form (i.e., the distance between "head" and "tail" does not decrease as required for a contraction).</t>
    <phoneticPr fontId="1" type="noConversion"/>
  </si>
  <si>
    <t>no
In Video 33, all stentors visible across the frames maintain an extended shape resembling a trumpet, with no observable transition to a condensed, ball-like form (i.e., no reduction in the distance between "head" and "tail" as required for a contraction).</t>
    <phoneticPr fontId="1" type="noConversion"/>
  </si>
  <si>
    <t>no
In Video 34, the stentor maintains an extended shape resembling a trumpet across all frames, with no observable transition to a condensed, ball-like form (i.e., the distance between "head" and "tail" does not decrease as required for a contraction).</t>
    <phoneticPr fontId="1" type="noConversion"/>
  </si>
  <si>
    <t>1A_0255.mp4</t>
  </si>
  <si>
    <t>1B_0335.mp4</t>
  </si>
  <si>
    <t>1C_0845.mp4</t>
  </si>
  <si>
    <t>1C_1105.mp4</t>
  </si>
  <si>
    <t>1D_0245.mp4</t>
  </si>
  <si>
    <t>1D_0525.mp4</t>
  </si>
  <si>
    <t>1E_0405.mp4</t>
  </si>
  <si>
    <t>1F_0225.mp4</t>
  </si>
  <si>
    <t>2A_0135.mp4</t>
  </si>
  <si>
    <t>2A_0215.mp4</t>
  </si>
  <si>
    <t>2A_0235.mp4</t>
  </si>
  <si>
    <t>3A_0545.mp4</t>
  </si>
  <si>
    <t>3B_2205.mp4</t>
  </si>
  <si>
    <t>3B_2325.mp4</t>
  </si>
  <si>
    <t>3B_2505.mp4</t>
  </si>
  <si>
    <t>3C_0255.mp4</t>
  </si>
  <si>
    <t>3D_1235.mp4</t>
  </si>
  <si>
    <t>3D_1255.mp4</t>
  </si>
  <si>
    <t>4B_0235.mp4</t>
  </si>
  <si>
    <t>4D_0155.mp4</t>
  </si>
  <si>
    <t>5A_0115.mp4</t>
  </si>
  <si>
    <t>5A_1605.mp4</t>
  </si>
  <si>
    <t>6A_0145.mp4</t>
  </si>
  <si>
    <t>6A_0845.mp4</t>
  </si>
  <si>
    <t>6A_1445.mp4</t>
  </si>
  <si>
    <t>6B_0255.mp4</t>
  </si>
  <si>
    <t>6C_0345.mp4</t>
  </si>
  <si>
    <t>6C_0755.mp4</t>
  </si>
  <si>
    <t>6D_0225.mp4</t>
  </si>
  <si>
    <t>8A_0655.mp4</t>
  </si>
  <si>
    <t>8A_1345.mp4</t>
  </si>
  <si>
    <t>8B_0525.mp4</t>
  </si>
  <si>
    <t>8B_0935.mp4</t>
  </si>
  <si>
    <t>8B_1425.mp4</t>
  </si>
  <si>
    <t>8B_1855.mp4</t>
  </si>
  <si>
    <t>8B_2325.mp4</t>
  </si>
  <si>
    <t>9A_0025.mp4</t>
  </si>
  <si>
    <t>9A_0505.mp4</t>
  </si>
  <si>
    <t>9A_0915.mp4</t>
  </si>
  <si>
    <t>9A_1355.mp4</t>
  </si>
  <si>
    <t>9A_2145.mp4</t>
  </si>
  <si>
    <t>9A_2635.mp4</t>
  </si>
  <si>
    <t>9A_3055.mp4</t>
  </si>
  <si>
    <t>9A_3505.mp4</t>
  </si>
  <si>
    <t>9A_3515.mp4</t>
  </si>
  <si>
    <t>10B_0215.mp4</t>
  </si>
  <si>
    <t>10C_0415.mp4</t>
  </si>
  <si>
    <t>10C_0905.mp4</t>
  </si>
  <si>
    <t>11A_0005.mp4</t>
  </si>
  <si>
    <t>11C_0345.mp4</t>
  </si>
  <si>
    <t>12A_0915.mp4</t>
  </si>
  <si>
    <t>13A_0035.mp4</t>
  </si>
  <si>
    <t>13A_0915.mp4</t>
  </si>
  <si>
    <t>13A_1635.mp4</t>
  </si>
  <si>
    <t>13A_2425.mp4</t>
  </si>
  <si>
    <t>14A_0645.mp4</t>
  </si>
  <si>
    <t>14A_1435.mp4</t>
  </si>
  <si>
    <t>14B_0155.mp4</t>
  </si>
  <si>
    <t>14C_0435.mp4</t>
  </si>
  <si>
    <t>14C_1255.mp4</t>
  </si>
  <si>
    <t>14D_1035.mp4</t>
  </si>
  <si>
    <t>14E_0455.mp4</t>
  </si>
  <si>
    <t>14E_1415.mp4</t>
  </si>
  <si>
    <t>14E_2915.mp4</t>
  </si>
  <si>
    <t>15A_0945.mp4</t>
  </si>
  <si>
    <t>15A_1535.mp4</t>
  </si>
  <si>
    <t>15B_0655.mp4</t>
  </si>
  <si>
    <t>15B_1505.mp4</t>
  </si>
  <si>
    <t>15C_0305.mp4</t>
  </si>
  <si>
    <t>15D_0505.mp4</t>
  </si>
  <si>
    <t>17C_0025.mp4</t>
  </si>
  <si>
    <t>17D_0025.mp4</t>
  </si>
  <si>
    <t>17D_0645.mp4</t>
  </si>
  <si>
    <t>17E_0045.mp4</t>
  </si>
  <si>
    <t>17F_0005.mp4</t>
  </si>
  <si>
    <t>18A_0025.mp4</t>
  </si>
  <si>
    <t>18A_0955.mp4</t>
  </si>
  <si>
    <t>18A_1255.mp4</t>
  </si>
  <si>
    <t>18B_0025.mp4</t>
  </si>
  <si>
    <t>18B_0805.mp4</t>
  </si>
  <si>
    <t>18B_1035.mp4</t>
  </si>
  <si>
    <t>18B_1405.mp4</t>
  </si>
  <si>
    <t>18B_2425.mp4</t>
  </si>
  <si>
    <t>18B_3615.mp4</t>
  </si>
  <si>
    <t>18B_4505.mp4</t>
  </si>
  <si>
    <t>no
The stentor in the video does not exhibit a change from an extended shape to a condensed, ball-like shape. The frames show the stentor maintaining an elongated form without the head and tail moving closer together as defined for a contraction.</t>
    <phoneticPr fontId="1" type="noConversion"/>
  </si>
  <si>
    <t>no
The stentor in Video 2 maintains an extended shape throughout all frames, with no visible transition to a condensed, ball-like form where the “head” moves closer to the “tail.” Thus, no contraction occurs.</t>
    <phoneticPr fontId="1" type="noConversion"/>
  </si>
  <si>
    <t>no
The stentor in Video 3 maintains an elongated, extended shape across all frames without transitioning to a condensed, ball-like form where the "head" and "tail" move closer together. Thus, no contraction is observed.</t>
    <phoneticPr fontId="1" type="noConversion"/>
  </si>
  <si>
    <t>no
The stentor in Video 4 maintains an extended, elongated shape throughout all frames without any transition to a condensed, ball-like form where the "head" moves closer to the "tail." Thus, no contraction is observed.</t>
    <phoneticPr fontId="1" type="noConversion"/>
  </si>
  <si>
    <t>no
The stentor in Video 5 maintains an extended shape throughout all frames without transitioning to a condensed, ball-like form where the “head” moves closer to the “tail.” Thus, no is observed.</t>
    <phoneticPr fontId="1" type="noConversion"/>
  </si>
  <si>
    <t>no
The stentor in Video 6 maintains an extended shape across all frames without any transition to a condensed, ball-like form where the "head" and "tail" move closer together. Thus, no contraction is observed.</t>
    <phoneticPr fontId="1" type="noConversion"/>
  </si>
  <si>
    <t>no
The stentor in Video 7 maintains a consistent shape across all frames without transitioning from an extended to a condensed form. No change in shape meeting the contraction definition is observed.</t>
    <phoneticPr fontId="1" type="noConversion"/>
  </si>
  <si>
    <t>no
The stentor in Video 8 maintains an extended shape throughout all frames without transitioning to a condensed, ball-like form where the “head” moves closer to the “tail.” Thus, no contraction is observed.</t>
    <phoneticPr fontId="1" type="noConversion"/>
  </si>
  <si>
    <t>no
The stentor in Video 9 maintains a consistent extended shape across all frames without transitioning to a condensed, ball-like form where the "head" and "tail" move closer together. Thus, no contraction is observed.</t>
    <phoneticPr fontId="1" type="noConversion"/>
  </si>
  <si>
    <t>no
The stentor in Video 10 maintains an extended shape throughout all frames without transitioning to a condensed, ball-like form where the “head” moves closer to the “tail.” Thus, no contraction is observed.</t>
    <phoneticPr fontId="1" type="noConversion"/>
  </si>
  <si>
    <t>no
The stentor in Video 11 maintains an extended shape across all frames without transitioning to a condensed, ball-like form where the "head" and "tail" move closer together. Thus, no contraction is observed.</t>
    <phoneticPr fontId="1" type="noConversion"/>
  </si>
  <si>
    <t>no
The stentor in Video 12 maintains an extended shape across all frames without transitioning to a condensed, ball-like form where the "head" and "tail" move closer together. Thus, no contraction is observed.</t>
    <phoneticPr fontId="1" type="noConversion"/>
  </si>
  <si>
    <t>no
The stentor in Video 13 maintains an extended shape throughout all frames without transitioning to a condensed, ball-like form where the "head" and "tail" move closer together. Thus, no contraction is observed.</t>
    <phoneticPr fontId="1" type="noConversion"/>
  </si>
  <si>
    <t>no
The stentor in Video 14 maintains an extended shape throughout all frames without transitioning to a condensed, ball-like form where the "head" and "tail" move closer together. Thus, no contraction is observed.</t>
    <phoneticPr fontId="1" type="noConversion"/>
  </si>
  <si>
    <t>no
The stentor in Video 15 maintains an extended shape throughout all frames without transitioning to a condensed, ball-like form where the "head" and "tail" move closer together. Thus, no contraction is observed.</t>
    <phoneticPr fontId="1" type="noConversion"/>
  </si>
  <si>
    <t>no
The stentor in Video 16 does not exhibit a transition from an extended shape to a condensed, ball-like form where the "head" moves closer to the "tail" across all frames. Thus, no contraction is observed.</t>
    <phoneticPr fontId="1" type="noConversion"/>
  </si>
  <si>
    <t>no
The stentor in Video 17 maintains a consistent extended shape across all frames without transitioning to a condensed, ball-like form where the "head" and "tail" move closer together. Thus, no contraction is observed.</t>
    <phoneticPr fontId="1" type="noConversion"/>
  </si>
  <si>
    <t>no
The stentor in Video 18 maintains an extended shape across all frames without transitioning to a condensed, ball-like form where the "head" and "tail" move closer together. Thus, no contraction is observed.</t>
    <phoneticPr fontId="1" type="noConversion"/>
  </si>
  <si>
    <t>no
The stentor in Video 19 maintains an extended shape across all frames without transitioning to a condensed, ball-like form where the "head" and "tail" move closer together. Thus, no contraction is observed.</t>
    <phoneticPr fontId="1" type="noConversion"/>
  </si>
  <si>
    <t>no
The stentor in Video 20 maintains an extended shape throughout all frames without transitioning to a condensed, ball-like form where the "head" and "tail" move closer together. Thus, no contraction is observed.</t>
    <phoneticPr fontId="1" type="noConversion"/>
  </si>
  <si>
    <t>no
The stentor in Video 1 maintains an extended shape throughout all frames and does not transition to a condensed, ball-like form as defined for contraction. No visible change in shape from extended to contracted occurs in the provided frames.</t>
    <phoneticPr fontId="1" type="noConversion"/>
  </si>
  <si>
    <t>no
The stentor in Video 2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</si>
  <si>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3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</si>
  <si>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4 maintains an extended shape across all frames and does not transition to a condensed, ball-like form as defined for contraction. No change in shape from extended to contracted is observed in the provided frames.</t>
    <phoneticPr fontId="1" type="noConversion"/>
  </si>
  <si>
    <t>no
The stentor in Video 5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</si>
  <si>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6 maintains an extended shape across all frames and does not transition to a condensed, ball-like form as defined for contraction. No change in shape from extended to contracted is observed in the provided frames.</t>
    <phoneticPr fontId="1" type="noConversion"/>
  </si>
  <si>
    <t>no
The stentor in Video 7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</si>
  <si>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8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</si>
  <si>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9 maintains an extended shape across all frames and does not transition to a condensed, ball-like form as defined for contraction. No change in shape from extended to contracted is observed in the provided frames.</t>
    <phoneticPr fontId="1" type="noConversion"/>
  </si>
  <si>
    <t>no
The stentor in Video 10 appears as a condensed, ball-like shape throughout all frames and does not exhibit a transition from an extended shape to a condensed shape. Since contraction requires a change from extended to condensed, and no such change occurs, the stentor does not contract in this video.</t>
    <phoneticPr fontId="1" type="noConversion"/>
  </si>
  <si>
    <t>no
The stentor in Video 11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</si>
  <si>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12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</si>
  <si>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13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</si>
  <si>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14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</si>
  <si>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15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</si>
  <si>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16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</si>
  <si>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17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</si>
  <si>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18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</si>
  <si>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19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</si>
  <si>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20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</si>
  <si>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21 maintains an extended shape across all frames and does not exhibit a transition to a condensed, ball-like form as defined for contraction. No change in shape from extended to contracted is the provided frames.</t>
    <phoneticPr fontId="1" type="noConversion"/>
  </si>
  <si>
    <t>no
The stentor in Video 22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</si>
  <si>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23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</si>
  <si>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24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</si>
  <si>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25 maintains an extended shape across all frames and does not exhibit a transition to a condensed, ball-like form as defined for contraction. No change in shape from extended to contracted is observed in the provided frames.</t>
    <phoneticPr fontId="1" type="noConversion"/>
  </si>
  <si>
    <t>no
No stent visible in Video 26; the frames show only debris and a glass needle. Since there is no stentor present to exhibit contraction, the answer is no.</t>
    <phoneticPr fontId="1" type="noConversion"/>
  </si>
  <si>
    <t>no
The stentor in Video 27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</si>
  <si>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28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</si>
  <si>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29 maintains an extended shape across all frames and does not exhibit a transition to a condensed, ball-like form as defined for contraction. No change in shape from extended to contracted is observed in the provided frames.</t>
    <phoneticPr fontId="1" type="noConversion"/>
  </si>
  <si>
    <t>no
The stentor in Video 30 maintains an extended shape across all frames and does not exhibit a transition to a condensed, ball-like form as defined for contraction. No change in shape from extended to contracted is observed in the provided frames.</t>
    <phoneticPr fontId="1" type="noConversion"/>
  </si>
  <si>
    <t>exists</t>
    <phoneticPr fontId="1" type="noConversion"/>
  </si>
  <si>
    <t>yes
The stentor transitions from an extended trumpet-like shape (visible in early frames) to a condensed form where the head and tail are closer together (evident in later frames), meeting the definition of a contraction.</t>
    <phoneticPr fontId="1" type="noConversion"/>
  </si>
  <si>
    <t>yes
The stentor transitions from an extended trumpet-like shape (visible in early frames) to a condensed form where the head and tail are closer together (evident in frames 5–7), meeting the definition of a contraction.</t>
    <phoneticPr fontId="1" type="noConversion"/>
  </si>
  <si>
    <t>yes
The stentor transitions from an extended trumpet-like shape (visible in early frames) to a condensed form where the head and tail are closer together (evident in frames 6–9), meeting the definition of a contraction.</t>
    <phoneticPr fontId="1" type="noConversion"/>
  </si>
  <si>
    <t>no
The stentor remains in an extended shape throughout all frames, with no visible transition to a condensed, ball-like form where the head and tail are closer together.</t>
    <phoneticPr fontId="1" type="noConversion"/>
  </si>
  <si>
    <t>no
The stentor maintains an extended shape throughout all frames, with no observable transition to a condensed, ball-like form where the head and tail are closer together.</t>
    <phoneticPr fontId="1" type="noConversion"/>
  </si>
  <si>
    <t>no
The stentor(s) in the video maintain an extended shape throughout all frames, with no observable transition to a condensed, ball-like form where the head and tail are closer together.</t>
    <phoneticPr fontId="1" type="noConversion"/>
  </si>
  <si>
    <t>yes
The stentor transitions from an extended trumpet-like shape (visible in early frames) to a condensed form where the head and tail are no longer distinguishable in the extended configuration (evident as the structure disappears from the frame), meeting the definition of a contraction.</t>
    <phoneticPr fontId="1" type="noConversion"/>
  </si>
  <si>
    <t>yes
The stentor transitions from an extended trumpet-like shape (visible in early frames) to a condensed form where the extended structure is no longer present (evident in later frames), meeting the definition of a contraction.</t>
    <phoneticPr fontId="1" type="noConversion"/>
  </si>
  <si>
    <t>yes
The stentor transitions from an extended trumpet-like shape (visible in the first frame) to a condensed form where the extended structure is no longer present (evident in subsequent frames), meeting the definition of a contraction.</t>
    <phoneticPr fontId="1" type="noConversion"/>
  </si>
  <si>
    <t>yes
The stentor in Video 4 shows a clear transition from an extended trumpet shape in the early frames (0.2-3.2 seconds) to a condensed, ball-like shape in the later frames (8.2-9.2 seconds). The distance between the "head" and "tail" decreases significantly as the organism contracts, matching the definition provided in the prompt. This change in shape is evident across multiple frames, showing the characteristic contraction behavior of stentors.</t>
    <phoneticPr fontId="1" type="noConversion"/>
  </si>
  <si>
    <t>no
The stentor in Video 5 remains in an extended shape throughout all frames. While there is some slight movement and changes in orientation, there is no visible transition from the extended trumpet shape to a condensed, ball-like shape. The distance between the "head" and "tail" does not significantly decrease as would be expected during a contraction. The organism maintains its elongated form without the characteristic shortening seen in the example "contracted" image provided in the prompt.</t>
    <phoneticPr fontId="1" type="noConversion"/>
  </si>
  <si>
    <t>yes
The stentor in Video 6 shows a clear progression from an extended oval shape at 0.2 seconds to a condensed, ball-like shape by 5.2 seconds. The frames show a continuous shortening of the organism as the "head" moves closer to the "tail" until it achieves a nearly spherical form. This transition from the extended trumpet shape to the condensed ball-like shape meets the definition of contraction provided in the prompt. The contraction takes multiple frames but is still clearly visible and identifiable.</t>
    <phoneticPr fontId="1" type="noConversion"/>
  </si>
  <si>
    <t>yes
The stentor in Video 7 shows a clear transition from an extended shape at 0.2 seconds to a condensed, ball-like shape by 3.2-4.2 seconds. The frames show the organism responding to the glass needle by contracting, with the "head" moving closer to the "tail" until it achieves a nearly spherical form. This matches the definition of contraction provided in the prompt, where the stentor changes from an extended trumpet shape to a condensed ball-like shape. The contraction is clearly visible across multiple frames.</t>
    <phoneticPr fontId="1" type="noConversion"/>
  </si>
  <si>
    <t>no
The stentor in Video 8 maintains an extended trumpet shape throughout all frames where it is visible. Although it temporarily disappears from view between 2-4 seconds, when it reappears at 4-9 seconds, it is still in the extended shape. There is no visible transition to a condensed, ball-like shape where the "head" moves closer to the "tail" as defined in the prompt. The interaction with the glass needle does not trigger a contraction, and the organism maintains its elongated form consistently.</t>
    <phoneticPr fontId="1" type="noConversion"/>
  </si>
  <si>
    <t>no
The stentor in Video 9 is visible in its extended trumpet shape from 0.2-4.2 seconds, but then simply disappears from the frame without showing any transition to a condensed, ball-like shape. There is no frame where the "head" moves closer to the "tail" as defined in the prompt. The organism leaves the frame without exhibiting the characteristic contraction behavior, so no contraction can be confirmed based on the visible evidence.</t>
    <phoneticPr fontId="1" type="noConversion"/>
  </si>
  <si>
    <t>no
The stentor in Video 10 starts in an extended trumpet shape at 0.2 seconds and remains in this extended shape through 4.2 seconds. By 5.2 seconds, the stentor is no longer visible in the frame, but there is no clear transition to a condensed, ball-like shape within the visible frames. The disappearance from view doesn't constitute evidence of contraction as defined in the prompt, which requires observing the actual change from extended to condensed form. Without seeing the "head" move closer to the "tail" to form the ball-like shape, we cannot confirm a contraction occurred.</t>
    <phoneticPr fontId="1" type="noConversion"/>
  </si>
  <si>
    <t>yes
The stentor in Video 11 clearly transitions from an extended trumpet shape at 0.2 seconds to a condensed, ball-like shape by 5.2-9.2 seconds. The frames show a progressive shortening of the organism as the "head" moves closer to the "tail" until it achieves a nearly spherical form. This matches the definition of contraction provided in the prompt, where the stentor changes from an extended shape to a condensed ball-like shape. The contraction takes multiple frames but is clearly visible and identifiable throughout the sequence.</t>
    <phoneticPr fontId="1" type="noConversion"/>
  </si>
  <si>
    <t>no
The stentor in Video 12 maintains an extended trumpet shape throughout all frames (0.2-9.2 seconds). There is no visible transition to a condensed, ball-like shape where the "head" moves closer to the "tail" as defined in the prompt. The organism shows slight movement and changes in position but consistently retains its elongated form without the characteristic shortening seen in a contraction.</t>
    <phoneticPr fontId="1" type="noConversion"/>
  </si>
  <si>
    <t>yes
The stentor in Video 13 clearly transitions from an extended trumpet shape at 0.2-3.2 seconds to a condensed, ball-like shape by 4.0-9.2 seconds. The frames show a distinct shortening of the organism as the "head" moves closer to the "tail" until it achieves a compact oval/round form. This matches the definition of contraction provided in the prompt, where the stentor changes from an extended shape to a condensed ball-like shape. The contraction is clearly visible between frames 3.2 and 4.0 seconds.</t>
    <phoneticPr fontId="1" type="noConversion"/>
  </si>
  <si>
    <t>yes
The stentor in Video 14 transitions from an extended trumpet shape in the early frames (0.2-4.2 seconds) to a condensed, more rounded shape in the later frames (5.2-9.2 seconds). The distance between the "head" and "tail" significantly decreases as the organism shortens and becomes more oval/round. This matches the definition of contraction provided in the prompt, where the stentor changes from an extended shape to a condensed ball-like shape. The contraction occurs between frames 4.2 and 5.2 seconds, which is consistent with the typical rapid contraction behavior of stentors.</t>
    <phoneticPr fontId="1" type="noConversion"/>
  </si>
  <si>
    <t>no
The stentor in Video 15 is visible in an extended shape at 0.2 seconds, but then disappears from view by 1.2 seconds without showing any transition to a condensed, ball-like shape. There is no frame where the "head" moves closer to the "tail" as defined in the prompt. The organism is not visible in the subsequent frames, so we cannot confirm whether it contracted or simply moved out of the field of view. Without observing the actual change in shape from extended to condensed, we cannot confirm a contraction occurred.</t>
    <phoneticPr fontId="1" type="noConversion"/>
  </si>
  <si>
    <t>yes
The stentor in Video 16 transitions from an extended trumpet shape in the early frames (0.2-4.2 seconds) to a condensed, ball-like shape visible in frames 6.2-9.2 seconds. The change is evident as the organism shortens significantly, with the "head" moving closer to the "tail" to form a more rounded shape. This matches the definition of contraction provided in the prompt, where the stentor changes from an extended shape to a condensed ball-like shape. The contraction occurs between frames 4.2 and 5.2 seconds.</t>
    <phoneticPr fontId="1" type="noConversion"/>
  </si>
  <si>
    <t>yes
The stentor in Video 17 transitions from an extended trumpet shape in the early frames (0.2-4.2 seconds) to a condensed, ball-like shape visible in frames 5.2-9.2 seconds. The change is evident as the organism shortens significantly, with the "head" moving closer to the "tail" to form a more rounded shape. This matches the definition of contraction provided in the prompt, where the stentor changes from an extended shape to a condensed ball-like shape. The contraction occurs between frames 4.2 and 5.2 seconds.</t>
    <phoneticPr fontId="1" type="noConversion"/>
  </si>
  <si>
    <t>yes
The stentor in Video 18 transitions from an extended trumpet shape in frames 0.2-4.2 seconds to a condensed, ball-like shape visible in frames 5.2-9.2 seconds. The change is evident as the organism shortens significantly, with the "head" moving closer to the "tail" to form a more rounded shape. This matches the definition of contraction provided in the prompt, where the stentor changes from an extended shape to a condensed ball-like shape. The contraction occurs between frames 4.2 and 5.2 seconds.</t>
    <phoneticPr fontId="1" type="noConversion"/>
  </si>
  <si>
    <t>yes
The stentor in Video 19 transitions from an extended trumpet shape in frames 0.2-3.2 seconds to a condensed, ball-like shape in frames 4.2-9.2 seconds. The change is evident as the organism shortens significantly, with the "head" moving closer to the "tail" to form a more rounded shape. This matches the definition of contraction provided in the prompt, where the stentor changes from an extended shape to a condensed ball-like shape. The contraction occurs between frames 3.2 and 4.2 seconds.</t>
    <phoneticPr fontId="1" type="noConversion"/>
  </si>
  <si>
    <t>no
The stentor in Video 20 appears to be in a condensed, oval-like shape throughout all frames (0.2-9.2 seconds). There is no visible transition from an extended trumpet shape to this condensed form within the video sequence. The organism maintains the same shape consistently without showing any change from extended to condensed as would be required to qualify as a contraction according to the prompt's definition.</t>
    <phoneticPr fontId="1" type="noConversion"/>
  </si>
  <si>
    <t>yes
The stentor in Video 21 transitions from an extended trumpet shape visible in frames 0.2-4.2 seconds to a condensed, ball-like shape in frames 5.2-9.2 seconds. The change is evident as the organism shortens significantly, with the "head" moving closer to the "tail" to form a more rounded shape. This matches the definition of contraction provided in the prompt, where the stentor changes from an extended shape to a condensed ball-like shape. The contraction occurs between frames 4.2 and 5.2 seconds.</t>
    <phoneticPr fontId="1" type="noConversion"/>
  </si>
  <si>
    <t>no
The stentor in Video 22 is visible in an extended shape from 0.2-4.2 seconds, but then disappears from the frame by 5.2 seconds without showing any transition to a condensed, ball-like shape. There is no visible shortening where the "head" moves closer to the "tail" as defined in the prompt. The organism simply leaves the field of view without exhibiting the characteristic contraction behavior.</t>
    <phoneticPr fontId="1" type="noConversion"/>
  </si>
  <si>
    <t>yes  
The stentor transitions from an extended, trumpet-like shape (visible at 0.2–0.4 s) to a condensed, rounded, ball-like form by ~0.6 s (frames 5–6), and remains in that contracted state through frame 8–9. This matches the definition of contraction: head and tail moving much closer together into a compact shape.</t>
    <phoneticPr fontId="1" type="noConversion"/>
  </si>
  <si>
    <t>yes  
The stentor starts in an extended, trumpet-like shape (frames 0.2–0.5 s), with a distinct elongated “tail” and broader “head.” By frame 0.7 s, it has shortened significantly into a compact, rounded, ball-like form—consistent with the definition of contraction—and remains in that state through frame 0.9 s. This morphological change qualifies as a contraction.</t>
    <phoneticPr fontId="1" type="noConversion"/>
  </si>
  <si>
    <t>no  
The stentor remains in an extended, trumpet-like shape throughout all frames (0.2–0.9 s), with a clear elongated body and distinct head/tail separation. There is no observable shortening or rounding into a condensed, ball-like form. Therefore, no contraction occurs.</t>
    <phoneticPr fontId="1" type="noConversion"/>
  </si>
  <si>
    <t>yes  
The stentor begins in an extended, trumpet-like shape (frames 0.2–0.4 s), with a long, narrow body and distinct head/tail separation. By frame 0.5 s, it has shortened dramatically into a compact, rounded form—clearly condensed with head and tail brought close together—and remains in that contracted state through frame 0.9 s. This satisfies the definition of contraction.</t>
    <phoneticPr fontId="1" type="noConversion"/>
  </si>
  <si>
    <t>yes  
The stentor begins in an extended, trumpet-like shape (frames 0.2–4.2 s), with a clear elongated body. By frame 5.2 s, it has transitioned into a condensed, rounded, ball-like form, with the head and tail brought close together. This condensed shape persists through frames 6.2–9.2 s. This morphological change satisfies the definition of contraction.</t>
    <phoneticPr fontId="1" type="noConversion"/>
  </si>
  <si>
    <t>no  
The stentor maintains an extended, trumpet-like shape throughout all frames (0.2–0.9 s), with a clear elongated body and distinct head/tail separation. There is no observable shortening or rounding into a condensed, ball-like form. Therefore, no contraction occurs.</t>
    <phoneticPr fontId="1" type="noConversion"/>
  </si>
  <si>
    <t>yes  
The stentor is clearly visible in an extended, trumpet-like shape in frames 0.2–4.2 s. By frame 5.2 s, it has disappeared from view or contracted into a condensed form, and a rounded, ball-like shape appears in frame 9.2 s. This transition from an extended shape to a condensed form satisfies the definition of contraction.</t>
    <phoneticPr fontId="1" type="noConversion"/>
  </si>
  <si>
    <t>yes  
The stentor begins in an extended, trumpet-like shape (frames 0.2–5.2 s), with a clear elongated body. By frame 6.2 s, it has shortened into a condensed, rounded form, with the head and tail brought close together, and remains in this contracted state through frame 9.2 s. This morphological change from extended to condensed shape satisfies the definition of contraction.</t>
    <phoneticPr fontId="1" type="noConversion"/>
  </si>
  <si>
    <t>yes  
The stentor begins in an extended, trumpet-like shape at 0.2 s, with a clear elongated body. By frame 5.2 s, it starts transitioning toward a more rounded form, and by frames 6.2–9.2 s, it is clearly in a condensed, ball-like shape with the head and tail brought close together. This morphological change from extended to condensed satisfies the definition of contraction.</t>
    <phoneticPr fontId="1" type="noConversion"/>
  </si>
  <si>
    <t>segmented videos list</t>
    <phoneticPr fontId="1" type="noConversion"/>
  </si>
  <si>
    <t>3v</t>
    <phoneticPr fontId="1" type="noConversion"/>
  </si>
  <si>
    <t>yes  
The stentor is clearly visible in frames 0.2–3.0 seconds in an extended, trumpet-like shape (resting state). By frame 4.0 seconds, the stentor has disappeared from view and is replaced by a dense cloud of small particles—consistent with the rapid release of cortical granules during a contraction response. This sudden disappearance and particle burst matches the known behavior of Stentor contracting into a compact, ball-like form (often too small or obscured to resolve directly in subsampled frames), as illustrated in the provided “contracted” reference image where the head and tail are close together and the body is condensed. The transition occurs within one frame (3.0 → 4.0 s), satisfying the definition of a contraction.</t>
    <phoneticPr fontId="1" type="noConversion"/>
  </si>
  <si>
    <t>yes  
The stentor is clearly visible in frames 0.2–4.0 seconds in an extended, trumpet-like shape (resting state). At frame 5.0 seconds, the stentor disappears and is replaced by a sudden burst of small particles—consistent with the rapid discharge of cortical granules during contraction. This matches the definition of contraction: a transition from extended to condensed (ball-like) form, which often occurs within one subsampled frame and may leave only a particle cloud if the contracted body is too small or out of focus. The reference image confirms that in the contracted state, the head and tail are close together; here, the stentor is no longer resolved as an extended structure, supporting that contraction occurred.</t>
    <phoneticPr fontId="1" type="noConversion"/>
  </si>
  <si>
    <t>yes  
The stentor is clearly visible in frames 0.2–4.0 seconds in an extended, trumpet-like shape (resting state). At frame 5.0 seconds, the stentor disappears and is replaced by a sudden cloud of small particles—consistent with the rapid discharge of cortical granules during contraction. This abrupt transition from an extended form to particle dispersion (with no visible extended body thereafter) satisfies the definition of contraction: a change from extended trumpet shape to condensed ball-like form, even if the contracted body itself is not resolved due to subsampling or focus. The behavior matches the reference “contracted” state where head and tail are brought close together, and the particle burst is a hallmark of Stentor’s defensive contraction.</t>
    <phoneticPr fontId="1" type="noConversion"/>
  </si>
  <si>
    <t>yes  
The stentor is clearly visible in frames 0.2–5.0 seconds in an extended, trumpet-like shape (resting state). At frame 6.0 seconds, the stentor disappears and is replaced by a sudden burst of small particles—consistent with cortical granule discharge during rapid contraction. The absence of the extended body thereafter and the particle cloud match the hallmark of Stentor contraction, as defined: transition from extended trumpet shape to condensed ball-like form (even if the contracted body is not resolved due to subsampling or focus).</t>
    <phoneticPr fontId="1" type="noConversion"/>
  </si>
  <si>
    <t>yes  
The stentor is clearly visible in frames 0.2–5.0 seconds in an extended, trumpet-like shape (resting state). At frame 6.0 seconds, the stentor disappears and is replaced by a sudden cloud of small particles—consistent with cortical granule discharge during rapid contraction. This abrupt transition satisfies the definition: change from extended trumpet shape to condensed ball-like form (even if the contracted body is not resolved).</t>
    <phoneticPr fontId="1" type="noConversion"/>
  </si>
  <si>
    <t>yes  
The stentor is clearly visible in frames 0.2–4.0 seconds in an extended, trumpet-like shape (resting state). At frame 5.0 seconds, it disappears and is replaced by a sudden burst of small particles—consistent with cortical granule discharge during rapid contraction. This abrupt transition satisfies the definition: change from extended trumpet shape to condensed ball-like form (even if the contracted body is not resolved).</t>
    <phoneticPr fontId="1" type="noConversion"/>
  </si>
  <si>
    <t>yes  
The stentor is clearly visible in frames 0.2–3.0 seconds in an extended, trumpet-like shape (resting state). At frame 4.0 seconds, it disappears and is replaced by a diffuse cloud of small particles—consistent with cortical granule discharge during rapid contraction. No extended body is visible thereafter, matching the definition of contraction: transition from extended trumpet shape to condensed ball-like form (even if unresolved).</t>
    <phoneticPr fontId="1" type="noConversion"/>
  </si>
  <si>
    <t>no  
The stentor remains in a compact, rounded (ball-like) form throughout the video—visible at 0.2 s and again clearly at 6–9 s—and never exhibits an extended trumpet shape. Since contraction is defined as a *change* from extended to condensed, and no extended state is observed, this does not qualify as a contraction event. It may be already contracted at the start or in a different behavioral state (e.g., resting in a shortened form), but no transition occurs.</t>
    <phoneticPr fontId="1" type="noConversion"/>
  </si>
  <si>
    <t>no  
The stentor appears in a compact, rounded (ball-like) form from frame 0.2 s through 9.0 s, with no evidence of an extended trumpet shape at any point. Since contraction requires a *change* from extended to condensed, and no extended state is observed, this does not meet the definition of contraction.</t>
    <phoneticPr fontId="1" type="noConversion"/>
  </si>
  <si>
    <t>no  
The stentor remains in a compact, rounded (ball-like) form throughout all frames (0.2–9.0 s), with no evidence of an extended trumpet shape at any point. Since contraction requires a *change* from extended to condensed, and no extended state is observed, this does not qualify as a contraction event.</t>
    <phoneticPr fontId="1" type="noConversion"/>
  </si>
  <si>
    <t>yes  
The stentor is visible in frames 0.2–4.0 seconds in an extended, trumpet-like shape (resting state). By frame 5.0 seconds, it disappears and is replaced by a diffuse cloud of particles—consistent with cortical granule discharge during rapid contraction. The abrupt loss of the extended form and appearance of the particle burst indicate a transition to a condensed, ball-like state (even if unresolved), satisfying the definition of contraction.</t>
    <phoneticPr fontId="1" type="noConversion"/>
  </si>
  <si>
    <t>no  
The stentor is not clearly visible in any frame in an extended trumpet shape; instead, the field shows a persistent cloud of particles and debris from the start (0.2 s) through 9.0 s, with no discernible transition from extended to condensed form. Without observation of an extended state followed by condensation, contraction cannot be confirmed.</t>
    <phoneticPr fontId="1" type="noConversion"/>
  </si>
  <si>
    <t>no  
The video shows two ciliates (likely *Stentor* or similar) throughout all frames, both maintaining elongated, somewhat tapered shapes—never transitioning to a compact, ball-like form. No sudden disappearance followed by particle burst is observed, and the distance between head and tail remains relatively large. Thus, no contraction occurs.</t>
    <phoneticPr fontId="1" type="noConversion"/>
  </si>
  <si>
    <t>4v</t>
    <phoneticPr fontId="1" type="noConversion"/>
  </si>
  <si>
    <t>yes  
The stentor transitions from an extended trumpet-like shape (visible at 0.2–0.5 seconds) to a significantly shortened, condensed form by 6.0 seconds, where its head and tail are much closer together and the body appears compacted—consistent with a contraction, even though it remains partially constrained by the glass micropipette. This shortening meets the definition of contraction per point 2.5: “some contractions just occur to be shortening in the stentor's length… should still be annotated as contractions.”</t>
    <phoneticPr fontId="1" type="noConversion"/>
  </si>
  <si>
    <t>Yes  
The stentor visibly shortens its body length between 0.2 s and 4.0 s: the “head” region (broad end) moves closer to the “tail” (narrow stalk), reducing the overall elongated trumpet shape. By 4.0 s, the body is markedly more compact—though not fully ball-like—and remains shortened through later frames. Per point 2.5, even incomplete shortening qualifies as a contraction.</t>
    <phoneticPr fontId="1" type="noConversion"/>
  </si>
  <si>
    <t>No  
The stentor remains in an extended, trumpet-like shape throughout all frames (0.2–9.0 s), with no observable shortening or condensation of its body. Although it moves slightly and rotates, its length and overall morphology do not change significantly—no contraction occurs.</t>
    <phoneticPr fontId="1" type="noConversion"/>
  </si>
  <si>
    <t>No  
The stentor remains in an elongated, slightly curved shape throughout all frames (0.2–9.0 s), with no visible shortening or condensation toward a ball-like form; its head and tail stay relatively far apart, consistent with a resting or extended state.</t>
    <phoneticPr fontId="1" type="noConversion"/>
  </si>
  <si>
    <t>No  
The stentor maintains a consistently elongated, slightly curved shape across all frames (0.2–9.0 s), with no observable shortening or condensation of its body—its head and tail remain separated by a relatively large distance, matching the “resting” morphology shown in the reference image.</t>
    <phoneticPr fontId="1" type="noConversion"/>
  </si>
  <si>
    <t>No  
The stentor remains in a consistently elongated, slightly curved shape across all frames (0.2–9.0 s), with no visible shortening or condensation—its head and tail stay separated by a large distance, matching the “resting” morphology. No contraction occurs.</t>
    <phoneticPr fontId="1" type="noConversion"/>
  </si>
  <si>
    <t>Yes  
A stentor appears in the upper portion of the frame starting around 0.4–0.5 s (not visible at 0.2 s), initially elongated, then progressively shortens and condenses between ~3.0 s and 8.0 s—its head and tail move closer, and by 8.0–9.0 s it adopts a compact, nearly ball-like shape. This shortening qualifies as a contraction per point 2.5, even if not perfectly spherical.</t>
    <phoneticPr fontId="1" type="noConversion"/>
  </si>
  <si>
    <t>No  
The stentor remains in an elongated, slightly bent shape throughout all frames (0.2–9.0 s), with no observable shortening or condensation—its head and tail stay separated by a large distance, consistent with the “resting” morphology. No contraction occurs.</t>
    <phoneticPr fontId="1" type="noConversion"/>
  </si>
  <si>
    <t>Yes  
A stentor is visible in the upper portion at 0.2–0.5 s in an extended trumpet shape; by ~6.0–8.0 s, it has shortened significantly and appears as a compact, dark, rounded mass—clearly reduced in length with head and tail brought close together. This shortening qualifies as a contraction per point 2.5, even if not perfectly spherical.</t>
    <phoneticPr fontId="1" type="noConversion"/>
  </si>
  <si>
    <t>Yes  
The stentor is clearly visible in an extended trumpet shape at 0.2–0.3 s, with a distinct wide “head” and narrow stalk. By 0.4–0.5 s, it disappears from view—consistent with rapid contraction into a compact, ball-like form that moves out of focus or plane (a common artifact during fast contractions). The abrupt loss of the extended morphology, with no intermediate elongated forms persisting, strongly indicates a contraction occurred. Per point 2.5, even incomplete or rapid shortening qualifies.</t>
    <phoneticPr fontId="1" type="noConversion"/>
  </si>
  <si>
    <t>Yes  
The stentor is clearly extended in a trumpet shape at 0.2–0.5 s, with a distinct wide head and long stalk. By 0.6–0.9 s, it is no longer in that extended form and instead appears as a compact, dark, out-of-focus mass—indicating rapid contraction into a condensed shape (even if not perfectly spherical). Per point 2.5, such shortening qualifies as a contraction.</t>
    <phoneticPr fontId="1" type="noConversion"/>
  </si>
  <si>
    <t>Yes  
The stentor is clearly in an extended trumpet shape at 0.2–0.5 s, with a wide, ciliated oral end (“head”) and long stalk. By 0.6–0.9 s, it disappears from clear view and is replaced by a compact, dark, out-of-focus mass—indicating rapid contraction into a condensed form. Per point 2.5, even incomplete or fast shortening qualifies as a contraction.</t>
    <phoneticPr fontId="1" type="noConversion"/>
  </si>
  <si>
    <t>Yes  
The stentor is clearly extended in a trumpet shape at 0.2–0.4 s, with a wide, ciliated oral end and long stalk. By 0.5 s, it vanishes from clear view and is replaced by a compact, dark, out-of-focus mass—indicating rapid contraction. Per point 2.5, even incomplete or fast shortening qualifies as a contraction.</t>
    <phoneticPr fontId="1" type="noConversion"/>
  </si>
  <si>
    <t>Yes  
At 0.2–0.4 s, a stentor is clearly visible in an extended trumpet shape (wide head, long stalk). By 0.5 s, it disappears from clear view and is replaced by a compact, dark, out-of-focus mass—indicating rapid contraction. Per point 2.5, even incomplete or fast shortening qualifies as a contraction.</t>
    <phoneticPr fontId="1" type="noConversion"/>
  </si>
  <si>
    <t>Yes  
At 0.2 s, a stentor is visible in an extended trumpet shape (distinct head and stalk). By 1.2–9.0 s, it appears as a compact, rounded, dark mass—significantly shortened, with head and tail no longer separated. This shortening qualifies as a contraction per point 2.5, even if not perfectly spherical.</t>
    <phoneticPr fontId="1" type="noConversion"/>
  </si>
  <si>
    <t>Yes  
The stentor is clearly extended in a curved, trumpet-like shape at 0.2–0.4 s (with distinct head and tail ends). By 0.5–0.9 s, it is no longer extended; instead, a compact, dark, rounded mass appears—indicating shortening/condensation. Per point 2.5, even incomplete shortening qualifies as a contraction.</t>
    <phoneticPr fontId="1" type="noConversion"/>
  </si>
  <si>
    <t>Yes  
The stentor is clearly extended in a trumpet shape at 0.2–0.4 s (wide head, long stalk). By 0.5–0.9 s, it has shortened significantly and appears as a compact, darker, more rounded mass—indicating contraction. Per point 2.5, even incomplete shortening qualifies as a contraction.</t>
    <phoneticPr fontId="1" type="noConversion"/>
  </si>
  <si>
    <t>No  
The stentor remains in a consistently elongated, slightly tapered shape throughout all frames (0.2–9.0 s), with no observable shortening or condensation—its head and tail stay separated by a large distance, matching the “resting” morphology. No contraction occurs.</t>
    <phoneticPr fontId="1" type="noConversion"/>
  </si>
  <si>
    <t>Yes  
At 0.2–0.4 s, a stentor is visible in an extended, elongated shape (distinct head and tail). By 0.5–0.9 s, it appears as a compact, dark, rounded mass—indicating shortening/condensation. Per point 2.5, even incomplete shortening qualifies as a contraction.</t>
    <phoneticPr fontId="1" type="noConversion"/>
  </si>
  <si>
    <t>Yes  
The stentor is clearly extended in a trumpet shape at 0.2–0.4 s (wide head, long stalk). By 0.5–0.9 s, it has shortened markedly and appears as a compact, dark, rounded mass—indicating contraction. Per point 2.5, even incomplete shortening qualifies as a contraction.</t>
    <phoneticPr fontId="1" type="noConversion"/>
  </si>
  <si>
    <t>Yes  
The stentor is clearly extended (trumpet-shaped) at 0.2–0.4 s, with a distinct wide head and long stalk. By 0.5–0.9 s, it disappears from clear view and is replaced by a compact, dark, out-of-focus mass—indicating rapid shortening/condensation. Per point 2.5, even incomplete or fast shortening qualifies as a contraction.</t>
    <phoneticPr fontId="1" type="noConversion"/>
  </si>
  <si>
    <t>Yes  
The stentor is clearly extended in a trumpet shape at 0.2–0.4 s (wide, ciliated head and long stalk). By 0.5 s, it disappears from clear view and is replaced by a compact, dark, out-of-focus mass—indicating rapid contraction. Per point 2.5, even incomplete or fast shortening qualifies as a contraction.</t>
    <phoneticPr fontId="1" type="noConversion"/>
  </si>
  <si>
    <t>Yes  
At 0.2–0.4 s, a stentor is visible in an extended trumpet shape (distinct head with cilia, elongated body). By 0.5–0.9 s, it is no longer clearly extended and appears as a compact, dark, rounded mass—indicating shortening/condensation. Per point 2.5, even incomplete shortening qualifies as a contraction.</t>
    <phoneticPr fontId="1" type="noConversion"/>
  </si>
  <si>
    <t>Yes  
At 0.2–0.3 s, a stentor is visible in an extended trumpet shape. By 0.5–0.9 s, it appears as a compact, dark, rounded mass—indicating shortening/condensation. Per point 2.5, even incomplete shortening qualifies as a contraction.</t>
    <phoneticPr fontId="1" type="noConversion"/>
  </si>
  <si>
    <t>Yes  
The stentor is clearly extended (trumpet-shaped) at 0.2–0.4 s, with a distinct wide head and long stalk. By 0.5 s, it disappears from clear view and is replaced by a compact, dark, out-of-focus mass—indicating rapid shortening/condensation. Per point 2.5, even incomplete or fast shortening qualifies as a contraction.</t>
    <phoneticPr fontId="1" type="noConversion"/>
  </si>
  <si>
    <t>Yes  
At 0.2–0.4 s, a stentor is visible in an extended trumpet shape (distinct head and stalk). By 0.5–0.9 s, it appears as a compact, dark, rounded mass—indicating shortening/condensation. Per point 2.5, even incomplete shortening qualifies as a contraction.</t>
    <phoneticPr fontId="1" type="noConversion"/>
  </si>
  <si>
    <t>Yes  
The stentor is clearly extended in a trumpet shape at 0.2–0.4 s. By 0.5–0.9 s, it is no longer visible in that form and instead appears as a compact, dark, rounded mass—indicating shortening/condensation. Per point 2.5, even incomplete shortening qualifies as a contraction.</t>
    <phoneticPr fontId="1" type="noConversion"/>
  </si>
  <si>
    <t>Yes  
The stentor is clearly extended in a trumpet shape at 0.2 s. By 0.3–0.6 s, it disappears from clear view and is replaced by a compact, dark, out-of-focus mass—indicating rapid shortening/condensation. Per point 2.5, even incomplete or fast shortening qualifies as a contraction.</t>
    <phoneticPr fontId="1" type="noConversion"/>
  </si>
  <si>
    <t>Yes  
The stentor is clearly extended (trumpet-shaped) at 0.2–0.4 s. By 0.5–0.9 s, it disappears from clear view and is replaced by a compact, dark, rounded mass—indicating rapid shortening/condensation. Per point 2.5, even incomplete or fast shortening qualifies as a contraction.</t>
    <phoneticPr fontId="1" type="noConversion"/>
  </si>
  <si>
    <t>Yes  
The stentor is clearly extended (trumpet-shaped) at 0.2–0.2 s and remains so through 0.4 s; by 0.5 s, it is no longer visible in that form and a compact, dark, rounded mass appears—indicating rapid shortening/condensation. Per point 2.5, even incomplete or fast shortening qualifies as a contraction.</t>
    <phoneticPr fontId="1" type="noConversion"/>
  </si>
  <si>
    <t>Yes  
The stentor is clearly extended (trumpet-shaped) at 0.2–0.4 s. By 0.5 s, it disappears from clear view and a compact, dark, rounded mass appears—indicating rapid shortening/condensation. Per point 2.5, even incomplete or fast shortening qualifies as a contraction.</t>
    <phoneticPr fontId="1" type="noConversion"/>
  </si>
  <si>
    <t>Yes  
The stentor is clearly extended (trumpet-shaped) at 0.2–0.3 s. By 0.4–0.9 s, it disappears from clear view and is replaced by a compact, dark, rounded mass—indicating rapid shortening/condensation. Per point 2.5, even incomplete or fast shortening qualifies as a contraction.</t>
    <phoneticPr fontId="1" type="noConversion"/>
  </si>
  <si>
    <t>Yes  
The stentor is clearly extended (trumpet-shaped) at 0.2–0.4 s; by 0.5–0.9 s, it disappears from clear view and a compact, dark, rounded mass appears—indicating rapid shortening/condensation. Per point 2.5, even incomplete or fast shortening qualifies as a contraction.</t>
    <phoneticPr fontId="1" type="noConversion"/>
  </si>
  <si>
    <t>Yes  
The stentor is clearly extended (trumpet-shaped) at 0.2–0.4 s. By 0.5–0.9 s, it disappears from clear view and a compact, dark, rounded mass appears—indicating rapid shortening/condensation. Per point 2.5, even incomplete or fast shortening qualifies as a contraction.</t>
    <phoneticPr fontId="1" type="noConversion"/>
  </si>
  <si>
    <t>Yes  
The stentor is clearly extended (trumpet-shaped) at 0.2–0.3 s. By 0.4–0.9 s, it disappears from clear view and a compact, dark, rounded mass appears—indicating rapid shortening/condensation. Per point 2.5, even incomplete or fast shortening qualifies as a contraction.</t>
    <phoneticPr fontId="1" type="noConversion"/>
  </si>
  <si>
    <t>Yes  
At 0.2 s, the stentor appears in a somewhat extended shape (though partially out of focus), and by 0.6–0.9 s it is clearly a compact, rounded, dark mass—indicating shortening/condensation. Per point 2.5, even incomplete shortening qualifies as a contraction.</t>
    <phoneticPr fontId="1" type="noConversion"/>
  </si>
  <si>
    <t>Yes  
The stentor appears in a compact, rounded, ball-like shape throughout all frames (0.2–9.0 s), with no extended trumpet morphology visible—indicating it is either already contracted or has contracted prior to the start of the video. Since the task is to identify whether the stentor *contracts* **at any point** in the video, and we cannot confirm it was extended earlier *within this clip*, we must rely on observable change. However, in frame 0.2 s, the shape is already condensed; no transition from extended → condensed occurs *within* the provided frames.
But per strict interpretation of the instruction: “Answer ‘yes’ if the stentor contracts at any point in the video” — and since no extension is seen, and no shortening event is captured, the correct answer is:
**No**
*(Correction: Re-evaluating — the definition requires observing the change from extended to condensed *within the video*. Here, only the condensed form is present; no contraction event is documented in the frames. Therefore, per task rules, we cannot assume prior state. Answer: No.)*</t>
    <phoneticPr fontId="1" type="noConversion"/>
  </si>
  <si>
    <t>No  
The stentor appears in a compact, rounded shape from 0.2 s through 9.0 s, with no evidence of an extended (trumpet-shaped) phase *within the video frames*. Since no shortening or transition from extended to condensed is observed, a contraction event cannot be confirmed in this clip.</t>
    <phoneticPr fontId="1" type="noConversion"/>
  </si>
  <si>
    <t>Yes  
At 0.2–0.4 s, the stentor is visible in an extended trumpet shape (distinct wide head with cilia and elongated body). By 0.5–0.6 s, it disappears from clear view and a compact, dark, rounded mass appears—indicating rapid shortening/condensation. Per point 2.5, even incomplete or fast shortening qualifies as a contraction.</t>
    <phoneticPr fontId="1" type="noConversion"/>
  </si>
  <si>
    <t>No  
The stentor is not clearly visible in an extended (trumpet) shape at any point in the video; only a diffuse, granular mass and possible out-of-focus debris are present. No transition from extended to condensed morphology is observed within the frames. Therefore, no contraction can be confirmed.</t>
    <phoneticPr fontId="1" type="noConversion"/>
  </si>
  <si>
    <t>No  
Both stentors remain in elongated, slightly curved shapes throughout all frames (0.2–9.0 s), with no observable shortening or condensation—head and tail stay separated by a large distance, matching the “resting” morphology. No contraction occurs.</t>
    <phoneticPr fontId="1" type="noConversion"/>
  </si>
  <si>
    <t>Yes  
The stentor is clearly extended (trumpet-shaped) at 0.2–0.4 s. By 0.5–0.6 s, it disappears from clear view and a compact, dark, rounded mass appears—indicating rapid shortening/condensation. Per point 2.5, even incomplete or fast shortening qualifies as a contraction.</t>
    <phoneticPr fontId="1" type="noConversion"/>
  </si>
  <si>
    <t>No  
The stentor remains in an elongated, slightly curved shape throughout all frames (0.2–9.0 s), with no observable shortening or condensation—its head and tail stay separated by a large distance, consistent with the “resting” morphology. No contraction occurs.</t>
    <phoneticPr fontId="1" type="noConversion"/>
  </si>
  <si>
    <t>yes  
The stentor transitions from a more elongated, trumpet-like shape at 0.2 seconds to a progressively shorter and rounder form by 9 seconds, with the head and tail moving significantly closer—consistent with a contraction as defined (even if not fully ball-shaped). This shortening over time as a contraction per point 2.5.</t>
    <phoneticPr fontId="1" type="noConversion"/>
  </si>
  <si>
    <t>yes  
The stentor starts elongated at 0.2 s and progressively shortens, becoming markedly more compact and rounded by 2–3 s (e.g., head and tail visibly closer), with continued shortening through 9 s—consistent with a contraction per definition 2.5 (shortening without necessarily reaching a perfect ball).</t>
    <phoneticPr fontId="1" type="noConversion"/>
  </si>
  <si>
    <t>no  
The stentor remains in an extended, trumpet-like shape throughout the video (0.2–9 s), with no observable shortening or condensation toward a ball-like form. Although it appears to be manipulated by a micropipette and may bend slightly, its overall length and head–tail distance do not significantly decrease—thus, no contraction occurs per definition 2.5.</t>
    <phoneticPr fontId="1" type="noConversion"/>
  </si>
  <si>
    <t>yes  
The stentor starts in an extended, trumpet-like shape at 0.2 s and progressively shortens; by 3–4 s it is significantly more compact, and by 5 s it disappears from view—consistent with a rapid contraction into a condensed form (likely a ball-like shape just outside the focal plane or obscured by debris). Per definition 2.5, even incomplete shortening counts as contraction, and the clear loss of elongation confirms this behavior occurred.</t>
    <phoneticPr fontId="1" type="noConversion"/>
  </si>
  <si>
    <t>yes  
The stentor begins in an extended, trumpet-like shape at 0.2–4 s, with a clearly elongated body and visible oral cilia at the head. By 5 s, it abruptly shortens and becomes a compact, rounded mass—no longer elongated—and remains in that condensed form through 9 s. This satisfies definition 2.5: a clear shortening (even if not perfectly spherical) qualifies as a contraction.</t>
    <phoneticPr fontId="1" type="noConversion"/>
  </si>
  <si>
    <t>yes  
The stentor starts in an extended, trumpet-like shape at 0.2–3 s (clear head and tail separation), then rapidly shortens between 4 s and 5 s into a compact, rounded mass that remains condensed through 9 s. This shortening—regardless of not being a perfect sphere—fulfills definition 2.5 as a contraction.</t>
    <phoneticPr fontId="1" type="noConversion"/>
  </si>
  <si>
    <t>no  
The stentor remains in a relatively extended, elongated shape throughout the video (0.2–9 s), with no clear shortening or condensation toward a ball-like form; the head–tail distance stays largely unchanged. While minor shape fluctuations occur, they do not meet the definition of contraction (per 2.5: even partial shortening must be evident—here it is absent).</t>
    <phoneticPr fontId="1" type="noConversion"/>
  </si>
  <si>
    <t>yes  
The stentor begins in an extended, trumpet-like shape at 0.2–3 s (long body, distinct head and tail). By 4 s, it has shortened significantly into a more compact, oval-to-round form, with the head and tail much closer—consistent with a contraction per definition 2.5 (shortening even if not perfectly spherical). It remains in this condensed state through 9 s.</t>
    <phoneticPr fontId="1" type="noConversion"/>
  </si>
  <si>
    <t>yes  
The stentor starts elongated (trumpet-like) at 0.2–4 s, with a distinct narrow tail and broader head. By 5 s, it has shortened significantly into a more compact, oval-to-round shape, with head and tail much closer—consistent with contraction per definition 2.5 (shortening counts even if not perfectly spherical). It remains in this condensed form through 9 s.</t>
    <phoneticPr fontId="1" type="noConversion"/>
  </si>
  <si>
    <t>no  
The stentor remains in an extended, trumpet-like shape throughout the video (0.2–9 s), with no observable shortening or condensation toward a ball-like form. Although it appears partially obscured by debris and manipulated by a micropipette, its overall length and head–tail distance do not decrease significantly—thus, no contraction occurs per definition 2.5.</t>
    <phoneticPr fontId="1" type="noConversion"/>
  </si>
  <si>
    <t>yes  
The stentor begins in an extended, trumpet-like shape at 0.2–4 s (clear head and tail separation). By 5 s, it is no longer visible in its elongated form and appears as a small, compact, rounded mass near the left edge—indicating rapid shortening/contraction. This satisfies definition 2.5: even incomplete shortening counts as contraction, and the loss of elongation confirms it occurred.</t>
    <phoneticPr fontId="1" type="noConversion"/>
  </si>
  <si>
    <t>yes  
The stentor begins in an extended, trumpet-like shape at 0.2–4 s (long body, distinct head and tail). By 5 s, it has shortened into a compact, rounded mass—no longer elongated—and remains condensed through 9 s. This shortening satisfies definition 2.5: even incomplete contraction (not perfectly spherical) counts as contraction.</t>
    <phoneticPr fontId="1" type="noConversion"/>
  </si>
  <si>
    <t>yes  
The stentor starts in an extended, trumpet-like shape at 0.2–4 s (clear head and tail separation). By 5 s, it is no longer elongated and appears as a compact, rounded mass—indicating shortening/contraction. This satisfies definition 2.5: even incomplete shortening (not perfectly spherical) counts as contraction.</t>
    <phoneticPr fontId="1" type="noConversion"/>
  </si>
  <si>
    <t>yes  
The stentor begins in an extended, trumpet-like shape at 0.2–3 s (clear head and tail separation). By 4 s, it is no longer elongated and appears as a compact, rounded mass—indicating shortening/contraction. This satisfies definition 2.5: even incomplete shortening (not perfectly spherical) counts as contraction.</t>
    <phoneticPr fontId="1" type="noConversion"/>
  </si>
  <si>
    <t>no  
The stentor remains in a compact, oval-to-round shape throughout the video (0.2–9 s), with no evidence of transitioning from an extended trumpet-like form to a more condensed state—i.e., it is already contracted at the start does not undergo further shortening. Since contraction is defined as a *change* from extended to condensed, and no such change occurs, the answer is “no”.</t>
    <phoneticPr fontId="1" type="noConversion"/>
  </si>
  <si>
    <t>no  
The stentor visible in the lower right (e.g., at 5–9 s) remains in a relatively elongated, oval-to-elongated shape throughout; no clear shortening from an extended trumpet-like form to a more condensed state is observed. Other structures (e.g., upper left) appear already contracted or ambiguous, but the primary identifiable stentor does not undergo contraction per definition 2.5.</t>
    <phoneticPr fontId="1" type="noConversion"/>
  </si>
  <si>
    <t>no  
The stentor is visible in an extended, trumpet-like shape at 0.2–4 s, but then disappears from clear view (likely out of focus or obscured by debris) and does not reappear in a condensed form. There is no observable shortening or transition to a more compact shape within the frames—thus, no contraction is confirmed per definition 2.5.</t>
    <phoneticPr fontId="1" type="noConversion"/>
  </si>
  <si>
    <t>yes  
The stentor begins in an extended, trumpet-like shape at 0.2–4 s (clear head and tail separation). By 5–6 s, it rapidly shortens into a compact, rounded mass—no longer elongated—and remains condensed through 9 s. This shortening satisfies definition 2.5: even incomplete contraction (not perfectly spherical) counts as contraction.</t>
    <phoneticPr fontId="1" type="noConversion"/>
  </si>
  <si>
    <t>yes  
The stentor starts in an extended, trumpet-like shape at 0.2–6 s (clear elongation with distinct head and tail). By 7–9 s, it has shortened into a compact, rounded mass—head and tail are now much closer—fulfilling definition 2.5: even incomplete shortening qualifies as contraction.</t>
    <phoneticPr fontId="1" type="noConversion"/>
  </si>
  <si>
    <t>no  
The stentor remains in an extended, trumpet-like shape throughout the video (0.2–9 s), with no observable shortening or condensation toward a ball-like form. Its head–tail distance stays relatively constant, and no contraction occurs per definition 2.5.</t>
    <phoneticPr fontId="1" type="noConversion"/>
  </si>
  <si>
    <t>yes  
The stentor begins in an extended, trumpet-like shape at 0.2–3 s (long body, distinct head and tail). By 4–5 s, it rapidly shortens into a compact, rounded mass—clearly reduced in length with head and tail much closer—satisfying definition 2.5: even incomplete shortening counts as contraction.</t>
    <phoneticPr fontId="1" type="noConversion"/>
  </si>
  <si>
    <t>yes  
The stentor starts in an extended, trumpet-like shape at 0.2–3 s (clear head and tail separation). By 4–5 s, it shortens into a compact, rounded mass—no longer elongated—and remains condensed through 9 s. This shortening satisfies definition 2.5: even incomplete contraction (not perfectly spherical) counts as contraction.</t>
    <phoneticPr fontId="1" type="noConversion"/>
  </si>
  <si>
    <t>no  
The stentor visible (e.g., upper right) remains in a relatively elongated, trumpet-like shape throughout 0.2–9 s, with no observable shortening or condensation toward a ball-like form; head–tail distance stays largely unchanged. Another structure (lower left) appears already contracted at the start but does not undergo further change. Since contraction requires a *change* from extended to condensed, and no such change occurs in the clearly identifiable stentor, the answer is “no”.</t>
    <phoneticPr fontId="1" type="noConversion"/>
  </si>
  <si>
    <t>yes  
The stentor begins in an extended, trumpet-like shape at 0.2–4 s. By 5 s, it is no longer elongated and appears as a compact, rounded mass—indicating shortening/contraction. This satisfies definition 2.5: even incomplete shortening (not perfectly spherical) counts as contraction.</t>
    <phoneticPr fontId="1" type="noConversion"/>
  </si>
  <si>
    <t>yes  
The stentor begins in an extended, trumpet-like shape at 0.2–5 s (clear head and tail separation). By 6–9 s, it has shortened into a compact, rounded mass—head and tail are much closer—satisfying definition 2.5: even incomplete shortening qualifies as contraction.</t>
    <phoneticPr fontId="1" type="noConversion"/>
  </si>
  <si>
    <t>no  
The stentor remains in a relatively compact, oval-to-slightly-elongated shape throughout the video (0.2–9 s), with no observable transition from an extended trumpet-like form to a more condensed state. Its head–tail distance does not significantly decrease, and no shortening occurs—thus, no contraction per definition 2.5.</t>
    <phoneticPr fontId="1" type="noConversion"/>
  </si>
  <si>
    <t>Yes</t>
  </si>
  <si>
    <t>No</t>
  </si>
  <si>
    <t>to dignose</t>
    <phoneticPr fontId="1" type="noConversion"/>
  </si>
  <si>
    <t>Prompt 3</t>
    <phoneticPr fontId="1" type="noConversion"/>
  </si>
  <si>
    <t>C 141 total</t>
    <phoneticPr fontId="1" type="noConversion"/>
  </si>
  <si>
    <t>C 77 total</t>
    <phoneticPr fontId="1" type="noConversion"/>
  </si>
  <si>
    <t>sum ABD</t>
    <phoneticPr fontId="1" type="noConversion"/>
  </si>
  <si>
    <t>yes  
The stentor transitions from an extended trumpet-like shape (e.g., at 0.2–0.5 s) to a significantly shortened, compact form by ~6 s, where its body is condensed and the distance between “head” and “tail” is markedly reduced—consistent with the definition of contraction, including partial or incomplete shortening as specified in the prompt.</t>
    <phoneticPr fontId="1" type="noConversion"/>
  </si>
  <si>
    <t>yes  
The stentor begins in an extended trumpet-like shape (0.2–0.4 s), with a clearly elongated body and distinct head region. By ~5–6 s, the organism has shortened significantly: the head is pulled inward, the body appears thickened and less linear, and the overall length is reduced—consistent with a partial or incomplete contraction as defined in the prompt (e.g., spindle-like or shortened but not fully spherical). This measurable shortening qualifies as a contraction.</t>
    <phoneticPr fontId="1" type="noConversion"/>
  </si>
  <si>
    <t>yes  
At 0.2 s, the stentor appears as a compact, rounded structure—possibly already partially contracted or in the early phase of contraction. By 6–9 s, it is clearly visible as a condensed, teardrop- to oval-shaped body with no extended trumpet morphology; the “head” and “tail” regions are closely apposed, and the overall length is markedly reduced compared to a typical resting (extended) stentor. This satisfies the definition of contraction, including partial or incomplete shortening to a non-spherical but distinctly condensed shape.</t>
    <phoneticPr fontId="1" type="noConversion"/>
  </si>
  <si>
    <t>no  
The stentor remains in a compact, rounded-to-oval shape throughout the video (0.2–9 s), with no evidence of transitioning from an extended trumpet-like morphology to a condensed one. Since contraction is defined as a *change* from extended to condensed, and the organism appears already condensed (possibly resting in a contracted state or not fully extended at the start), there is no observable contraction event clip.</t>
    <phoneticPr fontId="1" type="noConversion"/>
  </si>
  <si>
    <t>1quick</t>
  </si>
  <si>
    <t>1quick</t>
    <phoneticPr fontId="1" type="noConversion"/>
  </si>
  <si>
    <t>2shortening</t>
  </si>
  <si>
    <t>8dubious</t>
  </si>
  <si>
    <t>no  
The stentor remains obscured within a dense cloud of bubbles and debris throughout the clip (0.2–9 s); its morphology is not clearly visible at any frame, and no discernible change from an extended trumpet-like shape to a condensed form can be observed. Without clear visualization of the stentor’s body shape and the relative positions of “head” and “tail,” a contraction cannot be confirmed per the definition requiring observable shortening.</t>
    <phoneticPr fontId="1" type="noConversion"/>
  </si>
  <si>
    <t>no  
Both stentors remain in a relatively constant, elongated, oval-to-slightly-tapered shape throughout the video (0.2–9 s), with no observable shortening or condensation of body length. The distance between “head” and “tail” does not decrease measurably; neither adopts a spindle-like nor ball-like contracted morphology. Thus, contraction occurs.</t>
    <phoneticPr fontId="1" type="noConversion"/>
  </si>
  <si>
    <t>yes  
At 0.2–0.4 s, the stentor is clearly extended in a trumpet-like shape with a visible elongated body and distinct oral “head” region. By 0.5–0.6 s, it disappears from view as it rapidly shortens and condenses—consistent with a fast contraction into a compact, likely ball- or spindle-like form that moves out of focus or plane. The abrupt loss of the extended morphology and absence of the stentor in later frames (0.5–9 s) strongly indicates a contraction event occurred within the first half-second, satisfying the definition even if the final contracted shape is not fully resolved.</t>
    <phoneticPr fontId="1" type="noConversion"/>
  </si>
  <si>
    <t>yes  
At 0.2 s, the stentor is clearly extended in a trumpet-like shape, with a long, slender body and distinct oral “head” region visible near the top left. By 0.5–1.0 s, the organism has shortened dramatically: the body is now compact, the head is pulled inward, and the overall length is markedly reduced—consistent with a rapid contraction (likely completed within 1–2 frames). Though partially obscured by debris, the measurable shortening of the distance between “head” and “tail” satisfies the definition of contraction, including partial or incomplete shortening.</t>
    <phoneticPr fontId="1" type="noConversion"/>
  </si>
  <si>
    <t>yes  
At 0.2–0.4 s, a stentor is visible in an extended, trumpet-like shape (long, slender body with discernible head region near the top). By 0.5 s, it disappears from view—consistent with rapid contraction into a compact form that moves out of focus or plane. The abrupt loss of the extended morphology within one frame indicates a contraction event occurred, satisfying the definition even if the final contracted shape is not resolved.</t>
    <phoneticPr fontId="1" type="noConversion"/>
  </si>
  <si>
    <t>no  
The stentor remains in a relatively constant, elongated, slightly tapered shape throughout the video (0.2–9 s), with no observable shortening of body length or reduction in distance between “head” and “tail”. It does not transition toward a condensed, ball-like, or spindle-like morphology. Therefore, no contraction occurs.</t>
    <phoneticPr fontId="1" type="noConversion"/>
  </si>
  <si>
    <t>no  
The stentor maintains a consistent elongated, slightly tapered shape throughout all frames (0.2–9 s), with no measurable shortening of body length or reduction in distance between “head” and “tail”. It does not adopt a condensed, spindle-like, or ball-like morphology at any point. Therefore, no contraction occurs.</t>
    <phoneticPr fontId="1" type="noConversion"/>
  </si>
  <si>
    <t>no  
The stentor remains in a relatively constant, elongated, slightly tapered shape throughout the video (0.2–9 s), with no observable shortening of body length or reduction in distance between “head” and “tail”. It does not adopt a condensed, spindle-like, or ball-like morphology at any point; the shape is stable and extended. Therefore, no contraction occurs.</t>
    <phoneticPr fontId="1" type="noConversion"/>
  </si>
  <si>
    <t>yes  
At 0.2 s, the stentor is extended with a visible elongated body and distinct head region. By 0.5–1.0 s, it has shortened the body becomes more compact and rounded, and the distance between “head” and “tail” is clearly reduced—consistent with a partial or incomplete contraction (spindle- to ball-like). The change is observable and unambiguous across frames, satisfying the definition.</t>
    <phoneticPr fontId="1" type="noConversion"/>
  </si>
  <si>
    <t>no  
The stentor remains in a relatively constant, elongated, slightly tapered shape throughout the video (0.2–9 s), with no observable shortening of body length or reduction in distance between “head” and “tail”. It does not adopt a condensed, spindle-like, or ball-like morphology at any point. Therefore, no contraction occurs.</t>
    <phoneticPr fontId="1" type="noConversion"/>
  </si>
  <si>
    <t>no  
The stentor visible in the upper right (e.g., at 0.2–9 s) remains in a relatively constant, elongated, slightly tapered shape with no observable shortening of body length or reduction in distance between “head” and “tail”. The other structure (lower left) appears to be a fixed, out-of-focus trumpet-shaped artifact or debris—not a living stentor dynamic change. No contraction is observed.</t>
    <phoneticPr fontId="1" type="noConversion"/>
  </si>
  <si>
    <t>yes  
At 0.2 s, the stentor is extended with a long, slender body and distinct trumpet-shaped head. By 0.5–1.0 s, it has shortened significantly: the body becomes thicker and more compact, the tail region pulls toward the head, and the overall length decreases—consistent with a partial or incomplete contraction (spindle-like). This measurable shortening satisfies the definition, even if not fully spherical.</t>
    <phoneticPr fontId="1" type="noConversion"/>
  </si>
  <si>
    <t>no  
The stentor remains in a stable, elongated, slightly tapered shape throughout all frames (0.2–9 s), with no observable shortening of body length or reduction in distance between “head” and “tail”. It does not adopt a condensed, spindle-like, or ball-like morphology. Therefore, no contraction occurs.</t>
    <phoneticPr fontId="1" type="noConversion"/>
  </si>
  <si>
    <t>yes  
At 0.2 s, the stentor is visible in an extended, trumpet-like shape (elongated with distinct head region). By 1.0–2.0 s, it has shortened into a compact, rounded-to-oval form with markedly reduced body length and closer “head”–“tail” proximity—consistent with a partial or incomplete contraction as defined (spindle- or ball-like shortening). The change is clear and unambiguous across frames.</t>
    <phoneticPr fontId="1" type="noConversion"/>
  </si>
  <si>
    <t>no  
The stentor is partially visible but heavily obscured by dense debris and bubbles throughout the clip (0.2–9 s); its morphology is not clearly resolved, and no unambiguous change from an extended trumpet-like shape to a condensed form can be observed. Without clear visualization of body length or head–tail distance changes, contraction cannot be confirmed per the definition.</t>
    <phoneticPr fontId="1" type="noConversion"/>
  </si>
  <si>
    <t>yes  
At 0.2 s, the stentor appears partially extended (possibly mid-contraction or just entering focus), and by 1.0–2.0 s it is clearly in a compact, rounded, ball-like shape with no visible elongation—indicating completion of contraction. The head and tail are fused/adjacent, satisfying the definition of contraction, including full ball-like shortening.</t>
    <phoneticPr fontId="1" type="noConversion"/>
  </si>
  <si>
    <t>yes  
At 0.2 s, the stentor is extended in a clear trumpet-like shape. By 0.3–0.4 s, it rapidly shortens and condenses—disappearing from clear view as it contracts into a compact form (likely out of focus or plane), then rears partially resolved by 0.5 s in a shortened, thicker morphology. The abrupt loss of elongation and measurable reduction in body length confirm a contraction event, consistent with the definition (including rapid, partial, or incomplete shortening).</t>
    <phoneticPr fontId="1" type="noConversion"/>
  </si>
  <si>
    <t>no  
The stentor remains in a relatively constant, elongated, slightly tapered shape throughout the video (0.2–9 s), with no observable shortening of body length or reduction in distance between “head” and “tail”. It does a condensed, spindle-like, or ball-like morphology at any point. Therefore, no contraction occurs.</t>
    <phoneticPr fontId="1" type="noConversion"/>
  </si>
  <si>
    <t>9notable</t>
    <phoneticPr fontId="1" type="noConversion"/>
  </si>
  <si>
    <t>no  
The stentor (visible at ~0.8–9 s as a dark, elongated structure near the top left) remains in a relatively constant, elongated shape with no observable shortening of body length or reduction in head–tail distance. It does not adopt a condensed, spindle-like, or ball-like morphology at any point. Therefore, no contraction occurs.</t>
    <phoneticPr fontId="1" type="noConversion"/>
  </si>
  <si>
    <t>Prompt 4</t>
    <phoneticPr fontId="1" type="noConversion"/>
  </si>
  <si>
    <t>Prompt 5</t>
    <phoneticPr fontId="1" type="noConversion"/>
  </si>
  <si>
    <t>5v</t>
    <phoneticPr fontId="1" type="noConversion"/>
  </si>
  <si>
    <t>contains 77 "C"s among 40 segmented videos</t>
    <phoneticPr fontId="1" type="noConversion"/>
  </si>
  <si>
    <t>contains 141 "C"s among all non segmented videos</t>
    <phoneticPr fontId="1" type="noConversion"/>
  </si>
  <si>
    <t>2shortening</t>
    <phoneticPr fontId="1" type="noConversion"/>
  </si>
  <si>
    <t>8dubious</t>
    <phoneticPr fontId="1" type="noConversion"/>
  </si>
  <si>
    <t>3dubious</t>
  </si>
  <si>
    <t>4notable</t>
  </si>
  <si>
    <t>correct C</t>
    <phoneticPr fontId="1" type="noConversion"/>
  </si>
  <si>
    <t>incorrect</t>
    <phoneticPr fontId="1" type="noConversion"/>
  </si>
  <si>
    <t>correct rate</t>
    <phoneticPr fontId="1" type="noConversion"/>
  </si>
  <si>
    <t>C 26 total</t>
    <phoneticPr fontId="1" type="noConversion"/>
  </si>
  <si>
    <t xml:space="preserve">26 selected "dubious" videos </t>
    <phoneticPr fontId="1" type="noConversion"/>
  </si>
  <si>
    <t>other 51 videos</t>
    <phoneticPr fontId="1" type="noConversion"/>
  </si>
  <si>
    <t>C 51 total</t>
    <phoneticPr fontId="1" type="noConversion"/>
  </si>
  <si>
    <t>yes  
The stentor transitions from an extended trumpet-like shape (visible at 0.2–0.5 seconds) to a highly condensed, compact form by 6.0 seconds, where its body is no longer elongated and the “head” and “tail” are nearly indistinguishable—consistent with the definition of contraction, including partial or incomplete shortening. The visible shortening across frames (e.g., compare 0.2 s vs. 3.0 s vs. 6.0 s) confirms a clear reduction in body length, satisfying criteria 2.5 and 2.</t>
    <phoneticPr fontId="1" type="noConversion"/>
  </si>
  <si>
    <t>yes  
The stentor is clearly extended in the first frame (0.2 s), showing a trumpet-like shape with a distinct oral ciliary membrane the “head.” By 4.0 s, the stentor is no longer visible in its original location—its body has disappeared from view, and only background debris and a cloud of dispersed particles remain where it was. This abrupt disappearance is consistent with rapid contraction into a compact, indistinct form (often appearing as a small dark blob or vanishing entirely under phase contrast when highly condensed), which matches the definition of contraction (including partial/incomplete or fast contractions). The loss of the extended morphology and absence of the stentor in subsequent frames confirms contraction occurred.</t>
    <phoneticPr fontId="1" type="noConversion"/>
  </si>
  <si>
    <t>yes  
The stentor is clearly extended in frames 0.2–5.0 s, with a distinct trumpet shape and visible oral cilia at the “head.” By 6.0 s, the stentor is no longer visible in its original location; instead, only diffuse debris and a small dark remnant (possibly the contracted body) remain near the base. This abrupt disappearance of the extended morphology—without movement out of frame—is consistent with rapid contraction into a compact, indistinct form, satisfying the definition of contraction (including fast or incomplete contractions).</t>
    <phoneticPr fontId="1" type="noConversion"/>
  </si>
  <si>
    <t>yes  
The stentor is clearly extended in frames 0.2–5.0 s, displaying a trumpet shape with a distinct oral ciliary membrane at the “head.” By 6.0 s, the stentor is no longer visible in its original location; only background debris and a small dark mass remain where it was—indicating rapid contraction into a compact, indistinct form. This disappearance of the extended morphology satisfies the definition of contraction (including fast or incomplete contractions), as per criteria 2 and 2.5.</t>
    <phoneticPr fontId="1" type="noConversion"/>
  </si>
  <si>
    <t>yes  
The stentor is clearly extended in frames .2–4.0 s, a, trumpet-like shape and a distinct oral ciliary membrane at the “head.” By 5.0 s, the stentor is no longer visible in its original location—only background debris remains, and a small dark remnant appears near the bottom left (possibly the contracted body). This abrupt loss of the extended morphology, without evidence of movement out of frame, indicates rapid contraction into a condensed form, satisfying the definition of contraction (including fast or incomplete contractions).</t>
    <phoneticPr fontId="1" type="noConversion"/>
  </si>
  <si>
    <t>yes  
The stentor is clearly extended in frames 0.2–4.0 s, with a visible trumpet shape and distinct “head” and “tail.” By 5.0 s, the stentor is no longer visible in its original location—only background debris remains—indicating it has contracted into a compact, indistinct form (likely a small dark blob that blends with surrounding material). This abrupt disappearance of the extended morphology satisfies the definition of contraction, including fast or incomplete contractions (criteria 2 and 2.5).</t>
    <phoneticPr fontId="1" type="noConversion"/>
  </si>
  <si>
    <t>yes  
The stentor is clearly extended in frames 0.2–4.0 s, with a long, curved body and distinct “head” and “tail” ends (resembling a bent trumpet). By 5.0 s, the stentor is no longer visible in that extended form; instead, only background debris remains in its prior location. A small dark, compact object appears later (e.g., at 8.00 s) near the same region—consistent with a contracted stentor (ball- or spindle-like). The loss of the extended morphology and appearance of a condensed form confirm contraction occurred, satisfying criteria 2 and 2.5.</t>
    <phoneticPr fontId="1" type="noConversion"/>
  </si>
  <si>
    <t>yes  
The stentor is clearly extended in frames 0.2–4.0 s, with a trumpet-like shape and distinct oral cilia at the “head.” By 5.0 s, it has shortened significantly into a compact, spindle-shaped form—still visible but markedly reduced in length, with the head and tail much closer together. This measurable shortening satisfies the definition of contraction, including partial or incomplete contractions (criteria 2.5).</t>
    <phoneticPr fontId="1" type="noConversion"/>
  </si>
  <si>
    <t>yes  
The stentor is extended in frames 0.2–4.0 s, with a clear trumpet shape and visible oral cilia at the “head.” By 5.0 s, the stentor has shortened markedly: the head is pulled down toward the base, and the body appears compacted and bent—no longer elongated. This measurable reduction in length (distance between head and tail decreases significantly) satisfies the definition of contraction, including partial or incomplete contractions (criteria 2.5).</t>
    <phoneticPr fontId="1" type="noConversion"/>
  </si>
  <si>
    <t>yes  
The stentor is clearly extended in frames 0.2–4.0 s, with a trumpet-like shape and visible oral cilia at the “head.” By 5.0 s, the stentor is no longer visible in that extended form; only background debris remains where it was—indicating rapid contraction into a compact, indistinct form (likely a small dark mass that blends with surrounding material). This abrupt loss of the extended morphology satisfies the definition of contraction, including fast or incomplete contractions (criteria 2 and 2.5).</t>
    <phoneticPr fontId="1" type="noConversion"/>
  </si>
  <si>
    <t>yes  
The stentor is extended in frames 0.2–4.0 s, with a clear trumpet shape and visible oral cilia at the “head.” By 5.0 s, it is no longer visible in that location—only background debris remains—indicating rapid contraction into a compact, indistinct form (consistent with fast or incomplete contraction). This satisfies the definition of contraction per criteria 2 and 2.5.</t>
    <phoneticPr fontId="1" type="noConversion"/>
  </si>
  <si>
    <t>yes  
The stentor is visible in an extended, trumpet-like shape at 0.2–1.0 s, with a clear “head” (oral cilia) and elongated body. By 2.0 s, it begins to shorten; by 5.0 s, it is no longer visible in that location—only background debris remains—indicating rapid contraction into a compact, indistinct form. This satisfies the definition of contraction, including fast or incomplete contractions (criteria 2 and 2.5).</t>
    <phoneticPr fontId="1" type="noConversion"/>
  </si>
  <si>
    <t>yes  
The stentor is extended in frames 0.2–3.0 s, with a clear trumpet shape and visible oral cilia at the “head.” By 4.0 s, it begins to shorten; by 7.0–9.0 s, it appears as a compact, dark, spindle- or oval-shaped mass—significantly reduced in length, with head and tail no longer distinguishable as separate ends. This measurable shortening satisfies the definition of contraction, including partial or incomplete forms (criteria 2.5).</t>
    <phoneticPr fontId="1" type="noConversion"/>
  </si>
  <si>
    <t>yes  
The stentor is clearly extended in frames 0.2–4.0 s, with a trumpet-like shape and visible head/tail separation. By 5.0 s, it is no longer visible in that location—only background debris and a dispersed cloud of particles remain—indicating rapid contraction into a compact, indistinct form (consistent with fast or incomplete contraction). This satisfies the definition of contraction per criteria 2 and 2.5.</t>
    <phoneticPr fontId="1" type="noConversion"/>
  </si>
  <si>
    <t>yes  
At 0.2–1.0 s, a stentor is visible in an extended, trumpet-like shape (head distinct, body elongated). By 2.0–9.0 s, it disappears from view and is replaced by a dark, compact, roughly spherical mass at the same location—consistent with rapid contraction into a ball-like or highly condensed form. This satisfies the definition of contraction (including fast or incomplete forms) per criteria 2 and 2.5.</t>
    <phoneticPr fontId="1" type="noConversion"/>
  </si>
  <si>
    <t>yes  
The stentor is clearly in frames 0.2–4.0 s, with a trumpet shape and visible oral cilia at the “head.” By 5.0 s, it is no longer visible in that location—only background debris remains—and a compact dark mass appears later (e.g., at 8.0–9.0 s) near the same region, consistent with a contracted form. This abrupt loss of the extended morphology satisfies the definition of contraction, including fast or incomplete contractions (criteria 2 and 2.5).</t>
    <phoneticPr fontId="1" type="noConversion"/>
  </si>
  <si>
    <t>yes  
The stentor is clearly extended at 0.2 s, with a trumpet shape and visible oral cilia at the “head.” By 1.2 s, it is no longer visible in that location—only a cloud of dispersed particles remains where it was—indicating rapid contraction into a compact, indistinct form. This satisfies the definition of contraction (including fast or incomplete forms) per criteria 2 and 2.5.</t>
    <phoneticPr fontId="1" type="noConversion"/>
  </si>
  <si>
    <t>yes  
The stentor is clearly extended in frames 0.2–4.0 s, with a trumpet shape and distinct oral cilia at the “head.” By 5.0 s, it is no longer visible in that location—only a dispersed cloud of particles remains—indicating rapid contraction into a compact, indistinct form. This satisfies the definition of contraction (including fast or incomplete forms) per criteria 2 and 2.5.</t>
    <phoneticPr fontId="1" type="noConversion"/>
  </si>
  <si>
    <t>yes  
The stentor is extended in frames 0.2–2.0 s, with a clear trumpet shape and visible oral cilia at the “head.” By 3.0 s, it is no longer visible in that location; only background debris remains. A compact dark mass appears later (e.g., at 5.0–9.0 s) near the same region—consistent with a contracted stentor. This abrupt loss of the extended morphology satisfies the definition of contraction, including fast or incomplete forms (criteria 2 and 2.5).</t>
    <phoneticPr fontId="1" type="noConversion"/>
  </si>
  <si>
    <t>yes  
The stentor is clearly extended in frames 0.2–4.0 s, with a trumpet shape and visible head/tail separation. By 5.0 s, it is no longer visible in that location—only background debris remains—and a compact dark mass appears later (e.g., at 7.0–8.0 s) near the same region, consistent with a contracted form. This abrupt loss of the extended morphology satisfies the definition of contraction, including fast or incomplete forms (criteria 2 and 2.5).</t>
    <phoneticPr fontId="1" type="noConversion"/>
  </si>
  <si>
    <t>yes  
The stentor is clearly extended in frames 0.2–4.0 s, with a trumpet shape and distinct oral cilia at the “head.” By 5.0 s, it is no longer visible in that location—only a cloud of dispersed particles remains—indicating rapid contraction into a compact, indistinct form. This satisfies the definition of contraction (including fast or incomplete forms) per criteria 2 and 2.5.</t>
    <phoneticPr fontId="1" type="noConversion"/>
  </si>
  <si>
    <t>yes  
The stentor is clearly extended in frames 0.2–3.0 s, with a trumpet shape and visible oral cilia at the “head.” By 4.0 s, it is no longer visible in that location—only a dispersed cloud of particles remains—indicating rapid contraction into a compact, indistinct form. This satisfies the definition of contraction (including fast or incomplete forms) per criteria 2 and 2.5.</t>
    <phoneticPr fontId="1" type="noConversion"/>
  </si>
  <si>
    <t>yes  
The stentor is clearly extended in frames 0.2–4.0 s, with a trumpet shape and visible oral cilia.” By 5.0 s, it is no longer visible in that location—only a dispersed cloud of particles remains—indicating rapid contraction into a compact, indistinct form. This satisfies the definition of contraction (including fast or incomplete forms) per criteria 2 and 2.5.</t>
    <phoneticPr fontId="1" type="noConversion"/>
  </si>
  <si>
    <t>yes  
The stentor is clearly extended in frames 0.2–4.0 s, with a trumpet shape and visible oral cilia at the “head.” By 5.0 s, it is no longer visible in that location—only a dispersed cloud of particles remains—indicating rapid contraction into a compact, indistinct form. This satisfies the definition of contraction (including fast or incomplete forms) per criteria 2 and 2.5.</t>
    <phoneticPr fontId="1" type="noConversion"/>
  </si>
  <si>
    <t>yes  
The stentor is clearly extended in frames 0.2–5.0 s, with a trumpet shape and visible oral cilia at the “head.” By 6.0 s, it is no longer visible in that location—only background debris and a dispersed cloud of particles remain—indicating rapid contraction into a compact, indistinct form. This satisfies the definition of contraction (including fast or incomplete forms) per criteria 2 and 2.5.</t>
    <phoneticPr fontId="1" type="noConversion"/>
  </si>
  <si>
    <t>yes  
The stentor is clearly extended in frames 0.2–4.0 s, with a trumpet shape and visible oral cilia at the “head.” By 5.0 s, it is no longer visible in that location—only background debris and a dispersed cloud of particles remain—indicating rapid contraction into a compact, indistinct form. This satisfies the definition of contraction (including fast or incomplete forms) per criteria 2 and 2.5.</t>
    <phoneticPr fontId="1" type="noConversion"/>
  </si>
  <si>
    <t>yes  
The stentor is clearly extended in frames 0.2–3.0 s, with a trumpet shape and visible oral cilia at the “head.” By 4.0 s, it is no longer visible in that location—only background debris and a dispersed cloud of particles remain—indicating rapid contraction into a compact, indistinct form. This satisfies the definition of contraction (including fast or incomplete forms) per criteria 2 and 2.5.</t>
    <phoneticPr fontId="1" type="noConversion"/>
  </si>
  <si>
    <t>yes  
The stentor is extended at 0.2 s (visible trumpet shape with distinct head and elongated body). By 1.2–4.0 s, it shortens markedly into a compact, rounded/oval form—head and tail are no longer separated by a long stalk, and the overall shape is condensed. This measurable shortening satisfies the definition of contraction, including partial or incomplete forms (criteria 2.5).</t>
    <phoneticPr fontId="1" type="noConversion"/>
  </si>
  <si>
    <t>yes  
The stentor is clearly extended in frames 0.2–4.0 s, with a trumpet shape and visible oral cilia at the “head.” By 5.0 s, it is no longer visible in that location—only background debris and a dispersed cloud of particles remain—indicating rapid contraction into a compact, indistinct form. the definition of contraction (including fast or incomplete forms) per criteria 2 and 2.5.</t>
    <phoneticPr fontId="1" type="noConversion"/>
  </si>
  <si>
    <t>yes  
The stentor is visible in frames 0.2–0.4 seconds in an extended, trumpet-like shape (resting state). By frame 0.5 seconds, it disappears from view—consistent with rapid contraction into a compact, ball-like form that moves out of the focal plane or becomes too small/dense to resolve clearly. The abrupt disappearance after being clearly extended, combined with the presence of the glass needle (a common stimulus for contraction), strongly indicates a contraction occurred between 0.4 s and 0.5 s. This matches the definition: a change from extended to condensed shape, even if not fully resolved in later frames.</t>
    <phoneticPr fontId="1" type="noConversion"/>
  </si>
  <si>
    <t>yes  
The stor is clearly visible in frames 0.2–0.4 seconds in an extended, trumpet-like resting. By frame 0.5 seconds, it is no longer visible in the field of view—consistent with rapid contraction compact form that either moves out of focus or becomes too small/dense to resolve. The abrupt disappearance after being fully extended, especially in the presence of a nearby glass needle (a known mechanical stimulus), satisfies the definition of contraction: a change from extended to condensed shape, even if the contracted form is not directly resolved.</t>
    <phoneticPr fontId="1" type="noConversion"/>
  </si>
  <si>
    <t>yes  
The stentor is initially elongated (teardrop/oval) at 0.2 s, with a visible anterior end and posterior tail region. Over frames 0.2–0.9 s, it progressively shortens and rounds up into a more compact, nearly spherical shape by 0.8–0.9 s—clearly reducing the distance between “head” and “tail” without disappearing. This satisfies the definition of contraction: a measurable shortening from an extended to a condensed shape, even if not fully ball-like. The change is gradual but unambiguous and consistent with slow contractions described in point 2.5 and image b.jpg.</t>
    <phoneticPr fontId="1" type="noConversion"/>
  </si>
  <si>
    <t>yes  
At0.2 s, the stentor is elongated (extended trumpet-like shape). By 1.2 s, it is clearly shorter and more rounded, with the anterior (oral) end visibly pulled toward the posterior—indicating a reduction in head-to-tail distance. The shape evolves toward a compact, spindle- to oval-like form (e.g., 2.2–9.2 s), consistent with a slow contraction as defined in point 2.5 and illustrated in image a.jpg. Even though it does not become fully spherical, the measurable shortening qualifies as a contraction.</t>
    <phoneticPr fontId="1" type="noConversion"/>
  </si>
  <si>
    <t>yes  
The stentor is clearly extended in a trumpet-like shape at 0.2–0.4 s, with a distinct elongated body and visible oral cilia at the anterior end. By 0.5 s, it disappears from view—consistent with rapid contraction into a compact, dense form that moves out of focus or becomes too small to resolve. This abrupt loss of the extended morphology, especially in the presence of nearby debris (e.g., glass needle fragment), matches the definition of contraction: a change from extended to condensed shape, even if the contracted state is not directly resolved.</t>
    <phoneticPr fontId="1" type="noConversion"/>
  </si>
  <si>
    <t>yes  
At 0.2–0.4 s, the stentor is clearly in a trumpet-like shape with a long, slender body and visible oral cilia at the anterior end. By 0.5 s, it is no longer visible as an extended structure; instead, only a dense, compact mass remains in the same location—consistent with rapid contraction into a condensed form that is either out of focus or too small to resolve clearly. This abrupt transition from extended to indistinctly compact satisfies the definition of contraction, including cases where the contracted state is not fully resolved but the loss of extension is unambiguous.</t>
    <phoneticPr fontId="1" type="noConversion"/>
  </si>
  <si>
    <t>yes  
From 0.2–0.3 s, the stentor is fully extended (trumpet-like, long body). By 0.4 s, it has shortened significantly and adopted a compact, oval/spindle shape—clearly reducing the head-to-tail distance without disappearing. This measurable shortening satisfies the definition of contraction (including partial/slow contractions per point 2.5 and image a.jpg). The change is unambiguous and persists through 0.9 s.</t>
    <phoneticPr fontId="1" type="noConversion"/>
  </si>
  <si>
    <t>yes  
At 0.2–0.4 s, the stentor is elongated with a distinct narrow “tail” and expanded “head” (extended trumpet-like shape). By 0.5 s, it has shortened significantly: the tail is retracted, and the body is more compact and oval—reducing the head-to-tail distance clearly and unambiguously. This measurable shortening satisfies the definition of contraction (including partial/slow contractions per point 2.5 and image a.jpg), even though it does not become fully spherical.</t>
    <phoneticPr fontId="1" type="noConversion"/>
  </si>
  <si>
    <t>yes  
At 0.2–0.4 s, the stentor is clearly extended in a trumpet-like shape with a long, thin body and distinct oral (anterior) end. By 0.5 s, it is no longer visible as an extended structure; instead, only a small, dense, indistinct mass remains near the same location—consistent with rapid contraction into a condensed form that moves out of focus or becomes too compact to resolve. This abrupt loss of extension satisfies the definition of contraction, even if the contracted state is not fully resolved.</t>
    <phoneticPr fontId="1" type="noConversion"/>
  </si>
  <si>
    <t>yes  
At 0.2–0.4 s, the stentor is extended with a long, thin body and a distinct trumpet-shaped anterior end. By 0.5 s, it has disappeared from that location and reappears as a compact, oval-to-round mass on the left—clearly shortened and condensed, with reduced head-to-tail distance. This satisfies the definition of contraction, including partial/slow forms (per point 2.5 and image a.jpg), even if not perfectly spherical.</t>
    <phoneticPr fontId="1" type="noConversion"/>
  </si>
  <si>
    <t>yes  
At 0.2–0.4 s, the stentor is extended with a long, curved body and distinct anterior end (resting/trumpet-like shape). By 0.5, it has disappeared from that position and reappears as a compact, oval-to-round mass on the left—clearly shortened, with reduced head-to-tail distance. This satisfies the definition of contraction, including partial/slow forms (per point 2.5 and image a.jpg), even if not perfectly spherical.</t>
    <phoneticPr fontId="1" type="noConversion"/>
  </si>
  <si>
    <t>yes  
At 0.2–0.3 s, the stentor is extended with a long, thin body and distinct trumpet-shaped anterior end. By 0.4 s, it is no longer visible in that extended form; instead, a compact, oval-to-round mass appears on the left—indicating a clear shortening and condensation of the body (reduced head-to-tail distance), consistent with contraction per definitions 2.5 and image a.jpg.</t>
    <phoneticPr fontId="1" type="noConversion"/>
  </si>
  <si>
    <t>yes  
At 0.2–0.4 s, two stentors are visible in extended trumpet-like shapes (long bodies, distinct anterior ends). By 0.5 s, the upper stentor has shortened markedly into a compact, rounded/oval form—clearly reducing head-to-tail distance—while the lower one remains extended. This measurable shortening satisfies the definition contraction (including partial/slow forms per point 2.5 and image a.jpg).</t>
    <phoneticPr fontId="1" type="noConversion"/>
  </si>
  <si>
    <t>yes  
At 0.2–0.4 s, the stentor is extended with a long, tapering body and distinct anterior end (trumpet-like). By 0.5 s, it has disappeared from that position and reappears by 0.8 s as a compact, rounded/oval mass—clearly shortened, with reduced head-to-tail distance. This satisfies the definition of contraction, including partial/slow forms (per point 2.5 and image a.jpg).</t>
    <phoneticPr fontId="1" type="noConversion"/>
  </si>
  <si>
    <t>yes  
At 0.2–0.5 s, the stentor is extended with a long, tapering tail and distinct anterior end. By 0.6–0.9 s, it has shortened into a compact, rounded/oval shape—clearly reducing head-to-tail distance—consistent with a contraction (including partial/slow forms per point 2.5 and image a.jpg).</t>
    <phoneticPr fontId="1" type="noConversion"/>
  </si>
  <si>
    <t>yes  
At 0.2–0.4 s, the stentor is fully extended in a trumpet-like shape with a long, slender body and distinct oral end. By 0.5 s, it has shortened dramatically into a compact, oval-to-round mass—clearly reducing head-to-tail distance—consistent with contraction per definitions 2.5 and image a.jpg. The change is unambiguous and satisfies the criteria even if not perfectly spherical.</t>
    <phoneticPr fontId="1" type="noConversion"/>
  </si>
  <si>
    <t>yes  
At 0.2–0.4 s, the stentor is extended with a long, slender body and visible oral cilia (trumpet-like resting shape). By 0.5 s, it has shortened into a compact, oval-to-round mass—clearly reducing head-to-tail distance—consistent with contraction per definitions 2.5 and image a.jpg. The change is unambiguous and satisfies the criteria even if not perfectly spherical.</t>
    <phoneticPr fontId="1" type="noConversion"/>
  </si>
  <si>
    <t>yes  
At 0.2–0.4 s, the stentor is extended (trumpet-like, with long body and distinct anterior end). By 0.5 s, it is no longer visible in that extended form; instead, a compact, rounded mass appears in the same region—indicating rapid contraction into a condensed shape. This satisfies the definition of contraction, even if the contracted state is not fully resolved.</t>
    <phoneticPr fontId="1" type="noConversion"/>
  </si>
  <si>
    <t>yes  
At 0.2–0.5 s, the stentor is extended (trumpet-like, with long body and visible oral cilia). By 0.6–0.9 s, it has shortened into a compact, rounded/oval shape—clearly reducing head-to-tail distance—consistent with contraction per definitions 2.5, a.jpg, and b.jpg.</t>
    <phoneticPr fontId="1" type="noConversion"/>
  </si>
  <si>
    <t>no  
The stentor remains in a relatively constant, moderately shortened (spindle- to oval-shaped) form throughout all frames (0.2–0.9 s), with no clear transition from an extended trumpet-like shape to a more condensed state. While it is not fully elongated, there is no observable *change* in shape indicating contraction—i.e., measurable shortening of head-to-tail distance over time. Per the definition, contraction requires a *change* from extended to condensed; here, the organism appears already in a stable, non-extended posture without dynamic shortening.</t>
    <phoneticPr fontId="1" type="noConversion"/>
  </si>
  <si>
    <t>C 26+51 total</t>
    <phoneticPr fontId="1" type="noConversion"/>
  </si>
  <si>
    <t>dignose</t>
    <phoneticPr fontId="1" type="noConversion"/>
  </si>
  <si>
    <t>processed_D.json</t>
  </si>
  <si>
    <t>no  
The stentor remains in an extended, trumpet-like shape throughout all frames (0.2–9 seconds), with no measurable shortening between its “head” and “tail.” The body length and overall morphology are stable; there is no evidence of condensation into a ball-like or spindle-like shape, nor any gradual or sudden reduction in distance between head and tail as defined by the contraction criteria.</t>
    <phoneticPr fontId="1" type="noConversion"/>
  </si>
  <si>
    <t>yes  
Between 0.2 s and 4.0 s, the stentor’s body visibly shortens: its “tail” (posterior end) moves toward the “head” (oral end), and by 4.0 s the organism has adopted a compact, rounded/spindle-like shape with markedly reduced length—consistent with the definition of contraction (including partial or slow contractions). The change is clear and unambiguous across frames.</t>
    <phoneticPr fontId="1" type="noConversion"/>
  </si>
  <si>
    <t>no  
The stentor remains in a consistently elongated, slightly curved shape across all frames (0.2–9 s), with no measurable shortening between its head and tail. Its morphology does not change toward a condensed, ball-like, or even spindle-like form; it stays extended, matching the “resting” state shown in the reference images. Therefore, no contraction occurs.</t>
    <phoneticPr fontId="1" type="noConversion"/>
  </si>
  <si>
    <t>no  
The stentor remains elongated and relatively straight throughout all frames (0.2–9 s), with no detectable shortening between its head and tail. Its shape stays consistent with the “resting” state (e.g., as in images a.jpg and b.jpg left panels), and there is no transition toward a condensed, ball-like, spindle-like, or otherwise shortened morphology. Therefore, no contraction occurs.</t>
    <phoneticPr fontId="1" type="noConversion"/>
  </si>
  <si>
    <t>yes  
Between 0.2 s and 5.0 s, the stentor visibly shortens: its posterior (“tail”) moves toward the oral end (“head”), and by 5.0 s the organism has adopted a compact, rounded/spindle-like shape with markedly reduced length—consistent with the definition of contraction (including partial or slow contractions). By 6.0 s, the stentor is no longer visible in frame, likely fully contracted and out of focus or moved out of field, but the clear shortening up to 5.0 s suffices to classify this as a contraction.</t>
    <phoneticPr fontId="1" type="noConversion"/>
  </si>
  <si>
    <t>no  
The stentor remains in an extended, trumpet-like shape throughout all frames (0.2–9 s), with no measurable shortening between its head and tail. Its morphology is stable and matches the “resting” state shown in the reference images; there is no transition toward a condensed, ball-like, spindle-like, or otherwise shortened form. Therefore, no contraction occurs.</t>
    <phoneticPr fontId="1" type="noConversion"/>
  </si>
  <si>
    <t>yes  
Between 0.2 s and 5.0 s, the stentor is clearly visible in an extended trumpet shape; by 6.0 s, it has disappeared from view, and the field is filled with dispersed particles (likely cytoplasmic contents released during rapid contraction or lysis). Crucially, the abrupt disappearance of the extended organism—without movement out of frame—is consistent with a fast, full contraction into a compact, out-of-focus ball that exits the focal plane. This matches the behavior described in the prompt where contractions can be very rapid (even within one subsampled frame) and may result in the stentor becoming invisible due to condensation and loss of focus. Thus, a contraction occurred.</t>
    <phoneticPr fontId="1" type="noConversion"/>
  </si>
  <si>
    <t>yes  
Between 0.2 s and 6.0 s, the stentor is clearly extended in a trumpet shape; by 7.0 s, it has disappeared from view, and the field shows dispersed particles—consistent with rapid contraction into a compact, out-of-focus form that exits the focal plane. As per the prompt, even very fast contractions (within one subsampled frame) that result in the stentor becoming invisible due to condensation count as contraction. Thus, a contraction occurred.</t>
    <phoneticPr fontId="1" type="noConversion"/>
  </si>
  <si>
    <t>yes  
Between 0.2 s and 5.0 s, the stentor is clearly visible in an extended trumpet shape; by 6.0 s, it has disappeared from view, and the field shows only dispersed particles and background debris—no stentor remains in focus. This abrupt disappearance without apparent movement out of frame is consistent with a rapid contraction into a compact, out-of-focus ball that exits the focal plane, as described in the prompt for fast contractions. Therefore, a contraction occurred.</t>
    <phoneticPr fontId="1" type="noConversion"/>
  </si>
  <si>
    <t>yes  
Between 0.2 s and 7.0 s, the stentor is clearly extended in a curved trumpet shape; by 8.0 s, it has disappeared from view, and the field shows only background debris and out-of-focus particles—no stentor remains visible. This abrupt disappearance without movement out of frame is consistent with a rapid contraction into a compact, out-of-focus form that exits the focal plane, satisfying the definition of contraction (including fast contractions where the stentor becomes invisible due to condensation).</t>
    <phoneticPr fontId="1" type="noConversion"/>
  </si>
  <si>
    <t>no  
 stentor remains in a consistently extended, trumpet-like shape across all frames (0.2–9 s), with no measurable shortening between its head and tail. Its morphology is stable—no transition to a condensed, ball-like, spindle-like, or otherwise shortened form occurs. Therefore, no contraction is observed.</t>
    <phoneticPr fontId="1" type="noConversion"/>
  </si>
  <si>
    <t>no  
The stentor remains in an extended, trumpet-like shape throughout all frames (0.2–9 s), with no measurable shortening between its head and tail. Its morphology is stable—no transition to a condensed, ball-like, spindle-like, or otherwise shortened form occurs. Therefore, no contraction is observed.</t>
    <phoneticPr fontId="1" type="noConversion"/>
  </si>
  <si>
    <t>yes  
Between 0.2 s and 6.0 s, the stentor transitions from an extended trumpet shape to a compact, rounded form with明显 reduced length—its tail moves toward the head, and by 6.0 s it appears as a dense, out-of-focus ball near the needle tip; by 7.0–9.0 s it is no longer clearly visible, consistent with full contraction and loss of focus. This satisfies the definition of contraction (including rapid or partial shortening).</t>
    <phoneticPr fontId="1" type="noConversion"/>
  </si>
  <si>
    <t>yes  
Between 0.2 s and 7.0 s, the stentor is clearly extended in a trumpet shape; by 8.0–9.0 s, it has disappeared from clear view and the region near the needle tip shows only dispersed particles and loss of defined structure—consistent with rapid contraction into a compact, out-of-focus form that exits the focal plane. As per the prompt, such abrupt disappearance due to condensation counts as contraction.</t>
    <phoneticPr fontId="1" type="noConversion"/>
  </si>
  <si>
    <t>yes  
At 0.2–1.2 s, the stentor is not clearly visible; by 4.0 s, a distinct extended trumpet-shaped stentor appears; then by 7.0–9.0 s, it is no longer visible as a defined structure and instead appears as a dense, rounded mass (e.g., at 8.0 s a dark compact blob near the needle tip), consistent with rapid contraction into an out-of-focus ball. The abrupt appearance of a compact form after an extended shape satisfies the definition of contraction.</t>
    <phoneticPr fontId="1" type="noConversion"/>
  </si>
  <si>
    <t>yes  
Between 0.2 s and 6.0 s, the stentor is clearly extended in a curved trumpet shape; by 7.0–9.0 s, it is no longer visible as a defined structure and the field shows only dispersed particles and debris—consistent with rapid contraction into a compact, out-of-focus ball that exits the focal plane. This satisfies the definition of contraction (including fast contractions where the stentor becomes invisible due to condensation).</t>
    <phoneticPr fontId="1" type="noConversion"/>
  </si>
  <si>
    <t>yes  
At 0.2 s, a clearly extended stentor is visible; by 1.2 s, it has disappeared and a cloud of dispersed particles appears near the needle tip—consistent with rapid contraction into a compact, out-of-focus ball that exits the focal plane. This abrupt loss of defined structure satisfies the definition of contraction.</t>
    <phoneticPr fontId="1" type="noConversion"/>
  </si>
  <si>
    <t>yes  
Between 0.2 s and 5.0 s, the stentor is clearly extended in a trumpet shape; by 6.0 s, it has disappeared and a distinct cloud of dispersed particles appears at the location of the former body—indicative of rapid contraction into a compact, out-of-focus form that exits the focal plane. This satisfies the definition of contraction (including fast contractions where the stentor becomes invisible due to condensation).</t>
    <phoneticPr fontId="1" type="noConversion"/>
  </si>
  <si>
    <t>yes  
Between 0.2 s and 5.0 s, the stentor is clearly extended in a trumpet shape; by 6.0 s, it has disappeared and a cloud of dispersed particles appears at its former location—consistent with rapid contraction into a compact, out-of-focus form that exits the focal plane. This satisfies the definition of contraction.</t>
    <phoneticPr fontId="1" type="noConversion"/>
  </si>
  <si>
    <t>yes  
Between 0.2 s and 6.0 s, the stentor is clearly extended in a trumpet shape; by 7.0–9.0 s, it has disappeared and a cloud of dispersed particles appears at its former location—indicative of rapid contraction into a compact, out-of-focus form that exits the focal plane. This satisfies the definition of contraction.</t>
    <phoneticPr fontId="1" type="noConversion"/>
  </si>
  <si>
    <t>yes  
Between 0.2 s and 6.0 s, the stentor is clearly extended in a trumpet shape; by 7.0–9.0 s, it has disappeared and a cloud of dispersed particles appears at its former location—consistent with rapid contraction into a compact, out-of-focus form that exits the focal plane. This satisfies the definition of contraction.</t>
    <phoneticPr fontId="1" type="noConversion"/>
  </si>
  <si>
    <t>yes  
Between 0.2 s and 5.0 s, the stentor is clearly extended in a trumpet shape; by 6.0–9.0 s, it has disappeared and a cloud of dispersed particles appears at its former location—consistent with rapid contraction into a compact, out-of-focus form that exits the focal plane, satisfying the definition of contraction.</t>
    <phoneticPr fontId="1" type="noConversion"/>
  </si>
  <si>
    <t>no  
The stentor remains in an extended, trumpet-like shape throughout all frames (0.2–9 s), with no measurable shortening between its head and tail; its morphology is stable and does not transition to a condensed, ball-like, spindle-like, or otherwise shortened form. Therefore, no contraction occurs.</t>
    <phoneticPr fontId="1" type="noConversion"/>
  </si>
  <si>
    <t>no  
The stentor remains in an extended, trumpet-like or slightly curved elongated shape throughout all frames (0.2–9 s), with no measurable shortening between its head and tail. Its morphology is stable and does not transition to a condensed, ball-like, spindle-like, or otherwise shortened form. Therefore, no contraction occurs.</t>
    <phoneticPr fontId="1" type="noConversion"/>
  </si>
  <si>
    <t>no  
The stentor remains in a consistently elongated, slightly curved shape across all frames (0.2–9 s), with no measurable shortening between its head and tail. Its morphology does not change toward a condensed, ball-like, spindle-like, or otherwise shortened form; it stays extended, matching the “resting” state shown in the reference images. Therefore, no contraction occurs.</t>
    <phoneticPr fontId="1" type="noConversion"/>
  </si>
  <si>
    <t>no  
The stentor remains in a consistently extended, trumpet-like shape across all frames (0.2–9 s), with no measurable shortening between its head and tail. Its morphology is stable—no transition to a condensed, ball-like, spindle-like, or otherwise shortened form occurs. Therefore, no contraction is observed.</t>
    <phoneticPr fontId="1" type="noConversion"/>
  </si>
  <si>
    <t>no  
The stentor remains in a consistently extended, trumpet-like shape across all frames (0.2–9 s), with no measurable shortening between its head and tail; its morphology is stable and does not transition to a condensed, ball-like, spindle-like, or otherwise shortened form. Therefore, no contraction occurs.</t>
    <phoneticPr fontId="1" type="noConversion"/>
  </si>
  <si>
    <t>yes  
Between 0.2 s and 6.0 s, the stentor is clearly extended in a trumpet shape; by 7.0–9.0 s, it has disappeared from clear view and a compact, dark mass appears at its former location—consistent with rapid contraction into an out-of-focus ball that exits the focal plane. This satisfies the definition of contraction.</t>
    <phoneticPr fontId="1" type="noConversion"/>
  </si>
  <si>
    <t>yes  
Between 0.2 s and 6.0 s, the stentor transitions from an extended trumpet shape to a clearly shortened, compact, spindle-like form—its tail moves toward the head, reducing body length noticeably (as in image a.jpg “contracted”). This satisfies the definition of contraction, including partial or slow shortening.</t>
    <phoneticPr fontId="1" type="noConversion"/>
  </si>
  <si>
    <t>yes  
Between 0.2 s and 5.0 s, the stentor is clearly extended in a trumpet shape; by 6.0–9.0 s, it has disappeared and a cloud of dispersed particles appears at its former location—consistent with rapid contraction into a compact, out-of-focus form that exits the focal plane. This satisfies the definition of contraction.</t>
    <phoneticPr fontId="1" type="noConversion"/>
  </si>
  <si>
    <t>yes  
Between 0.2 s and 5.0 s, the stentor is extended in a curved trumpet shape; by 6.0–9.0 s, it has disappeared and a compact, dark, rounded mass appears at its former location—consistent with rapid contraction into an out-of-focus ball that exits the focal plane. This satisfies the definition of contraction.</t>
    <phoneticPr fontId="1" type="noConversion"/>
  </si>
  <si>
    <t>no  
The stentor remains in a consistently extended, slightly curved trumpet shape across all frames (0.2–9 s), with no measurable shortening between its head and tail. Its morphology is stable and does not transition to a condensed, ball-like, spindle-like, or otherwise shortened form. Therefore, no contraction occurs.</t>
    <phoneticPr fontId="1" type="noConversion"/>
  </si>
  <si>
    <t>yes  
Between 0.2 s and 6.0 s, the stentor transitions from an extended trumpet shape to a compact, rounded mass; by 7.0–8.0 s it appears as a dark, out-of-focus blob, and at 9.0 s reappears briefly in a shortened, condensed form—consistent with contraction (including partial or rapid shortening).</t>
    <phoneticPr fontId="1" type="noConversion"/>
  </si>
  <si>
    <t>yes  
Between 0.2 s and 6.0 s, the stentor transitions from an extended trumpet shape to a clearly shortened, more compact, spindle-like form—its tail moves toward the head, reducing body length noticeably (as in image a.jpg “contracted”). This satisfies the definition of contraction, including partial or slow shortening.</t>
    <phoneticPr fontId="1" type="noConversion"/>
  </si>
  <si>
    <t>no  
The stentor remains in a consistently extended, slightly curved trumpet shape across all frames (0.2–9 s), with no measurable shortening between its head and tail; its morphology is stable and does not transition to a condensed, ball-like, spindle-like, or otherwise shortened form. Therefore, no contraction occurs.</t>
    <phoneticPr fontId="1" type="noConversion"/>
  </si>
  <si>
    <t>yes  
Between 0.2 s and 7.0 s, the stentor is extended in a trumpet shape; by 8.0–9.0 s, it has disappeared from clear view, and a compact, rounded mass appears at its former location—consistent with rapid contraction into an out-of-focus ball that exits the focal plane. This satisfies the definition of contraction.</t>
    <phoneticPr fontId="1" type="noConversion"/>
  </si>
  <si>
    <t>no
The stentor in the video frames remains elongated throughout, with no observable shortening of the distance between its “head” and “tail.” While it exhibits some bending and movement (e.g., slight curling near 0.2–1.2 s), its overall length does not decrease in a manner consistent with contraction as defined—i.e., no measurable reduction toward a condensed, ball-like or spindle-like shape. The comparison images (Pictures 1–3) clarify what constitutes a contraction (clear shortening), and none of the frames in Video 1 match that criterion.</t>
    <phoneticPr fontId="1" type="noConversion"/>
  </si>
  <si>
    <t>no  
The stentor remains fully extended throughout Video 2, maintaining a trumpet-like shape with no measurable shortening between its “head” and “tail.” There is no visible transition toward a condensed, ball-like or spindle-like form, nor any partial reduction in body length as defined in the prompt. Therefore, no contraction occurs.</t>
    <phoneticPr fontId="1" type="noConversion"/>
  </si>
  <si>
    <t>yes  
At 0.2–0.4 s, a stentor is visible in an extended trumpet shape. By 0.5 s, it disappears from view—consistent with rapid contraction into a compact, ball- or spindle-like form that falls below the focal plane or becomes too small/dense to resolve clearly. The abrupt disappearance (within one frame) and absence in all subsequent frames match the hallmark of a fast contraction, as described in the prompt (e.g., “most contractions happen quickly (often taking just one subsampled frame)”). No other explanation (e.g., swimming away) is plausible given the fixed field and presence of the glass needle as a reference; the stentor’s location remains unchanged relative to the needle, indicating it contracted *in place*.</t>
    <phoneticPr fontId="1" type="noConversion"/>
  </si>
  <si>
    <t>no  
The stentor remains fully extended throughout Video 4, maintaining a consistent trumpet-like shape with no measurable shortening between its “head” and “tail.” There is no visible transition toward a condensed, ball-like or spindle-like form, nor any partial reduction in body length. Therefore, no contraction occurs.</t>
    <phoneticPr fontId="1" type="noConversion"/>
  </si>
  <si>
    <t>no  
The stentor remains fully extended throughout Video 5, with no measurable shortening between its “head” and “tail.” Its shape stays consistently trumpet-like across all frames; there is no transition toward a condensed, ball-like, spindle-like, or otherwise shortened form. Therefore, no contraction occurs.</t>
    <phoneticPr fontId="1" type="noConversion"/>
  </si>
  <si>
    <t>yes  
At 0.2–0.5 s, the stentor is fully extended in a trumpet shape. By 0.6 s, it abruptly disappears from view—no longer visible in the focal plane—while the background and reference objects (e.g., glass needle fragment) remain unchanged. This sudden loss of visibility is consistent with rapid contraction into a compact, dense form that either moves out of focus or becomes too small to resolve, matching the prompt’s description of fast contractions (often occurring in one subsampled frame). Therefore, a contraction occurred.</t>
    <phoneticPr fontId="1" type="noConversion"/>
  </si>
  <si>
    <t>yes  
At 0.2–0.6 s, a stentor is visible in an extended, curved trumpet shape. By 0.7 s, it is no longer visible in the field—disappearing abruptly while background debris and other structures remain unchanged. This sudden disappearance is consistent with rapid contraction into a compact form that moves out of focus or becomes too small/dense to resolve, matching the prompt’s definition of contraction (including fast, single-frame events). Therefore, a contraction occurred.</t>
    <phoneticPr fontId="1" type="noConversion"/>
  </si>
  <si>
    <t>yes  
From 0.2–0.6 s, the stentor is fully extended in a trumpet shape. At 0.7 s, it abruptly shortens into a compact, spindle-like (not spherical) form—clearly reducing the distance between “head” and “tail”—and remains in that condensed state at 0.8–0.9 s. This matches the prompt’s definition of contraction, including partial or spindle-shaped shortening, and qualifies as a fast contraction (occurring within one frame).</t>
    <phoneticPr fontId="1" type="noConversion"/>
  </si>
  <si>
    <t>yes  
At 0.2–0.3 s, the stentor is extended with a visible trumpet-shaped head and elongated body. By 0.4 s, it has rapidly shortened into a compact, rounded form—its head and tail are now much closer, and the characteristic elongated shape is lost. It remains in this condensed state through 0.5–0.6 s before becoming less distinct (likely due to focus or debris), but the clear shortening within one frame satisfies the definition of contraction, including partial or spindle/ball-like forms.</t>
    <phoneticPr fontId="1" type="noConversion"/>
  </si>
  <si>
    <t>no  
The stentor visible on the right (and another on the left) remains in an extended, elongated shape throughout all frames. There is no measurable shortening of body length—distance between “head” and “tail” stays maximal—and no transition toward a condensed, ball-like or spindle-like form. Thus, no contraction occurs.</t>
    <phoneticPr fontId="1" type="noConversion"/>
  </si>
  <si>
    <t>no  
The stentor remains in an extended, trumpet-like shape throughout all frames (0.2–0.9 s), with no measurable shortening between its “head” and “tail.” Although it exhibits slight bending or undulation, its overall length does not decrease, and it never adopts a condensed, ball-like or spindle-like form. Therefore, no contraction occurs.</t>
    <phoneticPr fontId="1" type="noConversion"/>
  </si>
  <si>
    <t>no  
The stentor remains fully extended throughout all frames (0.2–0.9 s), with no measurable shortening between its “head” and “tail.” Its shape stays consistently trumpet-like; there is no transition toward a condensed, ball-like, spindle-like, or otherwise shortened form. Therefore, no contraction occurs.</t>
    <phoneticPr fontId="1" type="noConversion"/>
  </si>
  <si>
    <t>yes  
From 0.2 s to 0.9 s, the stentor undergoes a clear and progressive shortening: its body becomes increasingly compact, with the distance between “head” and “tail” decreasing noticeably—though not fully spherical, it adopts a more spindle- or oval-like condensed shape by 0.7–0.9 s. This satisfies the definition of contraction (including partial/shortened forms), and the change occurs over multiple frames but is unambiguous.</t>
    <phoneticPr fontId="1" type="noConversion"/>
  </si>
  <si>
    <t>no  
The stentor remains fully extended throughout all frames (0.2–0.9 s), maintaining a consistent trumpet-like shape with no measurable shortening between its “head” and “tail.” There is no transition toward a condensed, ball-like or spindle-like form. Therefore, no contraction occurs.</t>
    <phoneticPr fontId="1" type="noConversion"/>
  </si>
  <si>
    <t>no  
The stentor remains in an extended, trumpet-like shape throughout all frames (0.2–0.9 s), with a consistent long body and maximal distance between “head” and “tail.” Although it exhibits a slight bend or curl near the base, there is no measurable shortening of body length nor transition toward a condensed, ball-like or spindle-like form. Therefore, no contraction occurs.</t>
    <phoneticPr fontId="1" type="noConversion"/>
  </si>
  <si>
    <t>no  
The stentor maintains a consistently extended, trumpet-like shape throughout all frames (0.2–0.9 s), with no measurable shortening between its “head” and “tail.” Although it exhibits a slight bend or curve, its overall length remains maximal and it never adopts a condensed, ball-like, spindle-like, or otherwise shortened form. Therefore, no contraction occurs.</t>
    <phoneticPr fontId="1" type="noConversion"/>
  </si>
  <si>
    <t>yes  
At 0.2 s, the stentor is elongated (extended trumpet shape). By 0.3–0.6 s, it has shortened into a compact, oval/spindle-like form—clearly reducing the distance between “head” and “tail”—and remains in that condensed state. This satisfies the definition of contraction, including partial or spindle-shaped shortening.</t>
    <phoneticPr fontId="1" type="noConversion"/>
  </si>
  <si>
    <t>no  
Both stentors visible remain in extended, elongated shapes throughout all frames (0.2–0.9 s), with no measurable shortening between “head” and “tail.” Neither adopts a condensed, ball-like nor spindle-like form. Therefore, no contraction occurs.</t>
    <phoneticPr fontId="1" type="noConversion"/>
  </si>
  <si>
    <t>no  
The stentor remains in a consistently shortened, oval/spindle-like shape throughout all frames (0.2–0.9 s), but there is no *change* from an extended to a condensed form within this video—i.e., it starts and stays contracted. However, per the prompt’s definition, we must identify whether the stentor *contracts* (i.e., undergoes the behavior of contracting) *at any point* in the video. Since no transition from extended → condensed occurs here (it is already condensed at 0.2 s and does not further shorten), and no extension-to-contraction dynamic is observed, the behavior of contraction is not evidenced. Therefore: **no**.</t>
    <phoneticPr fontId="1" type="noConversion"/>
  </si>
  <si>
    <t>no  
The stentor remains in a consistently shortened, oval/spindle-like shape throughout all frames (0.2–0.9 s), with no observable transition from an extended (trumpet-shaped) form to a more condensed one *within this video*. Since the behavior of contraction requires a change *from* extended *to* condensed—and the stentor is already condensed at the first frame and does not further shorten—the video does not show a contraction event.</t>
    <phoneticPr fontId="1" type="noConversion"/>
  </si>
  <si>
    <t>no  
The stentor visible in the upper right remains in a consistently shortened, oval/spindle-like shape throughout all frames (0.2–0.9 s), with no observable transition from an extended (trumpet-shaped) form to a more condensed one *within this video*. Since contraction requires a change *from* extended *to* condensed—and the stentor is already contracted at the first frame and does not further shorten—the behavior of contraction is not evidenced.</t>
    <phoneticPr fontId="1" type="noConversion"/>
  </si>
  <si>
    <t>yes  
At 0.2–0.3 s, a stentor is visible in an extended, elongated shape (clear “head” and “tail” separation). By 0.4–0.5 s, it shortens markedly into a compact, oval/spindle-like form—distance between head and tail clearly reduced—and remains condensed through 0.6–0.9 s. This satisfies the definition of contraction, including partial/shortened forms.</t>
    <phoneticPr fontId="1" type="noConversion"/>
  </si>
  <si>
    <t>no  
The stentor visible on the left remains in a consistently condensed, rounded/oval shape throughout all frames (0.2–0.9 s), with no observable transition from an extended (trumpet-shaped) form to a more compact one *within this video*. Since contraction requires a change *from* extended *to* condensed—and the stentor is already contracted at the first frame and does not further shorten—the behavior of contraction is not evidenced.</t>
    <phoneticPr fontId="1" type="noConversion"/>
  </si>
  <si>
    <t>no  
The stentor remains in a consistently shortened, oval/spindle-like shape throughout all frames (0.2–0.9 s), with no observable transition from an extended (trumpet-shaped) form to a more condensed one *within this video*. Since contraction requires a change *from* extended *to* condensed—and the stentor is already contracted at the first frame and does not further shorten—the behavior of contraction is not evidenced.</t>
    <phoneticPr fontId="1" type="noConversion"/>
  </si>
  <si>
    <t>no  
The stentor visible (e.g., center-left) remains in a consistently condensed, rounded/oval shape throughout all frames (0.2–0.9 s), with no observable transition from an extended (trumpet-shaped) form to a more compact one *within this video*. Since contraction requires a change *from* extended *to* condensed—and the stentor is already contracted at the first frame and does not further shorten—the behavior of contraction is not evidenced.</t>
    <phoneticPr fontId="1" type="noConversion"/>
  </si>
  <si>
    <t>yes  
At 0.2–0.3 s, the stentor is elongated (extended trumpet shape). By 0.4–0.5 s, it has shortened into a compact, oval/spindle-like form—clearly reducing the distance between “head” and “tail”—and remains condensed through 0.6–0.7 s before moving out of focus. This satisfies the definition of contraction, including partial/shortened forms.</t>
    <phoneticPr fontId="1" type="noConversion"/>
  </si>
  <si>
    <t>no  
The stentor remains in a consistently condensed, rounded/oval shape throughout all frames (0.2–0.9 s), with no observable transition from an extended (trumpet-shaped) form to a more compact one *within this video*. Since contraction requires a change *from* extended *to* condensed—and the stentor is already contracted at the first frame and does not further shorten—the behavior of contraction is not evidenced.</t>
    <phoneticPr fontId="1" type="noConversion"/>
  </si>
  <si>
    <t>no  
Both stentors remain in consistently shortened, oval/spindle-like shapes throughout all frames (0.2–0.9 s), with no observable transition from an extended (trumpet-shaped) form to a more condensed one *within this video*. Since contraction requires a change *from* extended *to* condensed—and neither stentor shows such a change—the behavior of contraction is not evidenced.</t>
    <phoneticPr fontId="1" type="noConversion"/>
  </si>
  <si>
    <t>yes  
At 0.2–0.3 s, the stentor is elongated (extended trumpet shape). By 0.4–0.5 s, it shortens markedly into a compact, rounded/oval form—distance between “head” and “tail” clearly reduced—and remains condensed through 0.6–0.9 s. This satisfies the definition of contraction, including partial/shortened forms.</t>
    <phoneticPr fontId="1" type="noConversion"/>
  </si>
  <si>
    <t>no  
The stentor visible (upper center) remains in a consistently shortened, oval/spindle-like shape throughout all frames (0.2–0.9 s), with no observable transition from an extended (trumpet-shaped) form to a more condensed one *within this video*. Since contraction requires a change *from* extended *to* condensed—and the stentor is already contracted at the first frame and does not further shorten—the behavior of contraction is not evidenced.</t>
    <phoneticPr fontId="1" type="noConversion"/>
  </si>
  <si>
    <t>yes  
At 0.2–0.6 s, the stentor is extended (trumpet-shaped). By 0.7–0.8 s, it abruptly shortens into a compact, rounded form—distance between “head” and “tail” clearly reduced—and becomes less distinct (likely out of focus or fully contracted), satisfying the definition of contraction, including fast, single-frame events.</t>
    <phoneticPr fontId="1" type="noConversion"/>
  </si>
  <si>
    <t>no  
The stentor visible (center-right) remains in a consistently shortened, rounded/oval shape throughout all frames (0.2–0.9 s), with no observable transition from an extended (trumpet-shaped) form to a more condensed one *within this video*. Since contraction requires a change *from* extended *to* condensed—and the stentor is already contracted at the first frame and does not further shorten—the behavior of contraction is not evidenced.</t>
    <phoneticPr fontId="1" type="noConversion"/>
  </si>
  <si>
    <t>no  
The stentor remains in a consistently shortened, teardrop/oval shape throughout all frames (0.2–0.9 s), with no observable transition from an extended (trumpet-shaped) form to a more condensed one *within this video*. Since contraction requires a change *from* extended *to* condensed—and the stentor is already contracted at the first frame and does not further shorten—the behavior of contraction is not evidenced.</t>
    <phoneticPr fontId="1" type="noConversion"/>
  </si>
  <si>
    <t>yes  
The stentor begins in an extended trumpet shape (e.g., frame 0.2 s), with a long, slender body and clearly separated “head” and “tail”. By frame 4.2 s, it has shortened noticeably—its body is more compact and spindle-like, with reduced head–tail distance. In frames 6–9 s, it appears further condensed into a rounded/oval form, no longer elongated. This measurable shortening qualifies as a contraction per the definition (including partial/slow contractions).</t>
    <phoneticPr fontId="1" type="noConversion"/>
  </si>
  <si>
    <t>no  
The stentor remains in an extended, trumpet-like shape throughout all frames (0.2–9 s), with no measurable shortening of its body length or reduction in head–tail distance. Although it moves and rotates slightly (e.g., repositioning near the glass needle by frame 8–9 s), its morphology stays elongated and does not adopt a condensed, spindle-like, or ball-like form. Thus, no contraction occurs.</t>
    <phoneticPr fontId="1" type="noConversion"/>
  </si>
  <si>
    <t>yes  
At 0.2 s, the stentor appears as a compact, rounded structure (possibly already partially contracted), but by 6–9 s it is clearly visible as a condensed, teardrop- or spindle-shaped body with no extended stalk—significantly shorter than a typical resting trumpet shape. The transition from obscured/indistinct frames (1–5 s) to a clearly shortened, dense form at 6–9 s indicates a contraction occurred (likely between frames 2–6 s). Even if the initial state is not fully extended, the final形态 is unambiguously contracted relative to possible extended forms shown in training examples, and the shortening satisfies the definition.</t>
    <phoneticPr fontId="1" type="noConversion"/>
  </si>
  <si>
    <t>yes  
The stentor starts in a compact, rounded (contracted)形态 at 0.2 s, but from frame 5 s onward, it visibly elongates: a narrow stalk emerges from the rounded body, and by 8–9 s, it adopts a clear trumpet-like shape with distinct head (oral end) and tail (posterior) regions—i.e., it *expands* from contracted to resting. However, the question asks whether it *contracts* at any point. Since the earliest frame (0.2 s) already shows a condensed, ball-like form—and no prior extended state is visible—we cannot confirm a contraction *occurred within the video*. But per the definition, contraction is defined as a *change* from extended to condensed. Here, we only observe the reverse (condensed → extended) or a static contracted state. Crucially, there is no evidence of shortening *during* the video; instead, the organism appears to be relaxing/elongating. Therefore, based solely on observed behavior *within* the video frames, no contraction event occurs.
Wait—re-evaluating: The prompt says “Answer ‘yes’ if the stentor contracts at any point in the video”. If the stentor is already contracted at the start and remains so (or even elongates), but never *undergoes* contraction *during* the video, then it should be “no”.
In Video 7, from 0.2 s to 4 s, the stentor remains roughly spherical/oval; from 5 s onward, it begins elongating (a stalk forms). There is no frame where it becomes *more* condensed than at 0.2 s; thus, no contraction event is observed *in the video*. The initial state may be post-contraction, but the behavior of contracting is not captured.
Therefore:  
**no**  
The stentor does not shorten or condense further during the video; instead, it elongates starting around frame 5 s, indicating relaxation—not contraction. No measurable reduction in head–tail distance occurs within the provided frames.</t>
    <phoneticPr fontId="1" type="noConversion"/>
  </si>
  <si>
    <t>no  
The stentor remains obscured within dense debris and bubbles throughout all frames. While a faint elongated structure is occasionally visible (e.g., 0.2 s), there is no clear, unambiguous change in its morphology from extended to condensed. No measurable shortening of head–tail distance is observable due to poor visibility and lack of distinct landmarks; the organism does not resolve into a recognizable resting or contracted form at any point. Per instructions, we must base judgment solely on visual evidence in the video—and here, no contraction is demonstrable.</t>
    <phoneticPr fontId="1" type="noConversion"/>
  </si>
  <si>
    <t>no  
Both stentors remain in elongated, trumpet-like (resting) shapes throughout all frames, with no observable shortening of body length or reduction in head–tail distance. Their morphology is stable; minor positional shifts and rotation do not constitute contraction. No frame shows a condensed, spindle-like, or ball-like form. Thus, no contraction occurs in the video.</t>
    <phoneticPr fontId="1" type="noConversion"/>
  </si>
  <si>
    <t>yes  
At 0.2–0.4 s, the stentor is clearly extended in a trumpet shape with a visible oral “head” and elongated stalk. By 0.5 s, it disappears from view—consistent with rapid contraction into a compact, ball-like form that becomes indistinguishable from surrounding debris (as seen in sample 1_sample_typical4C_0019.mp4). The sudden disappearance of the extended structure, with no subsequent reappearance in extended form, indicates a fast contraction occurred between frames 0.4 s and 0.5 s. This satisfies the definition of contraction.</t>
    <phoneticPr fontId="1" type="noConversion"/>
  </si>
  <si>
    <t>yes  
At 0.2 s, the stentor is fully extended: a long, thin stalk connects a distinct oral “head” to a posterior region, clearly visible alongside the glass needle. By 1.2 s, the stalk has shortened dramatically—the head is now much closer to the base, and the body appears condensed into a compact, slightly curved spindle shape. This measurable reduction in head–tail distance (from elongated trumpet to shortened form) persists through frame 9 s. This satisfies the definition of contraction, including partial/slow shortening (cf. sample a.jpg and b.jpg).</t>
    <phoneticPr fontId="1" type="noConversion"/>
  </si>
  <si>
    <t>yes  
At 0.2–0.4 s, a stentor is visible in an extended, elongated form (clear stalk with distinguishable head region near the top). By 0.5 s, it is no longer visible as an extended structure—only debris and background remain in that region. Its disappearance coincides with the timing of rapid contraction events seen in sample videos (e.g., Video 1 and Video 10), where the stentor collapses into a small, dense ball indistinguishable from surrounding particles. The absence of the extended form after frame 0.4 s, with no reappearance, indicates a contraction occurred within the video sequence. Thus, contraction is observed.</t>
    <phoneticPr fontId="1" type="noConversion"/>
  </si>
  <si>
    <t>no  
The stentor remains in a consistently elongated, slightly curved form throughout all frames (0.2–9 s), with no measurable shortening of its body length or reduction in head–tail distance. Its morphology is stable—no transition to a condensed, spindle-like, or ball-like shape occurs. Minor positional drift and focus changes do not constitute contraction. Therefore, no contraction is observed.</t>
    <phoneticPr fontId="1" type="noConversion"/>
  </si>
  <si>
    <t>no  
The stentor maintains a stable, elongated trumpet-like shape across all frames (0.2–9 s), with no observable shortening of its body or reduction in head–tail distance. Its morphology remains consistent—slightly curved but fully extended—and there is no transition to a condensed, spindle-like, or ball-like form. Therefore, no contraction occurs in the video.</t>
    <phoneticPr fontId="1" type="noConversion"/>
  </si>
  <si>
    <t>no  
The stentor remains in an extended, slightly bent trumpet shape throughout all frames (0.2–9 s). Its head and tail regions stay separated by a visible stalk; no shortening or condensation occurs. While there is slight movement and minor shape fluctuation (e.g., subtle bending), the overall body length does not decrease measurably, and it never adopts a spindle-like or ball-like form. Thus, no contraction is observed.</t>
    <phoneticPr fontId="1" type="noConversion"/>
  </si>
  <si>
    <t>no  
The stentor remains in a consistently elongated, slightly tapered form throughout all frames (0.2–9 s), anchored among debris. Its body length and head–tail separation do not decrease; there is no visible shortening, rounding, or condensation into a spindle- or ball-like shape. Minor positional drift and focus changes occur, but no contraction behavior is evident. Therefore, the answer is **no**.</t>
    <phoneticPr fontId="1" type="noConversion"/>
  </si>
  <si>
    <t>yes  
At 0.2 s, the stentor is partially extended but already somewhat compact; by 1.2–2.2 s, it becomes clearly shortened and rounded—its body is thickened, with the oral “head” pulled close to the posterior, forming a condensed spindle/oval shape distinct from the elongated trumpet form seen in resting states (e.g., sample images). This shortening persists through frame 9 s. The reduction in head–tail distance is unambiguous and satisfies the definition of contraction (including partial/slow cases). Thus, contraction occurs.</t>
    <phoneticPr fontId="1" type="noConversion"/>
  </si>
  <si>
    <t>no  
The stentor remains in a consistently shortened, oval-to-elliptical shape throughout all frames (0.2–9 s), with no evidence of further condensation or measurable shortening during the video. While this形态 may be post-contraction, the video does not capture a *change* from extended to condensed—i.e., no contraction event occurs within the observed sequence. Per the task definition, we must detect an actual contraction behavior (a dynamic shortening), not merely a static contracted state. Thus, the answer is **no**.</t>
    <phoneticPr fontId="1" type="noConversion"/>
  </si>
  <si>
    <t>yes  
At 0.2 s, a stentor is clearly extended in a trumpet shape (visible oral “head” and long stalk). By 1.2 s, it has shortened significantly: the stalk is no longer visible, and the body appears as a compact, teardrop-shaped mass—indicating a rapid contraction. This condensed form persists through frame 9 s. The measurable reduction in head–tail distance (from elongated to compact) satisfies the definition of contraction, even if partial or fast. Thus, contraction occurs.</t>
    <phoneticPr fontId="1" type="noConversion"/>
  </si>
  <si>
    <t>yes  
At 0.2 s, the stentor is fully extended: a long, thin stalk connects a distinct oral “head” (with visible ciliary wreath) to a posterior region. By 1.2–2.2 s, the stalk visibly shortens—the head moves closer to the base, and the body adopts a more compact, slightly bent spindle shape; this shortening continues subtly through frame 9 s. The reduction in head–tail distance is clear and unambiguous, satisfying the definition of contraction (including partial/slow cases, per samples a.jpg and b.jpg). Therefore, contraction occurs.</t>
    <phoneticPr fontId="1" type="noConversion"/>
  </si>
  <si>
    <t>no  
The stentor remains in a stable, elongated, slightly curved form throughout all frames (0.2–9 s), with no observable shortening of its body or reduction in head–tail distance. Its morphology does not change into a condensed, spindle-like, or ball-like shape at any point. Minor drift and focus variations do not constitute contraction. Therefore, no contraction is observed.</t>
    <phoneticPr fontId="1" type="noConversion"/>
  </si>
  <si>
    <t>yes  
At 0.2 s, a stentor is visible in an extended, elongated form (left side, with discernible head and trailing stalk). By 12 s, it has disappeared from that location, and a new, compact, rounded structure appears near the center—consistent with rapid contraction into a ball-like form (as in Video 1 and Video 10). The original extended morphology is not seen again, and the condensed object remains through frame 9 s. This abrupt transition from extended to indistinguishable (due to condensation) qualifies as a contraction. Thus, **yes**.</t>
    <phoneticPr fontId="1" type="noConversion"/>
  </si>
  <si>
    <t>no  
The stentor is partially visible amid dense debris and bubbles, but no clear change in morphology from extended to condensed occurs within the frames. At 0.2 s, a faint elongated structure is present; by later frames, it remains similarly elongated or becomes less distinct due to focus/debris—not due to active shortening. There is no unambiguous reduction in head–tail distance or transition to a spindle/ball shape. Without observable contraction dynamics, the answer is **no**.</t>
    <phoneticPr fontId="1" type="noConversion"/>
  </si>
  <si>
    <t>yes  
At 0.2 s, the stentor appears as a slightly elongated or teardrop-shaped structure; by 1.2–9.0 s, it is clearly a compact, rounded, ball-like form with no visible stalk—indicating full contraction. The transition from a less-condensed to a highly condensed morphology (with reduced head–tail distance) is evident within the first second and persists. This matches the definition of contraction (including complete condensation into a ball), as seen in sample images (e.g., z.jpg “contracted” frame). Thus, **yes**.</t>
    <phoneticPr fontId="1" type="noConversion"/>
  </si>
  <si>
    <t>no  
The stentor remains in a consistently elongated, slightly curved form throughout all frames (0.2–9 s), with a clear separation between head and tail regions and no measurable shortening. Its morphology is stable—no transition to a condensed, spindle-like, or ball-like shape occurs. Minor movement and focus changes do not constitute contraction. Therefore, no contraction is observed.</t>
    <phoneticPr fontId="1" type="noConversion"/>
  </si>
  <si>
    <t>no  
The stentor remains in a relatively stable, elongated-to-oval shape across all frames (0.2–9 s), with no discernible shortening of its body or reduction in head–tail distance. While it moves slightly and is partially obscured by debris, its morphology does not transition to a condensed, spindle-like, or ball-like form. No contraction event is visually evident within the video sequence. Therefore, the answer is **no**.</t>
    <phoneticPr fontId="1" type="noConversion"/>
  </si>
  <si>
    <t>no  
The stentor remains in an extended, trumpet-like shape throughout all frames (0.2–9 s), with a clearly visible oral “head” and elongated stalk. Although it moves slightly and the focus shifts (e.g., transient blurring at 2–3 s), there is no measurable shortening of body length or reduction in head–tail distance. It does not adopt a condensed, spindle-like, or ball-like form at any point. Therefore, no contraction occurs.</t>
    <phoneticPr fontId="1" type="noConversion"/>
  </si>
  <si>
    <t>no  
The stentor remains in a consistently elongated, slightly tapered form throughout all frames (0.2–9 s), with a clear oral head and visible stalk. No shortening, rounding, or condensation occurs; the head–tail distance stays relatively constant. Minor positional drift and debris movement do not indicate contraction. Thus, no contraction is observed.</t>
    <phoneticPr fontId="1" type="noConversion"/>
  </si>
  <si>
    <t>yes  
At 0.2 s, a stentor is visible in an extended, elongated form near the top left (partially obscured by debris). By 1.2–2.2 s, it is no longer visible in that location; instead, a new, compact, dark oval structure appears nearby—consistent with rapid contraction into a condensed ball (as in Video 10 and Video 19). The disappearance of the extended morphology and emergence of a rounded form within the first second indicates a contraction event occurred during the video. Thus, **yes**.</t>
    <phoneticPr fontId="1" type="noConversion"/>
  </si>
  <si>
    <t>Prompt 6</t>
    <phoneticPr fontId="1" type="noConversion"/>
  </si>
  <si>
    <t>6v</t>
    <phoneticPr fontId="1" type="noConversion"/>
  </si>
  <si>
    <t>Qwen_score</t>
    <phoneticPr fontId="1" type="noConversion"/>
  </si>
  <si>
    <t>yes/98/At 0.2 s, the stentor is fully extended with a trumpet-shaped body and visible oral cilia around the anterior “head” end. By 0.3–0.4 s (implied by frame 1.2 s onward), the stentor rapidly shortens: the elongated stalk collapses, the head moves toward the tail region, and the organism becomes a compact, rounded-to-spindle shape tightly associated with the glass needle. By 0.5 s (frame 2.2 s), it is clearly condensed—no longer trumpet-like—and remains in that contracted state through frame 3.2 s before disappearing from view (likely fully retracted or moved out of focus). This matches the definition of contraction (measurable shortening, even if not perfectly spherical), and the speed (~1 frame transition) is consistent with typical rapid contractions shown in sample 1 and 3. The disappearance after contraction is also typical (e.g., hiding among debris). Confidence is high due to clear morphological change between early and later frames.</t>
    <phoneticPr fontId="1" type="noConversion"/>
  </si>
  <si>
    <t>yes/95/At 0.2 s, the stentor is fully extended in a classic trumpet shape with wide oral opening and visible ciliary band. By 1.2 s, it has visibly shortened: the body is narrower, the oral end is drawn inward, and the overall length is reduced—consistent with early-stage contraction. By 2.2–3.2 s, the stentor is no longer visible in its original position; instead, only a small dark mass (likely the contracted body) remains near the base, partially obscured by debris. The disappearance of the extended form and replacement by a compact remnant within ~1–2 frames matches rapid contraction behavior as seen in sample 1 and 3. The change is unambiguous and exceeds the threshold for partial shortening. Confidence is high, slightly reduced only due to lower contrast in later frames, but the morphological transition is clear.</t>
    <phoneticPr fontId="1" type="noConversion"/>
  </si>
  <si>
    <t>yes/90/From 0.2 s to 5.2 s, the stentor remains in an extended trumpet shape with a clear oral opening and elongated body. At 6.2 s, the stentor abruptly disappears from its original position; only a small, dark, rounded mass appears near the base of where it was attached—consistent with rapid contraction into a condensed form (as in sample 1 and 3). The transition occurs between frames 5.2 s (still extended) and 6.2 s (contracted remnant visible), satisfying the definition of contraction (measurable shortening to a compact shape, even if not perfectly spherical). Background debris and low contrast reduce certainty slightly, but the sudden loss of extended morphology and appearance of a compact body strongly indicate contraction.</t>
    <phoneticPr fontId="1" type="noConversion"/>
  </si>
  <si>
    <t>yes/97/At 0.2–5.2 s, the stentor is fully extended with a clear trumpet shape, wide oral opening, and visible ciliary fringe. At 6.2 s, it abruptly vanishes from that position; only a small, dark, rounded mass remains near the attachment site—consistent with rapid contraction into a condensed form. By 7.2–9.2 s, the contracted body is still visible as a compact, non-extended structure among debris. This matches the definition of contraction (measurable shortening to a ball-like or spindle-like condensed shape), and the transition occurs within one frame interval (5.2 s → 6.2 s), as seen in sample 1 and 3. The evidence is strong and unambiguous despite background complexity.</t>
    <phoneticPr fontId="1" type="noConversion"/>
  </si>
  <si>
    <t>yes/96/At 0.2–4.2 s, the stentor is fully extended with a distinct trumpet shape and prominent oral cilia ring. At 5.2 s, it is no longer visible in that extended form; instead, only a small, dark, rounded remnant appears near the base (bottom-left), consistent with rapid contraction. The disappearance of the elongated body and appearance of a compact mass within one frame interval (4.2 s → 5.2 s) satisfies the contraction definition—even partial or incomplete shortening counts, and this is a clear collapse to a condensed shape. Background debris does not obscure the key morphological change. Confidence is high due to consistency with prior confirmed contraction examples.</t>
    <phoneticPr fontId="1" type="noConversion"/>
  </si>
  <si>
    <t>yes/93/At 0.2–4.2 s, two stentors are visible: the upper one is extended (trumpet-shaped with ciliated oral end), and the lower one is also extended but slightly bent. By 5.2 s, both stentors have disappeared from their original positions; only faint, small dark masses remain near where they were attached—consistent with rapid contraction into condensed forms. The transition occurs between 4.2 s and 5.2 s, matching the one-frame contraction pattern seen in samples 1 and 3. Though background is dense, the loss of extended morphology and appearance of compact remnants is unambiguous for at least one stentor (the upper one). Therefore, contraction occurs. Confidence is high, slightly reduced due to overlapping structures, but still well above threshold.</t>
    <phoneticPr fontId="1" type="noConversion"/>
  </si>
  <si>
    <t>yes/94/At 0.2–4.2 s, a single stentor is clearly extended in a curved, trumpet-like shape with visible oral cilia at the anterior end and a distinct stalk. By 5.2 s, it is no longer in that extended form; instead, a compact, dark, rounded-to-ovoid mass appears near the same location (visible at 6.2–9.2 s), consistent with a contracted state. The transition occurs between frames 4.2 s and 5.2 s—within one subsampled interval—matching rapid contraction behavior as in samples 1 and 3. The shortened morphology (loss of elongated stalk, head drawn toward tail) satisfies the definition even if not perfectly spherical. Background debris does not obscure the key change. Confidence is high.</t>
    <phoneticPr fontId="1" type="noConversion"/>
  </si>
  <si>
    <t>yes/98/At 0.2–4.2 s, the stentor is fully extended with a clear trumpet shape, wide oral opening, and visible ciliary fringe. At 5.2 s, it abruptly shortens: the body becomes compact, cylindrical-to-ovoid, and significantly shorter—head and tail are now much closer, with loss of the flared oral end. This condensed form persists through 6.2–9.2 s. The change is unambiguous, occurs within one frame interval (4.2 s → 5.2 s), and matches the definition of contraction (measurable shortening, even if not spherical). Consistent with sample 1 and 3 rapid contractions. Confidence is very high.</t>
    <phoneticPr fontId="1" type="noConversion"/>
  </si>
  <si>
    <t>yes/92/At 0.2–4.2 s, the stentor is fully extended with a distinct trumpet shape and visible oral cilia ring at the anterior end, positioned near a glass needle. By 5.2 s, the extended body is gone; instead, a small, dark, rounded mass appears at the base of where the stalk was attached—consistent with rapid contraction. The morphology changes from elongated to compact within one frame interval (4.2 s → 5.2 s), satisfying the definition of contraction (measurable shortening, even if not perfectly spherical). Later frames (6.2–9.2 s) show the contracted remnant persisting. Background debris and partial obscuration by the needle reduce confidence slightly, but the transition is clear and matches prior confirmed cases.</t>
    <phoneticPr fontId="1" type="noConversion"/>
  </si>
  <si>
    <t>yes/95/At 0.2–4.2 s, the stentor is clearly extended: trumpet-shaped with a wide oral opening, visible ciliary fringe, and elongated stalk intersecting a glass needle. By 5.2 s, the extended form vanishes; only a small, dark, rounded mass remains at the base near the needle—indicating rapid contraction. The transition occurs within one frame (4.2 s → 5.2 s), matching the fast contraction pattern in samples 1 and 3. The condensed remnant persists through later frames. Despite background debris and slight focus variation, the loss of extended morphology and appearance of a compact body is unambiguous. Confidence is high.</t>
    <phoneticPr fontId="1" type="noConversion"/>
  </si>
  <si>
    <t>yes/97/At 0.2–4.2 s, the stentor is fully extended with a clear trumpet shape, prominent oral cilia, and elongated stalk positioned near a glass micropipette. At 5.2 s, it abruptly disappears from that location; no extended form remains, and only background debris is visible where it was—indicating rapid contraction into a compact mass that moved out of focus or was obscured. The sudden loss of the extended morphology within one frame interval (4.2 s → 5.2 s) matches the rapid contraction behavior documented in samples 1 and 3. Later frames show no reappearance of the extended form, supporting that contraction occurred. Confidence is very high due to consistency with prior confirmed cases and unambiguous morphological disappearance.</t>
    <phoneticPr fontId="1" type="noConversion"/>
  </si>
  <si>
    <t>no/20/ The stentor is extended at 0.2–4.2 s and then vanishes without evidence of shortening or a condensed form; no contracted body appears in subsequent frames, unlike all verified contraction cases. Low confidence in absence due to image quality, but insufficient evidence for contraction per definition.</t>
    <phoneticPr fontId="1" type="noConversion"/>
  </si>
  <si>
    <t>yes/90/At 0.2–3.2 s, a stentor is clearly extended with a trumpet-shaped body and visible oral cilia. By 4.2 s, it begins to shorten; at 5.2–6.2 s, the extended stalk is gone and replaced by a compact, dark, oval-to-round mass near the same location—consistent with contraction. The head–tail distance is markedly reduced, and the shape is no longer elongated. Though background debris and focus shifts reduce image clarity, the morphological transition from extended to condensed within ~2–3 frames satisfies the definition (including partial/rapid contractions). This matches sample 1, 3, and 11 patterns. Contraction score 90 reflects high evidence with minor ambiguity due to imaging quality.</t>
    <phoneticPr fontId="1" type="noConversion"/>
  </si>
  <si>
    <t>yes/95/At 0.2–4.2 s, the stentor is clearly extended: trumpet-shaped with a distinct oral opening and elongated stalk, positioned near a glass needle. At 5.2 s, it abruptly disappears from that extended configuration; no elongated body remains, and only background debris is visible where it was—indicating rapid contraction into a compact form that either moved out of focus or became obscured. The transition occurs within one frame interval (4.2 s → 5.2 s), matching the fast contraction pattern seen in Videos 1, 5, 6, 7, 8, 11, etc. Crucially, unlike Video 15 (where no remnant appeared), here the *sudden loss of extended morphology without reappearance* is consistent with contraction (as in sample 1: “suddenly contracted… hidden beside some debris”). Contraction score 95 reflects very strong evidence, slightly reduced only by lack of a visible condensed remnant due to focus/debris—but the behavior aligns definitively with contraction per definition.</t>
    <phoneticPr fontId="1" type="noConversion"/>
  </si>
  <si>
    <t>yes/85/At 0.2–1.2 s, a stentor is visible in an extended, slightly curved trumpet shape with a discernible oral end. By 2.2 s, it has shortened significantly: the stalk collapses and the body becomes a compact, dark, rounded mass—head and tail are now close together, losing the flared oral structure. This condensed form persists through 3.2–9.2 s as a stable dark sphere amid debris. The shortening is measurable and unambiguous (compare 0.2 s vs. 2.2 s), satisfying the definition of contraction—even if not perfectly spherical. Slight uncertainty arises from lower contrast and overlapping particles, but the morphological change is consistent with confirmed contractions (e.g., sample a.jpg, Video 11). Thus: yes, with contraction score 85.</t>
    <phoneticPr fontId="1" type="noConversion"/>
  </si>
  <si>
    <t>yes/96/At 0.2–4.2 s, the stentor is fully extended with a clear trumpet shape, wide oral opening, and visible ciliary fringe. At 5.2 s, it abruptly vanishes from that position; a small, dark, rounded mass appears near the base (visible at 6.2–9.2 s), consistent with rapid contraction into a condensed form. The transition occurs within one frame interval (4.2 s → 5.2 s), matching the fast contraction pattern in multiple prior confirmed cases (e.g., Videos 1, 5, 7, 11). The loss of elongated morphology and appearance of a compact remnant satisfies the definition—even partial shortening counts, and this is unambiguous. Contraction score 96 reflects very high certainty, slightly reduced only by minor focus variation in later frames.</t>
  </si>
  <si>
    <t>yes/90/At 0.2 s, a stentor is clearly extended: trumpet-shaped with a distinct oral opening and elongated stalk, positioned near a glass needle. By 1.2 s, it is no longer visible in that extended form; instead, only a diffuse cloud of particles and a small dark remnant appear at the site—consistent with rapid contraction and possible release of contents or detachment. The abrupt disappearance of the structured extended body within one frame interval (0.2 s → 1.2 s) matches the fast contraction behavior seen in Videos 1, 5, 6, etc. Although the contracted body is not sharply resolved (likely due to focus or debris), the loss of morphology and appearance of a compact mass satisfy the definition of contraction (measurable shortening to condensed shape). Contraction score 90 reflects strong evidence with minor ambiguity from image quality.</t>
    <phoneticPr fontId="1" type="noConversion"/>
  </si>
  <si>
    <t>yes/97/At 0.2–4.2 s, the stentor is fully extended with a clear trumpet shape, wide oral opening, and visible ciliary fringe, positioned near a glass needle. At 5.2 s, it abruptly disappears from that configuration; a compact, dark, rounded mass appears at the same location (visible through 6.2–9.2 s), surrounded by a halo of dispersed particles—consistent with rapid contraction, possibly accompanied by discharge of contents. The head–tail distance is drastically reduced, and the morphology shifts from elongated to condensed within one frame interval, satisfying the definition of contraction (including partial or rapid forms). This matches confirmed cases like Video 1 and11. Contraction score 97 reflects very high certainty, with only minimal ambiguity due to particle dispersion obscuring fine detail.</t>
    <phoneticPr fontId="1" type="noConversion"/>
  </si>
  <si>
    <t>no/15/From 0.2 s to 4.2 s, the stentor remains clearly extended with a stable trumpet shape and visible oral cilia; no shortening or condensation occurs. At 5.2 s, it disappears from view—not due to contraction, but because the focus shifts or the organism drifts out of the focal plane (a second stentor becomes visible lower-left at 5.2 s, confirming movement/drift rather than in-place contraction). Crucially, no compact, condensed body appears where the original stentor was—unlike all confirmed contractions, which show a persistent remnant. The behavior is consistent with passive displacement, not active contraction. Contraction score 15 reflects very low evidence for contraction, with high certainty that no contraction occurred.</t>
    <phoneticPr fontId="1" type="noConversion"/>
  </si>
  <si>
    <t>yes/88/At 0.2–4.2 s, a stentor is clearly extended (trumpet-shaped, with oral cilia visible) near a glass needle. At 5.2 s, it vanishes from that position; by 6.2–9.2 s, a small, dark, rounded mass appears in the same region—distinct from surrounding debris and consistent with a contracted body. Though the transition is slightly less sharp than in some prior videos (e.g., Video 1), the loss of elongated morphology and appearance of a compact remnant within one frame interval satisfies the definition of contraction (including rapid or partial shortening). The presence of another stentor on the right (visible at 8.2–9.2 s) confirms the left structure’s disappearance is not due to global focus shift. Contraction score 88 reflects strong evidence, slightly reduced by moderate image clarity but still well above ambiguity threshold.</t>
    <phoneticPr fontId="1" type="noConversion"/>
  </si>
  <si>
    <t>yes/94/At 0.2–4.2 s, the stentor is fully extended with a clear trumpet shape, wide oral disc, and visible ciliary fringe. At 5.2 s, it abruptly disappears from that configuration; a compact, dark, rounded mass appears at the same location (visible through 6.2–9.2 s), surrounded by a dispersed cloud of small particles—consistent with rapid contraction, possibly accompanied by cytoplasmic discharge. The head–tail distance is drastically reduced, and no elongated form remains. This matches the definition of contraction (measurable shortening to condensed shape), and the one-frame transition aligns with confirmed rapid contractions (e.g., Videos 1, 5, 11). Contraction score 94 reflects very high certainty, with minor deduction only for particle dispersion slightly obscuring the remnant’s boundary.</t>
    <phoneticPr fontId="1" type="noConversion"/>
  </si>
  <si>
    <t>yes/93/At 0.2–3.2 s, the stentor is clearly extended: trumpet-shaped with a wide oral disc, visible ciliary fringe, and elongated stalk. At 4.2 s, it abruptly vanishes from that position; by 5.2–9.2 s, a compact, dark, rounded mass appears at the same site—surrounded by a halo of dispersed particles—indicating rapid contraction (likely with cytoplasmic release). The loss of extended morphology and appearance of a condensed remnant within one frame interval satisfies the definition of contraction, even if not perfectly spherical. This pattern matches confirmed cases (e.g., Videos 1, 11, 21). Contraction score 93 reflects high certainty, slightly reduced due to particle dispersion limiting fine detail, but the behavioral change is unambiguous.</t>
    <phoneticPr fontId="1" type="noConversion"/>
  </si>
  <si>
    <t>yes/95/At 0.2–4.2 s, the stentor is fully extended with a clear trumpet shape, wide oral disc, and visible ciliary fringe. At 5.2 s, it abruptly disappears from that configuration; a compact, dark, rounded mass appears at the same location (visible through 6.2–9.2 s), accompanied by a dispersed cloud of small particles—consistent with rapid contraction, possibly with content discharge. The head–tail distance is markedly reduced, and no elongated form remains. This matches the definition of contraction (measurable shortening to condensed shape) and aligns with prior confirmed rapid contractions (e.g., Videos 1, 11, 21, 24). Contraction score 95 reflects very high certainty; minor deduction only for slight particle obscuration, but the morphological transition is unambiguous.</t>
    <phoneticPr fontId="1" type="noConversion"/>
  </si>
  <si>
    <t>yes/92/At 0.2–4.2 s, the stentor is clearly extended: trumpet-shaped with a distinct oral opening and visible ciliary fringe. At 5.2 s, it vanishes from that position; by 6.2–9.2 s, a compact, dark, rounded mass appears at the same site—surrounded by a dispersed cloud of small particles—indicating rapid contraction (likely with partial discharge). The loss of elongated morphology and appearance of a condensed remnant within one frame interval satisfies the definition of contraction, even if not perfectly spherical. This pattern is consistent with multiple confirmed cases (e.g., Videos 1, 11, 21, 24). Contraction score 92 reflects high certainty, slightly reduced due to moderate particle obscuration, but the behavioral change is unambiguous and meets all criteria.</t>
    <phoneticPr fontId="1" type="noConversion"/>
  </si>
  <si>
    <t>yes/87/At 0.2–5.2 s, the stentor remains extended with a clear trumpet shape and visible oral cilia. At 6.2 s, it disappears from that position; a small, dark, rounded mass appears near the same location (visible at 6.2–9.2 s), consistent with rapid contraction. The transition occurs within one frame interval (5.2 s → 6.2 s), and the condensed remnant persists—satisfying the definition of contraction (measurable shortening to compact form). While the remnant is less sharply resolved than in some prior videos (e.g., Video 1), the loss of extended morphology and appearance of a distinct compact body align with confirmed contraction behavior. Contraction score 87 reflects strong evidence, slightly reduced due to moderate image clarity and particle background, but still well above ambiguity threshold.</t>
    <phoneticPr fontId="1" type="noConversion"/>
  </si>
  <si>
    <t>no/20/From 0.2 s to 5.2 s, the stentor remains clearly extended with a stable trumpet shape and visible oral cilia; no shortening or condensation occurs. At 6.2 s, it disappears—not due to contraction, but because the focus shifts or the organism drifts out of the focal plane (a second stentor is visible lower-left at 6.2–9.2 s, confirming movement rather than in-place contraction). Critically, no compact, condensed body appears where the original stentor was—unlike all confirmed contractions, which show a persistent remnant. The behavior is consistent with passive displacement, not active contraction. Contraction score 20 reflects very low evidence for contraction, with high certainty that no contraction occurred.</t>
    <phoneticPr fontId="1" type="noConversion"/>
  </si>
  <si>
    <t>yes/91/At 0.2–4.2 s, the stentor is clearly extended: trumpet-shaped with a wide oral disc, visible ciliary fringe, and elongated stalk near a glass needle. At 5.2 s, it abruptly vanishes from that configuration; by 6.2–9.2 s, a compact, dark, rounded mass appears at the same location—surrounded by a dispersed cloud of small particles—indicating rapid contraction (likely with cytoplasmic discharge). The head–tail distance is drastically reduced, and no elongated form remains; this satisfies the definition of contraction (measurable shortening to condensed shape), matching prior confirmed cases (e.g., Videos 1, 11, 24). Contraction score 91 reflects high certainty, slightly reduced due to moderate particle obscuration, but the morphological transition is unambiguous.</t>
    <phoneticPr fontId="1" type="noConversion"/>
  </si>
  <si>
    <t>yes/89/At 0.2–4.2 s, the stentor is fully extended with a clear trumpet shape, wide oral disc, and visible ciliary fringe. At 5.2 s, it disappears from that position; by 6.2–9.2 s, a compact, dark, rounded mass appears at the same site—surrounded by a dispersed cloud of small particles—consistent with rapid contraction (possibly with content release). The loss of elongated morphology and appearance of a condensed remnant within one frame interval satisfies the definition of contraction, even if not perfectly spherical. This aligns with multiple confirmed cases (e.g., Videos 1, 11, 24, 26). Contraction score 89 reflects strong evidence, slightly reduced due to moderate background particle obscuration, but the behavioral change is unambiguous and meets all criteria.</t>
    <phoneticPr fontId="1" type="noConversion"/>
  </si>
  <si>
    <t>no/10/From 0.2 s to 4.2 s, the stentor remains stably extended with a clear trumpet shape and visible oral cilia. At 5.2 s, it disappears—not due to contraction, but because the focus shifts or the organism drifts out of the focal plane (a second stentor is visible lower-left at 5.2–9.2 s, confirming movement rather than in-place shortening). Critically, no compact, condensed body appears where the original stentor was; instead, only background debris and particles are present. This contrasts with all confirmed contractions, which show a persistent remnant at the original site. The behavior is consistent with passive displacement, not active contraction. Contraction score 10 reflects very low evidence for contraction, with high confidence that no contraction occurred.</t>
    <phoneticPr fontId="1" type="noConversion"/>
  </si>
  <si>
    <t>yes/96/At 0.2–4.2 s, the stentor is extended with a trumpet shape and visible oral cilia, though slightly out of focus. By 5.2 s, it is no longer in that extended form; instead, a compact, dark, rounded mass appears at the same location (visible at 5.2–9.2 s), surrounded by dispersed particles—consistent with rapid contraction. The loss of elongated morphology and appearance of a condensed remnant within one frame interval satisfies the definition of contraction (measurable shortening to condensed shape), matching confirmed cases (e.g., Videos 1, 11, 24). Image clarity is moderate, but the morphological transition is unambiguous. Contraction score 96 reflects very high certainty.</t>
    <phoneticPr fontId="1" type="noConversion"/>
  </si>
  <si>
    <t>no/5/From 0.2 s to 4.2 s, the stentor remains clearly extended with a stable trumpet shape and visible oral cilia. At 5.2 s, it disappears—but no compact, condensed body appears at its original location; instead, only background particles and a diffuse cloud are visible. A second stentor is not present to confirm drift, but the absence of any remnant (unlike all confirmed contractions) and the gradual fading suggest the stentor moved out of focus or drifted away, not contracted. The behavior does not meet the definition: no measurable shortening or condensation is observed *in situ*. Contraction score 5 reflects near-certain absence of contraction, with minimal ambiguity due to poor later-frame resolution but consistent with Video 15/22/29/32 patterns where disappearance ≠ contraction.</t>
    <phoneticPr fontId="1" type="noConversion"/>
  </si>
  <si>
    <t>yes/88/At 0.2–4.2 s, the stentor is clearly extended: trumpet-shaped with a distinct oral disc and visible ciliary fringe. At 5.2 s, it vanishes from that position; by 6.2–9.2 s, a compact, dark, rounded mass appears at the same site—surrounded by a dispersed cloud of small particles—indicating rapid contraction (likely with cytoplasmic discharge). The loss of elongated morphology and appearance of a condensed remnant within one frame interval satisfies the definition of contraction, even if not perfectly spherical. This matches confirmed cases (e.g., Videos 1, 11, 24). Contraction score 88 reflects strong evidence, slightly reduced due to moderate particle obscuration, but the behavioral change is unambiguous and meets all criteria.</t>
    <phoneticPr fontId="1" type="noConversion"/>
  </si>
  <si>
    <t>no/12/From 0.2 s to 4.2 s, the stentor remains stably extended with a clear trumpet shape and visible oral cilia; no shortening occurs. At 5.2 s, it disappears from view—but no compact, condensed body appears at its original location. The subsequent frames show only background debris and particles, with no remnant consistent with contraction. A second stentor is not visible to confirm drift, but the absence of any shortened or rounded form—contrasted with all confirmed contractions that leave a persistent remnant—strongly indicates passive displacement (e.g., out-of-focus or movement), not active contraction. Contraction score 12 reflects very low evidence for contraction, with high confidence that no contraction occurred.</t>
    <phoneticPr fontId="1" type="noConversion"/>
  </si>
  <si>
    <t>yes/98/At 0.2 s, the stentor is in a moderately extended shape (less elongated than typical resting form, but still with a discernible stalk and oral end). From 1.2 s to 4.2 s, it progressively shortens: the stalk collapses, the body becomes more rounded, and the oral opening constricts—clearly reducing head–tail distance. By 5.2–9.2 s, it is fully condensed into a compact, dark, near-spherical mass with only faint residual cilia visible—matching the definition of contraction (measurable shortening to condensed shape, even if not initiated from maximal extension). This slow, continuous shortening over ~4 frames aligns with sample 2 (2_sample_shortening17I_0418.mp4), which explicitly states such gradual shortening counts as contraction. No ambiguity: the morphological change is unambiguous and sustained. Contraction score 98 reflects near-certain evidence.</t>
    <phoneticPr fontId="1" type="noConversion"/>
  </si>
  <si>
    <t>yes/93/At 0.2–1.2 s, the stentor is extended (trumpet-shaped with oral cilia). By 2.2–4.2 s, it begins shortening: the stalk collapses and the body rounds up. At 5.2–9.2 s, it is clearly condensed into a compact, dark, oval-to-round mass—still attached near the micropipette tip—showing reduced head–tail distance and loss of flared oral structure. This gradual shortening over ~3–4 frames satisfies the definition of contraction (including slow/partial cases, per sample 2). The remnant persists and is distinct from debris. Contraction score 93 reflects high certainty, slightly reduced only by moderate focus variation, but the morphological transition is unambiguous and consistent with confirmed contractions.</t>
    <phoneticPr fontId="1" type="noConversion"/>
  </si>
  <si>
    <t>yes/90/At 0.2–4.2 s, the stentor is clearly extended with a trumpet shape and visible oral cilia. At 5.2 s, it disappears from that configuration; by 6.2–9.2 s, a compact, dark, rounded mass appears at the same location—surrounded by dispersed particles—indicating rapid contraction. The loss of elongated morphology and appearance of a condensed remnant within one frame interval satisfies the definition of contraction (measurable shortening to condensed shape), consistent with confirmed cases (e.g., Videos 1, 11, 24). Contraction score 90 reflects strong evidence, slightly reduced due to moderate particle obscuration, but the behavioral change is unambiguous.</t>
    <phoneticPr fontId="1" type="noConversion"/>
  </si>
  <si>
    <t>C 26 total (6v no score)</t>
    <phoneticPr fontId="1" type="noConversion"/>
  </si>
  <si>
    <t>correct rate no score</t>
    <phoneticPr fontId="1" type="noConversion"/>
  </si>
  <si>
    <t>yes/94/At 0.2–4.2 s, the stentor is clearly extended: trumpet-shaped with a distinct oral disc and visible ciliary fringe. At 5.2 s, it vanishes from that configuration; by 6.2–9.2 s, a compact, dark, rounded mass appears at the same location—surrounded by a dispersed cloud of small particles—indicating rapid contraction (likely with cytoplasmic discharge). The head–tail distance is drastically reduced, and no elongated form remains; this satisfies the definition of contraction (measurable shortening to condensed shape), matching prior confirmed cases (e.g., Videos 1, 11, 24, 37). Contraction score 94 reflects very high certainty, with only minor deduction for particle obscuration limiting fine detail, but the morphological transition is unambiguous.</t>
    <phoneticPr fontId="1" type="noConversion"/>
  </si>
  <si>
    <t>yes/97/At 0.2–3.2 s, the stentor is fully extended with a clear trumpet shape and visible oral cilia. At 4.2 s, it begins shortening: the stalk collapses and the body rounds up. By 5.2–9.2 s, it is fully condensed into a compact, dark, oval-to-round mass—still attached near the micropipette tip—with markedly reduced head–tail distance and loss of flared oral structure. This gradual shortening over ~2–3 frames satisfies the definition of contraction (including slow/partial cases, per sample 2). The remnant is distinct, persistent, and unambiguous. Contraction score 97 reflects very high certainty, with only minimal deduction for slight focus variation.</t>
    <phoneticPr fontId="1" type="noConversion"/>
  </si>
  <si>
    <t>yes/98/At 0.2–0.4 s, the stentor is fully extended (trumpet-shaped, long stalk + wide oral end). By 0.5 s it has shortened markedly: the stalk is no longer visible, and the body is condensed into an oval/spindle shape with head and tail much closer—consistent with a rapid contraction as defined in samples (e.g., 3_sample_complicated4E_0145.mp4). The change is unambiguous and occurs within one subsampled frame interval (0.4 → 0.5 s), satisfying the contraction criterion even if not fully spherical.</t>
    <phoneticPr fontId="1" type="noConversion"/>
  </si>
  <si>
    <t>yes/95/From 0.2 s to 0.4 s, the stentor is extended (long stalk + flared oral end). By 0.5 s, it is no longer visible in its original location; instead, a small, dark, condensed oval object appears near the left edge (visible at 0.5–0.7 s), consistent with a contracted stentor. The disappearance of the extended form and appearance of a compact shape within one frame interval matches the rapid contraction behavior seen in sample 1 (typical contraction) and sample 3 (quick contraction in cluttered background). Although partially obscured by debris, the morphological transition is clear and satisfies the definition (reduced head–tail distance, condensed shape).</t>
    <phoneticPr fontId="1" type="noConversion"/>
  </si>
  <si>
    <t>yes/97/At 0.2–0.4 s, the stentor is fully extended: a long, thin stalk connects a flared oral “head” (ciliated disc) to a posterior region. By 0.5 s, the extended form vanishes and a compact, oval-shaped body appears on the left—clearly shorter, with no visible stalk, and head/tail proximity greatly reduced. This matches the definition of contraction (including rapid, partial, or spindle-like shortening), as seen in samples 1 and 3. The transition occurs within one frame interval and is unambiguous despite background debris.</t>
    <phoneticPr fontId="1" type="noConversion"/>
  </si>
  <si>
    <t>yes/96/At 0.2–0.4 s, the stentor is extended with a visible stalk and flared oral end (head), oriented horizontally across the field. By 0.5 s, the extended form is gone; instead, a compact, dark oval object appears on the left side (visible at 0.5–0.9 s), lacking any stalk and showing markedly reduced head–tail—consistent with a rapid contraction. This mirrors sample 1 and sample 3 behavior: sudden disappearance of extended morphology and appearance of condensed shape within one frame interval. Background debris does not obscure the key morphological change.</t>
    <phoneticPr fontId="1" type="noConversion"/>
  </si>
  <si>
    <t>yes/95/From 0.2 s to 0.3 s, the stentor is clearly extended: a long, thin stalk connects a distinct flared oral “head” (ciliated disc) to the posterior end. By 0.4 s, the extended form disappears; at 0.5 s, a compact, oval-shaped body appears on the left—shorter, without a stalk, and with head and tail now adjacent—matching the definition of contraction (even if not spherical). This rapid transition (within ~1 frame) aligns with sample 1 and sample 3. The change is unambiguous despite background debris.</t>
    <phoneticPr fontId="1" type="noConversion"/>
  </si>
  <si>
    <t>no/20/From 0.2 s to 0.9 s, the stentor remains in an extended or slightly bent trumpet shape; the stalk is consistently visible, and the oral “head” stays separated from the posterior end. There is no measurable shortening of body length—no reduction in head–tail distance, no condensation into oval/spindle/ball shape. The organism shows minor positional shifts and bending (e.g., at 0.4 s), but these are not contractions per definition (cf. sample 2’s “tiny shortening” required clear shortening; here, length is preserved). The other object appearing at 0.5 s is a separate ciliate (likely *Paramecium*), not the same stentor. Thus, no contraction occurs.</t>
    <phoneticPr fontId="1" type="noConversion"/>
  </si>
  <si>
    <t>yes/99/At 0.2–0.4 s, the stentor is extended: a clear stalk connects a flared oral end (head) to a posterior region, with visible cilia and internal structure. By 0.5 s, the extended form vanishes; at 0.6–0.7 s, only a diffuse dark mass remains—then at 0.8–0.9 s, a compact, oval-shaped stentor reappears, lacking a stalk and with head and tail fused into a condensed body. This rapid disappearance → condensation sequence matches the definition of contraction (including partial/spindle forms), as in samples 1 and 3. The transition is unambiguous and occurs within ~1–2 frames.</t>
    <phoneticPr fontId="1" type="noConversion"/>
  </si>
  <si>
    <t>yes/98/At 0.2–0.5 s, the stentor is extended: a distinct stalk connects a broader oral end (head) to the posterior, forming a classic trumpet shape. By 0.6 s, the stalk begins to retract; at 0.7–0.9 s, the organism is clearly shortened into a compact, rounded-oval shape with no visible stalk and head/tail in close proximity—fulfilling the contraction definition (partial or full shortening). The change is progressive but unambiguous across frames, matching sample 2’s “slow shortening” criterion. No ambiguity from debris; the same individual is tracked.</t>
    <phoneticPr fontId="1" type="noConversion"/>
  </si>
  <si>
    <t>yes/100/At 0.2–0.4 s, the stentor is fully extended in a classic trumpet shape with a long, narrow stalk and flared oral head. By 0.5 s, the stalk has completely retracted, and the organism is condensed into a compact, rounded-oval body—head and tail now adjacent, no stalk visible—matching the textbook definition of contraction (e.g., image z.jpg “contracted” frame). The transition is complete within one frame interval and unambiguous. This is a definitive, full contraction.</t>
    <phoneticPr fontId="1" type="noConversion"/>
  </si>
  <si>
    <t>yes/94/At 0.2–0.4 s, the stentor is extended: a clear stalk connects a flared oral head (with visible cilia) to the posterior end. By 0.5 s, the extended form disappears; at 0.5–0.9 s, a compact, oval-shaped body appears on the left—shorter, without stalk, and with head/tail proximity greatly reduced. This rapid morphological change matches the contraction definition (including partial/spindle forms), as in samples 1 and 3. Though background debris is present, the same individual is trackable, and the shortening is unambiguous.</t>
    <phoneticPr fontId="1" type="noConversion"/>
  </si>
  <si>
    <t>yes/97/At 0.2–0.4 s, the stentor is extended: a visible stalk connects a flared oral head (ciliated disc) to the posterior region. By 0.5 s, the extended form is gone; a compact, dark oval object appears near the upper-left (visible at 0.5–0.9 s), lacking a stalk and showing markedly reduced head–tail distance—consistent with a rapid contraction. This matches sample 1 and 3 behavior (sudden shortening into condensed shape). The transition occurs within one frame interval and is unambiguous despite background particles.</t>
    <phoneticPr fontId="1" type="noConversion"/>
  </si>
  <si>
    <t>yes/93/At 0.2–0.5 s, the stentor is extended: a clear stalk connects a flared oral head (with visible cilia) to the posterior end. By 0.6 s, the stalk has retracted significantly; the body becomes shorter and more oval, with head and tail now much closer—though not fully spherical, this measurable shortening satisfies the contraction definition (cf. image a.jpg “contracted” spindle shape). The change is progressive across frames 0.5→0.7 and unambiguous. Background debris does not obscure the morphological shift.</t>
    <phoneticPr fontId="1" type="noConversion"/>
  </si>
  <si>
    <t>no/30/From 0.2 s to 0.9 s, the stentor remains in a relatively constant shape: a rounded oral end with a short, slightly bent stalk or residual attachment—no clear elongation into a trumpet shape nor subsequent shortening. The body does not exhibit measurable reduction in head–tail distance; it stays compact throughout, possibly already in a post-contraction or resting shortened state, but no *change* from extended to contracted occurs within the video. Per definition, contraction requires a *behavioral transition*; here, only a static (or minimally fluctuating) morphology is observed. Thus, no contraction is evident.</t>
    <phoneticPr fontId="1" type="noConversion"/>
  </si>
  <si>
    <t>yes/96/At 0.2–0.5 s, the stentor is fully extended: a long, thin stalk connects a distinct flared oral head (ciliated disc) to the posterior end. By 0.6 s, the extended form disappears; at 0.6–0.9 s, a compact, oval-shaped body appears on the right—lacking a stalk, with head and tail now adjacent. This rapid transition (within one frame) matches the contraction definition (e.g., sample 1 and 3), including partial/spindle condensation. The change is unambiguous despite background debris.</t>
    <phoneticPr fontId="1" type="noConversion"/>
  </si>
  <si>
    <t>yes/90/At 0.2–0.4 s, the stentor is extended: a clear stalk connects a flared oral head (with visible cilia) to the posterior region. By 0.5 s, the stalk begins to retract; at 0.6–0.7 s, the organism is visibly shortened into a more compact, rounded shape, and by 0.8–0.9 s, only a condensed dark mass remains where the stentor was—consistent with full contraction. Though the final state is partially obscured by debris, the progressive shortening across frames satisfies the definition (including slow/partial contractions, per sample 2 and image b.jpg). The head–tail distance decreases unmistakably.</t>
    <phoneticPr fontId="1" type="noConversion"/>
  </si>
  <si>
    <t>no/40/At 0.2 s, the stentor appears already condensed (rounded, no visible stalk), possibly in a resting contracted state. From 0.3–0.5 s, the image blurs and the organism is largely out of focus or obscured—no clear morphological change is observable. At 0.6–0.9 s, it reappears in a similar compact shape, still lacking a stalk, but there is no evidence of a transition *from* an extended to a contracted form within the video. Per definition, contraction requires a measurable shortening behavior; here, only a static (or ambiguous) morphology is seen. Thus, no contraction is confirmed.</t>
    <phoneticPr fontId="1" type="noConversion"/>
  </si>
  <si>
    <t>no/25/Throughout 0.2–0.9 s, the stentor remains in a consistently compact, rounded-oval shape with no visible stalk and no measurable change in head–tail distance. There is no transition from an extended trumpet form to a condensed shape—only minor positional drift and slight focus shifts. This resembles a stentor already in a contracted or resting shortened state, but no *contraction behavior* (i.e., active shortening) occurs within the video. Per definition, contraction requires a morphological change; none is observed.</t>
    <phoneticPr fontId="1" type="noConversion"/>
  </si>
  <si>
    <t>no/10/The stentor is heavily obscured by dense debris and bubbles throughout all frames (0.2–0.9 s). While a faint elongated structure may be partially visible at 0.2 s, no clear morphology (e.g., distinguishable head, tail, stalk) can be confirmed, and no discernible change in shape occurs. Without observable extended → condensed transition, contraction cannot be affirmed. Per instructions, we must base judgment solely on visual evidence—here, evidence is insufficient. Hence, no contraction is identified.</t>
    <phoneticPr fontId="1" type="noConversion"/>
  </si>
  <si>
    <t>no/5/Throughout 0.2–0.9 s, two stentors are visible: both maintain relatively constant elongated oval shapes with no stalk extension or retraction observed; neither shows measurable shortening of head–tail distance. The right stentor exhibits slight rotation and minor shape fluctuations (e.g., 0.4–0.5 s), but these are consistent with normal ciliary movement or drift—not contraction. No transition from extended trumpet to condensed form occurs. Per definition, contraction requires a clear shortening behavior; none is present.</t>
    <phoneticPr fontId="1" type="noConversion"/>
  </si>
  <si>
    <t>yes/98/At 0.2–0.4 s, the stentor is clearly extended: a long, thin stalk connects a flared oral head (ciliated disc) to the posterior, forming a classic trumpet shape. By 0.5 s, the extended form vanishes; from 0.5–0.9 s, only debris remains in that location—no reappearing compact body is visible, but the *disappearance of the extended morphology within one frame* (0.4→0.5 s) is consistent with rapid contraction followed by movement out of focus or into debris, as seen in Videos 5, 6, 7, 8, 13, and 14. Given the unambiguous prior extended state and sudden loss of stalk + elongation, this satisfies the contraction criterion (rapid shortening, even if final condensed form is not resolvable due to obscuration).</t>
    <phoneticPr fontId="1" type="noConversion"/>
  </si>
  <si>
    <t>yes/95/At 0.2–0.4 s, the stentor is extended: a clear stalk connects a flared oral head (with visible cilia) to the posterior end, forming a trumpet shape. By 0.5 s, the extended form disappears; from 0.5–0.9 s, only a small, dark, compact oval remnant is visible near the original position—consistent with a rapid contraction into a condensed body (spindle/oval, not spherical), as in sample 3 and image a.jpg. The transition occurs within one frame interval and is unambiguous despite background debris.</t>
    <phoneticPr fontId="1" type="noConversion"/>
  </si>
  <si>
    <t>yes/90/At 0.2–0.4 s, the stentor is clearly extended: a long, thin stalk connects a distinct flared oral head (ciliated disc) to the posterior, visible against the background. By 0.5 s, the extended form vanishes; from 0.5–0.9 s, a compact, dark oval object appears near the original location—shorter, lacking stalk, with head and tail now adjacent. This rapid morphological change matches the contraction definition (including partial/spindle forms), as in samples 1, 3, and image a.jpg. Though partially obscured by debris, the transition is observable and unambiguous across frames.</t>
    <phoneticPr fontId="1" type="noConversion"/>
  </si>
  <si>
    <t>no/15/From 0.2 s to 0.9 s, the stentor maintains a consistently shortened, oval-to-elliptical shape with no visible stalk and no measurable change in head–tail distance. It shows minor positional drift and slight rotation, but no transition from an extended trumpet form to a condensed state occurs within the video. The morphology remains static—this is likely a stentor already in a contracted or partially contracted state, but no *contraction behavior* (i.e., active shortening) is observed. Per definition, contraction requires a morphological change; none is present.</t>
    <phoneticPr fontId="1" type="noConversion"/>
  </si>
  <si>
    <t>no/10/Throughout 0.2–0.9 s, the stentor remains in a stable, moderately elongated oval shape with no visible stalk and no measurable shortening of head–tail distance. There is no transition from an extended trumpet form to a condensed shape; the morphology is static, with only minor positional drift. Per definition, contraction requires an active shortening behavior—none is observed. Thus, no contraction occurs.</t>
    <phoneticPr fontId="1" type="noConversion"/>
  </si>
  <si>
    <t>no/20/From 0.2 s to 0.9 s, the stentor maintains a consistent shape: a moderately elongated body with a slightly tapered posterior and a broader oral end, but no distinct long stalk—i.e., it remains in a shortened or intermediate形态 throughout. There is no observable transition from an extended trumpet shape to a more condensed form; head–tail distance does decrease measurably. Minor bending occurs (e.g., 0.4–0.6 s), but this is not contraction per definition (cf. sample 2 requires clear shortening). Thus, no contraction behavior is evident.</t>
    <phoneticPr fontId="1" type="noConversion"/>
  </si>
  <si>
    <t>no/5/Throughout 0.2–0.9 s, the stentor remains in a relatively constant elongated oval shape with no visible stalk and no measurable shortening of head–tail distance. It exhibits minor undulations and slight positional shifts, but no transition from an extended trumpet form to a condensed state occurs. The morphology is stable—this is likely a stentor in a resting or partially contracted state, but no active contraction behavior is observed. Per definition, contraction requires a morphological change; none is present.</t>
    <phoneticPr fontId="1" type="noConversion"/>
  </si>
  <si>
    <t>yes/92/At 0.2–0.4 s, the stentor is extended: a visible stalk connects a flared oral head (ciliated disc) to the posterior, forming a clear trumpet shape. By 0.5 s, the stalk begins retracting; at 0.6–0.9 s, the body is markedly shortened into a compact, rounded-oval form with head and tail adjacent—no stalk visible. This progressive shortening across frames satisfies the contraction definition (including partial/spindle forms, per image a.jpg and sample 2). The change is unambiguous and not attributable to drift or focus shift.</t>
    <phoneticPr fontId="1" type="noConversion"/>
  </si>
  <si>
    <t>no/10/From 0.2 s to 0.9 s, the stentor remains in a consistently compact, oval shape with no visible stalk and no measurable change in head–tail distance. There is no transition from an extended trumpet form to a condensed state; the morphology is static throughout. Minor drift and focus fluctuations occur, but no contraction behavior is observed. Per definition, contraction requires an active shortening—none is present.</t>
    <phoneticPr fontId="1" type="noConversion"/>
  </si>
  <si>
    <t>yes/96/At 0.2–0.4 s, a stentor is clearly extended: a long, thin stalk connects a flared oral head (ciliated disc) to the posterior, forming a classic trumpet shape (visible in left-mid field). By 0.5 s, the extended form begins retracting; at 0.6–0.9 s, the same individual appears as a compact, rounded-oval body with no stalk and reduced head–tail distance—consistent with contraction. The transition is progressive across frames and unambiguous, matching sample 2’s “slow shortening” and image a.jpg spindle-like contracted state. Background debris does not obscure the morphological change.</t>
    <phoneticPr fontId="1" type="noConversion"/>
  </si>
  <si>
    <t>yes/94/At 0.2–0.4 s, the stentor is fully extended: a long, thin stalk connects a distinct flared oral head (ciliated disc) to the posterior, forming a clear trumpet shape. By 0.5 s, the stalk begins retracting; at 0.6–0.9 s, the body is visibly shortened into a more compact, rounded-oval form with head and tail closer—no stalk visible. This progressive shortening across frames satisfies the contraction definition (including partial/spindle forms, per image a.jpg and sample 2). The change is unambiguous and not due to drift or focus shift.</t>
    <phoneticPr fontId="1" type="noConversion"/>
  </si>
  <si>
    <t>no/5/From 0.2 s to 0.9 s, the stentor remains in a stable, moderately elongated oval shape with no visible stalk and no measurable change in head–tail distance. It exhibits only minor positional drift and slight rotation, but no transition from an extended trumpet form to a condensed state occurs. The morphology is static throughout—this is likely a stentor already in a shortened resting state, but no active contraction behavior is observed. Per definition, contraction requires a morphological shortening; none is present.</t>
    <phoneticPr fontId="1" type="noConversion"/>
  </si>
  <si>
    <t>no/15/Throughout 0.2–0.9 s, the stentor appears as a compact, rounded-oval body with no visible stalk and no measurable change in shape or head–tail distance. It remains static, possibly already contracted, but no transition from an extended trumpet form occurs within the video. Minor focus drift and background particle movement are present, but no contraction behavior is observed. Per definition, contraction requires active shortening—none is evident.</t>
    <phoneticPr fontId="1" type="noConversion"/>
  </si>
  <si>
    <t>no/10/The stentor is heavily obscured by dense debris and bubbles throughout all frames (0.2–0.9 s). While faint elongated structures appear at 0.2 s, no clear morphology (e.g., distinguishable head, tail, stalk) can be confirmed, and no discernible shape change occurs. Without observable extended → condensed transition, contraction cannot be affirmed. Per instructions, judgment must be based solely on visual evidence—here, evidence is insufficient. Hence, no contraction is identified.</t>
    <phoneticPr fontId="1" type="noConversion"/>
  </si>
  <si>
    <t>no/30/From 0.2 s to 0.9 s, the stentor remains in a consistently compact, rounded-oval shape with no visible stalk and no measurable change in head–tail distance. It appears already contracted at the start and stays static—only minor focus adjustments and slight drift occur. There is no transition from an extended trumpet form to a condensed state within the video. Per definition, contraction requires an active shortening behavior; none is observed. Thus, no contraction occurs.</t>
    <phoneticPr fontId="1" type="noConversion"/>
  </si>
  <si>
    <t>no/5/Throughout 0.2–0.9 s, the stentor maintains a stable, moderately elongated oval shape with no visible stalk and no measurable shortening of head–tail distance. It exhibits slight rotation and minor positional drift, but no transition from an extended trumpet form to a condensed state occurs. The morphology remains static—this is likely a stentor in a resting or partially contracted state, but no active contraction behavior is observed. Per definition, contraction requires a morphological change; none is present.</t>
    <phoneticPr fontId="1" type="noConversion"/>
  </si>
  <si>
    <t>no/20/From 0.2 s to 0.9 s, the stentor remains in a consistently shortened, oval-to-elliptical shape with no visible stalk and no measurable change in head–tail distance. It shows minor drift and slight rotation, but no transition from an extended trumpet form to a condensed state occurs. The morphology is static throughout—this is likely a stentor already in a contracted or intermediate state, but no active contraction behavior is observed. Per definition, contraction requires a morphological shortening; none is present.</t>
    <phoneticPr fontId="1" type="noConversion"/>
  </si>
  <si>
    <t>yes/97/At 0.2–0.4 s, the stentor is extended: a clear stalk connects a flared oral head (ciliated disc) to the posterior, forming a classic trumpet shape. By 0.5 s, the stalk begins retracting; at 0.6–0.9 s, the body is visibly shortened into a more compact, rounded-oval form with head and tail closer—no stalk visible. This progressive shortening across frames satisfies the contraction definition (including partial/spindle forms, per image a.jpg and sample 2). The change is unambiguous and not attributable to drift or focus shift.</t>
    <phoneticPr fontId="1" type="noConversion"/>
  </si>
  <si>
    <t>no/10/From 0.2 s to 0.9 s, the stentor remains in a stable, moderately elongated oval shape with a slightly tapered posterior and visible cilia at the oral end, but no long stalk is present and no measurable shortening of head–tail distance occurs. It exhibits minor drift and slight rotation, but no transition from an extended trumpet form to a condensed state is observed. The morphology is static—this is likely a stentor in a resting or partially contracted state, but no active contraction behavior is evident. Per definition, contraction requires a morphological change; none is present.</t>
    <phoneticPr fontId="1" type="noConversion"/>
  </si>
  <si>
    <t>26 selected "hard", prompt 6 with no scores</t>
    <phoneticPr fontId="1" type="noConversion"/>
  </si>
  <si>
    <t>Gemini_score</t>
    <phoneticPr fontId="1" type="noConversion"/>
  </si>
  <si>
    <t>yes/100/At 0:05, the stentor undergoes a rapid and complete contraction. Prior to this, it is in a fully extended, trumpet-like shape with its "head" positioned near the glass needle. At 0:05, it suddenly retracts toward the lower-left corner of the frame, transforming into a condensed, ball-like shape partially obscured by debris. This is a clear and unambiguous example of a typical quick contraction.</t>
    <phoneticPr fontId="1" type="noConversion"/>
  </si>
  <si>
    <t>yes/100/At 0:06, the stentor undergoes a rapid and complete contraction. From 0:00 to 0:05, the organism is seen in an extended, trumpet-like state. Between frames 0:05 and 0:06, it quickly retracts toward the debris on the right side of the frame, resulting in a condensed, oval/ball-like shape that is clearly visible by 0:08. This sudden change in body length and morphology is a definitive contraction.</t>
    <phoneticPr fontId="1" type="noConversion"/>
  </si>
  <si>
    <t>yes/100/At 0:05, the stentor exhibits a sudden and rapid contraction. During the first five seconds of the video, it is visible in the upper-left quadrant in an elongated, trumpet-like state. Between 0:05 and 0:06, it quickly pulls back toward the upper-right corner, significantly reducing its body length and adopting a condensed, spindle-like shape. This rapid transition from an extended to a shortened state constitutes a definitive contraction.</t>
  </si>
  <si>
    <t>no/0/The stentor remains in a condensed, ball-like shape for the duration of the video. While the organism is visible at the beginning and end of the clip, it does not transition from an extended trumpet-like shape to a shortened one. Instead, it appears to already be in a contracted or resting spherical state, with no "head-to-tail" shortening observed during the 9-second interval. Therefore, no contraction behavior occurs within the timeframe of this video.</t>
    <phoneticPr fontId="1" type="noConversion"/>
  </si>
  <si>
    <t>no/0/The stentor remains in a condensed, ball-like state throughout the entire video. While there is slight movement and a change in the orientation of the organism around 0:04, it does not transition from an extended trumpet-like shape to a contracted one. Since the organism is already in its shortest form at the start and does not exhibit any further clear reduction in length, no contraction occurs within the duration of this clip.</t>
  </si>
  <si>
    <t>no/0/Throughout the video, the stentor remains in a condensed, ball-like state partially obscured by the debris on the left. At approximately 0:04 to 0:05, there is some movement or rotation of the organism as it shifts slightly behind the debris, but it does not transition from an extended trumpet shape into a contracted form. Since the organism is already shortened and does not exhibit a clear reduction in body length during the clip, no contraction is observed.</t>
  </si>
  <si>
    <t>no/0/The video features two stentors that remain in a condensed, oval-to-ball-like shape for the entire duration. From 0:00 to 0:09, neither organism transitions from an extended, trumpet-like form into a shorter one; rather, they are already in a shortened state at the start and maintain this morphology throughout. While there is slight movement and shifting relative to the debris, no clear contraction event occurs.</t>
  </si>
  <si>
    <t>yes/100/At 0:05, the stentor performs a rapid and complete contraction. From 0:00 to 0:04, it is clearly visible in an extended, trumpet-like state. Between frames 0:04 and 0:05, it suddenly retracts toward the debris at the bottom-left, disappearing from its extended position and assuming a condensed shape within the cluster. This is a definitive example of a quick contraction.</t>
  </si>
  <si>
    <t>yes/100/At 0:05, the stentor undergoes a rapid and complete contraction. Between 0:00 and 0:04, the organism is clearly visible in an elongated, trumpet-like state with its "head" near the glass needle. Between frames 0:04 and 0:05, it suddenly retracts toward the left edge of the frame, disappearing from its extended position and leaving the area near the needle empty. This sudden reduction in body length is a definitive contraction.</t>
  </si>
  <si>
    <t>yes/100/At 0:05, the stentor undergoes a rapid and complete contraction. From 0:00 to 0:04, it is clearly visible in its extended trumpet-like state, stretching diagonally across the frame. Between frames 0:04 and 0:05, the organism suddenly retracts toward the lower-right corner, leaving its previous position empty and assuming a condensed, ball-like shape near the debris. This sudden reduction in length and change in morphology is a definitive contraction.</t>
    <phoneticPr fontId="1" type="noConversion"/>
  </si>
  <si>
    <t>yes/85/Beginning at 0:03, the stentor starts a slow and steady reduction in its body length. By 0:09, the distance between the "head" and the "tail" has clearly decreased compared to the initial frames, resulting in a more condensed, spindle-like shape rather than its original extended trumpet-like form. This aligns with the "slow contraction" behavior described in the instructions (similar to reference image b.jpg).</t>
    <phoneticPr fontId="1" type="noConversion"/>
  </si>
  <si>
    <t>yes/90/Starting around 0:04, the stentor begins a slow but clear shortening of its body length. By the end of the video at 0:09, the distance between the "head" and the "tail" has decreased significantly, and the organism has transitioned from a more elongated trumpet-like shape to a condensed, spindle-like form. This follows the criteria for a slow contraction as described in the instructions and reference image b.jpg.</t>
  </si>
  <si>
    <t>no/0/The stentor remains in a consistent, partially extended shape throughout the entire video. While it is positioned near a glass needle and shows minor ciliary movement or slight adjustments in orientation, there is no measurable reduction in the distance between the "head" and "tail." The organism does not transition from its trumpet-like form into a condensed, ball-like, or spindle-like shape at any point from 0:00 to 0:09. Therefore, no contraction occurs.</t>
  </si>
  <si>
    <t>no/0/The stentor remains in a consistent, elongated column-like shape for the duration of the video. While there are subtle changes in its internal density and minor swaying against the debris, the distance between the "head" and the "tail" does not noticeably decrease. The organism does not transition into a condensed ball-like or spindle-like shape, indicating that no contraction behavior occurs during this 9-second interval.</t>
    <phoneticPr fontId="1" type="noConversion"/>
  </si>
  <si>
    <t>yes/95/Starting at approximately 0:04, the stentor begins a slow but clear shortening of its body length. While the organism was already in a somewhat squat trumpet shape, there is an unambiguous reduction in the distance between the "head" and the "tail" from 0:04 through 0:09, resulting in a more condensed, spindle-like shape by the end of the video. This fulfills the criteria for a slow or partial contraction as seen in the reference materials.</t>
  </si>
  <si>
    <t>no/0/The stentor remains in a condensed, oval-to-ball-like shape for the entire duration of the video. Throughout the 9-second clip, there is no transition from an extended trumpet-like form into a shorter one; rather, the organism is already in a shortened state at the start and maintains this morphology with only very minor shifting in orientation. No clear contraction event or further reduction in body length occurs.</t>
  </si>
  <si>
    <t>no/0/The stentor remains in a consistent state throughout the video. In the center-left, an extended, trumpet-like stentor is visible but stays fully elongated without any reduction in length. To its right, a second stentor is seen in a more condensed, teardrop shape; however, it does not undergo any further change in shape or size during the 9-second clip. Since neither organism transitions from an extended state to a shorter one, no contraction occurs.</t>
    <phoneticPr fontId="1" type="noConversion"/>
  </si>
  <si>
    <t>yes/100/At 0:05, the stentor in the upper portion of the frame undergoes a rapid and complete contraction. While the stentor in the lower-left remains relatively extended (though it shows some slight shape change), the one positioned above it suddenly retracts toward the debris on the right, changing from an elongated trumpet-like shape to a condensed, spindle-like form in a single frame. This is a definitive contraction.</t>
  </si>
  <si>
    <r>
      <t>yes/100/At </t>
    </r>
    <r>
      <rPr>
        <b/>
        <sz val="12"/>
        <color rgb="FF000000"/>
        <rFont val="Arial"/>
        <family val="2"/>
      </rPr>
      <t>0:05</t>
    </r>
    <r>
      <rPr>
        <sz val="12"/>
        <color rgb="FF000000"/>
        <rFont val="Arial"/>
        <family val="2"/>
      </rPr>
      <t>, the stentor undergoes a rapid and complete contraction. From </t>
    </r>
    <r>
      <rPr>
        <b/>
        <sz val="12"/>
        <color rgb="FF000000"/>
        <rFont val="Arial"/>
        <family val="2"/>
      </rPr>
      <t>0:00 to 0:04</t>
    </r>
    <r>
      <rPr>
        <sz val="12"/>
        <color rgb="FF000000"/>
        <rFont val="Arial"/>
        <family val="2"/>
      </rPr>
      <t>, the organism is visible in an elongated, trumpet-like state extending diagonally across the frame. Between frames </t>
    </r>
    <r>
      <rPr>
        <b/>
        <sz val="12"/>
        <color rgb="FF000000"/>
        <rFont val="Arial"/>
        <family val="2"/>
      </rPr>
      <t>0:04 and 0:05</t>
    </r>
    <r>
      <rPr>
        <sz val="12"/>
        <color rgb="FF000000"/>
        <rFont val="Arial"/>
        <family val="2"/>
      </rPr>
      <t>, it suddenly retracts toward the right side of the frame, significantly shortening its body length and assuming a more condensed, spindle-like form. This sudden reduction in length is a definitive example of a quick contraction.</t>
    </r>
  </si>
  <si>
    <t>no/0/The stentor remains in a condensed, ball-like state throughout the entire video. While it is visible near the center and shows minor movement against the surrounding debris, it does not transition from an extended trumpet-like form into a contracted one. Since the organism is already in its shortest form at the start and does not exhibit any further clear reduction in length, no contraction occurs within the duration of this clip.</t>
  </si>
  <si>
    <t>no/0/Throughout the video, multiple stentors are visible, but they remain in condensed, oval, or ball-like shapes within the debris. From 0:00 to 0:09, there is no transition from an extended trumpet-like form into a shorter one for any of the visible organisms. While there is minor shifting and movement due to the surrounding environment and ciliary activity, none of the stentors exhibit a clear reduction in body length during the clip. Therefore, no contraction is observed.</t>
  </si>
  <si>
    <t>no/0/The stentor remains in a condensed, ball-like state throughout the entire video. While there is slight movement and a change in the orientation of the organism, it does not transition from an extended trumpet-like shape to a contracted one. Since the organism is already in its shortest form at the start and does not exhibit any further clear reduction in length, no contraction occurs within the duration of this clip.</t>
    <phoneticPr fontId="1" type="noConversion"/>
  </si>
  <si>
    <t>no/0/The stentor remains in a condensed, oval-to-pear-like shape for the entire duration of the video. Throughout the 9-second clip, the organism is seen swimming or drifting through the frame already in a shortened state. There is no transition from an elongated, trumpet-like form into a shorter one, and the distance between the "head" and the "tail" does not noticeably decrease further. Because the organism maintains its condensed morphology without a distinct contraction event, no contraction is recorded.</t>
  </si>
  <si>
    <t>no/0/Throughout the entire duration of the video (0:00 to 0:09), the stentor remains in a relatively consistent state. While it shifts its position slightly and its cilia are active, there is no discernible shortening of the body length or transition into a ball-like or spindle-like shape. The distance between the "head" and "tail" does not decrease, and the organism maintains its extended, pear-shaped morphology without any sudden or slow contraction events.</t>
  </si>
  <si>
    <t>yes/95/At approximately 0:02 s, the stentor undergoes a rapid and complete contraction, transitioning from its extended trumpet-like shape into a condensed, ball-like form. The "head" moves significantly closer to the "tail" near the debris at the bottom. Following this quick contraction, the organism begins to slowly re-extend, appearing partially recovered by the end of the video.</t>
  </si>
  <si>
    <t>no/15/Throughout the video, the stentor maintains a relatively consistent body length and does not exhibit a contraction into a ball-like or spindle-like shape. While there is a slight amount of body wall movement and ciliary activity—and the organism's orientation shifts slightly—the distance between the "head" and the "tail" attachment point does not show a clear or measurable reduction. It remains in an extended, trumpet-like state for the full 9 seconds.</t>
  </si>
  <si>
    <t>yes/98/At approximately 0:03, the stentor undergoes an extremely rapid contraction, disappearing from its extended trumpet-like position and pulling toward its "tail" attachment point at the bottom left. By 0:04, the organism is no longer in the extended state and has condensed into a ball-like shape partially obscured by the surrounding debris and beads.</t>
  </si>
  <si>
    <t>yes/96/At approximately 0:05, the stentor undergoes a rapid and sudden contraction. It transitions from its fully extended trumpet shape into a condensed, ball-like form tucked into the debris at the bottom left. This contraction happens within a single frame and the organism remains in its shortened state for the remainder of the video.</t>
  </si>
  <si>
    <t>yes/98/At approximately 0:06, the stentor undergoes a rapid, high-magnitude contraction. It transitions instantly from a fully extended trumpet-like state to a condensed, ball-like shape that is pulled down toward the attachment point in the debris. The organism remains in this contracted state for the remainder of the video.</t>
  </si>
  <si>
    <t>yes/99/At approximately 0:05, the stentor undergoes an extremely rapid and complete contraction. It transitions from its fully extended trumpet shape into a tight, ball-like form that pulls down toward the lower-left corner of the frame. The organism remains in this condensed state for the duration of the video.</t>
  </si>
  <si>
    <t>yes/97/At approximately 0:04, the primary stentor in the center of the frame undergoes a rapid contraction, pulling back toward the debris on the left. A second stentor visible below it also appears to contract simultaneously. Both organisms transition from their extended trumpet-like forms into condensed shapes that remain tucked against the substrate for the rest of the video.</t>
  </si>
  <si>
    <t>yes/98/At approximately 0:05, the stentor undergoes a rapid and high-magnitude contraction. It transitions from a fully extended, elongated state to a condensed, ball-like shape tucked against the debris on the right side of the frame. The organism remains in this shortened, contracted state for the remainder of the video.</t>
  </si>
  <si>
    <t>yes/97/At approximately 0:05, the stentor undergoes a rapid and high-magnitude contraction. It transitions from its fully extended, trumpet-like form into a condensed, spindle-shaped body pulled down toward the debris in the lower left. The organism remains in this shortened state for the duration of the video.</t>
  </si>
  <si>
    <t>yes/99/At approximately 0:04, the stentor undergoes a rapid, high-magnitude contraction. It transitions instantly from its fully extended trumpet-like form to a condensed, ball-like shape that is pulled down toward the debris at the bottom of the frame. The organism remains in this contracted state for the remainder of the video.</t>
  </si>
  <si>
    <t>yes/98/At approximately 0:01, the stentor undergoes a very rapid contraction into a ball-like shape, followed by an immediate but partial re-extension. However, at approximately 0:05, a second, complete contraction occurs where the organism fully retracts toward its attachment point behind the glass needle and remains condensed for the rest of the video.</t>
  </si>
  <si>
    <t>yes/99/At approximately 0:04, the stentor undergoes a rapid, high-magnitude contraction. It transitions instantly from its fully extended trumpet-like form to a condensed, ball-like shape that is pulled down toward the lower-left corner of the frame. The organism remains in this contracted state for the remainder of the video.</t>
  </si>
  <si>
    <t>yes/98/At approximately 0:04, the stentor positioned in the lower-left quadrant undergoes a rapid, high-magnitude contraction. It transitions instantly from its extended trumpet-like form into a condensed, ball-like shape that is pulled down toward the debris at the bottom left of the frame. The organism remains in this contracted state for the remainder of the video.</t>
    <phoneticPr fontId="1" type="noConversion"/>
  </si>
  <si>
    <t>yes/98/At approximately 0:04, the primary stentor in the center of the frame undergoes a rapid, high-magnitude contraction. It transitions from its fully extended trumpet-like form into a condensed, ball-like shape that pulls down toward the debris at the bottom of the frame. The organism remains in this contracted state for the duration of the video.</t>
  </si>
  <si>
    <t>yes/98/At approximately 0:04, the stentor undergoes a rapid and high-magnitude contraction. It transitions instantly from its fully extended trumpet-like shape into a condensed, ball-like form pulled down toward the lower-left corner of the frame. The organism remains in this contracted state for the remainder of the video.</t>
  </si>
  <si>
    <t>yes/98/At approximately 0:05, the stentor undergoes a rapid, high-magnitude contraction. It transitions from an extended, elongated state to a condensed, ball-like shape that pulls back toward the debris at the top left of the frame. The organism remains in this shortened, contracted state for the remainder of the video.</t>
  </si>
  <si>
    <t>yes/99/At approximately 0:04, the stentor undergoes a rapid and extreme contraction. It transitions from a highly elongated, curved trumpet shape to a condensed, bean-like shape in a single frame. The organism remains in this contracted, ball-like state near the bottom-right debris for the duration of the video.</t>
  </si>
  <si>
    <t>yes/98/At approximately 0:01, the stentor undergoes a rapid and high-magnitude contraction. It transitions from its fully extended, trumpet-like state to a condensed, ball-like shape that is pulled down toward the lower-left corner of the frame. The organism remains in this contracted state for the remainder of the video.</t>
  </si>
  <si>
    <t>yes/98/At approximately 0:05, the stentor undergoes a rapid, high-magnitude contraction. It transitions instantly from its fully extended trumpet-like form to a condensed, ball-like shape that pulls down toward the debris in the lower-left quadrant of the frame. The organism remains in this contracted state for the remainder of the video.</t>
  </si>
  <si>
    <t>yes/100/At approximately 0:04, the stentor begins a rapid movement, and by 0:05, it has completely transitioned from an extended, trumpet-like shape to a condensed, ball-like shape tucked away near the debris. This quick change in body length and morphology is a definitive example of a typical contraction.</t>
  </si>
  <si>
    <r>
      <t>yes/100/At approximately </t>
    </r>
    <r>
      <rPr>
        <b/>
        <sz val="12"/>
        <color rgb="FF000000"/>
        <rFont val="Arial"/>
        <family val="2"/>
      </rPr>
      <t>0:05</t>
    </r>
    <r>
      <rPr>
        <sz val="12"/>
        <color rgb="FF000000"/>
        <rFont val="Arial"/>
        <family val="2"/>
      </rPr>
      <t>, the stentor undergoes a rapid and dramatic change in morphology, transitioning from an extended trumpet-like shape to a condensed, ball-like shape. This behavior matches the typical contraction profile where the distance between the "head" and "tail" is minimized almost instantly.</t>
    </r>
  </si>
  <si>
    <t>yes/100/At approximately 0:05, the stentor undergoes a rapid contraction, shifting from an extended trumpet-like shape to a condensed, ball-like shape. This quick transition significantly reduces the distance between the "head" and "tail" , representing a definitive contraction behavior.</t>
  </si>
  <si>
    <t>yes/100/Between 0:03 and 0:04, the stentor exhibits a rapid contraction. It transitions from an extended, trumpet-like shape where the distance between the "head" and "tail" is at a maximum to a condensed, ball-like shape. This quick change in morphology, occurring in approximately one frame, is a definitive characteristic of a typical contraction.</t>
  </si>
  <si>
    <t>yes/100/At approximately 0:04 to 0:05, the stentor undergoes a rapid transition from an extended trumpet-like shape to a condensed, ball-like shape. This quick change, occurring in about one subsampled frame, is a definitive contraction behavior.</t>
  </si>
  <si>
    <t>yes/98/The stentor starts the video in a fully extended, trumpet-like shape. At approximately second 00:03, it undergoes a rapid contraction , pulling its "head" toward its "tail" and transforming into a condensed, ball-like shape. This behavior aligns with the primary definition of a contraction provided in the instructions.</t>
  </si>
  <si>
    <t>yes/100/At approximately 0:04, the stentor exhibits a sudden and rapid contraction, changing from an extended trumpet shape to a condensed, ball-like shape by the 0:05 mark. This rapid reduction in body length is a classic example of a typical contraction behavior.</t>
  </si>
  <si>
    <t>yes/100/At approximately 0:04, the stentor undergoes a rapid contraction. It transitions from its fully extended trumpet-like shape to a condensed, ball-like shape by 0:05. This quick reduction in the distance between the "head" and "tail" constitutes a definitive contraction behavior.</t>
  </si>
  <si>
    <t>yes/100/At approximately 0:04 to 0:05, the stentor undergoes a rapid transition from an extended trumpet-like shape to a condensed, ball-like shape tucked near the debris. This sudden reduction in body length, where the distance between the "head" and "tail" is minimized , constitutes a definitive contraction.</t>
  </si>
  <si>
    <t>yes/100/At approximately 0:04, the stentor exhibits a rapid contraction. It transitions from its fully extended trumpet-like shape where the distance between the "head" and "tail" is at a maximum to a condensed, ball-like shape by 0:05. This quick change in morphology is a definitive example of a typical contraction.</t>
  </si>
  <si>
    <t>yes/100/At 00:03, the stentor is in an extended, trumpet-like "resting" state. Between 00:03 and 00:04, it rapidly pulls its "head" toward its "tail," completing a typical quick contraction within a single subsampled frame. By 00:04, the organism has transformed into a condensed, ball-like shape. Therefore, a contraction occurs.</t>
  </si>
  <si>
    <t>yes/100/At 00:00, the stentor is visible in an extended state with its "head" clearly defined. Between 00:03 and 00:04, it undergoes a rapid contraction, pulling its head toward its tail until it forms a condensed, ball-like shape. By 00:04, the organism has fully retracted into the surrounding debris, completing a typical quick contraction within one or two frames. Therefore, a contraction occurs.</t>
  </si>
  <si>
    <t>yes/100/From 00:00 to 00:04, the stentor is fully extended in its trumpet-like "resting" shape. Between 00:04 and 00:05, the organism undergoes a rapid change, with the "head" pulling toward the "tail" within a single subsampled frame. By 00:05, the stentor has condensed into a ball-like shape, which is the defining characteristic of a contraction. Therefore, a contraction occurs.</t>
  </si>
  <si>
    <t>Gemini</t>
    <phoneticPr fontId="1" type="noConversion"/>
  </si>
  <si>
    <t>6g</t>
    <phoneticPr fontId="1" type="noConversion"/>
  </si>
  <si>
    <t>26 selected "hard", prompt 6 with scores Qwen</t>
    <phoneticPr fontId="1" type="noConversion"/>
  </si>
  <si>
    <t>26 selected "hard", prompt 6 with scores Gemini</t>
    <phoneticPr fontId="1" type="noConversion"/>
  </si>
  <si>
    <t>yes/100/At 0.05 s, the stentor rapidly changes from its extended trumpet-like shape to a condensed form that disappears into the nearby debris. This rapid shortening significantly reduces the distance between the "head" and "tail," meeting the criteria for a typical contraction.</t>
  </si>
  <si>
    <t>yes/95/At approximately 0.04 s, the stentor begins to change from a spindle-like shape to a more condensed, ball-like shape. This measurable shortening of the body length and reduction in the distance between the "head" and "tail" constitutes a contraction. The process is completed by 0.06 s, resulting in a clearly condensed form.</t>
  </si>
  <si>
    <t>yes/100/At 0.01 s, the stentor begins a rapid contraction, shifting from its extended trumpet-like shape into a condensed, ball-like shape by 0.02 s. This sudden shortening significantly reduces the distance between the "head" and "tail" , which constitutes a definitive contraction according to the provided behavior criteria.</t>
  </si>
  <si>
    <t>yes/100/At 0.05 s, the stentor rapidly changes from an extended trumpet shape to a condensed form. This sudden shortening significantly reduces the distance between the "head" and "tail" as it disappears into the debris, which constitutes a typical contraction.</t>
  </si>
  <si>
    <t>yes/100/At 0.04 s, the stentor undergoes a rapid contraction , transitioning from its extended trumpet-like "resting" shape into a condensed, ball-like shape that settles into the debris. This quick motion results in a clear and measurable shortening of the body length , which constitutes a definitive contraction according to the provided behavior criteria.</t>
  </si>
  <si>
    <t>yes/100/At 0.04 s, the stentor undergoes a rapid contraction, transitioning from an extended trumpet-like shape into a condensed, spindle-like form. This sudden movement results in a clear and measurable shortening of the body length , which constitutes a definitive contraction according to the provided behavior criteria.</t>
  </si>
  <si>
    <t>yes/100/At 0.04 s, the stentor undergoes a rapid contraction, transitioning from its extended trumpet-like shape into a condensed, ball-like shape. This sudden movement results in a clear and measurable shortening of the body length , which constitutes a definitive contraction according to the provided behavior criteria.</t>
  </si>
  <si>
    <t>yes/100/At 0.05 s, the stentor undergoes a rapid contraction , transitioning from an extended trumpet-like shape to a condensed, ball-like form that pulls away from the center of the frame. This sudden movement results in a clear and measurable shortening of the body length , which constitutes a definitive contraction according to the provided behavior criteria.</t>
  </si>
  <si>
    <t>yes/100/At 0.05 s, the stentor undergoes a rapid contraction, transitioning from its extended trumpet-like shape into a condensed, ball-like shape. This sudden movement results in a clear and measurable shortening of the body length , which constitutes a definitive contraction according to the provided behavior criteria.</t>
  </si>
  <si>
    <t>yes/100/At 0.04 s, the stentor undergoes a rapid and definitive contraction. It transitions from an extended, trumpet-like shape into a condensed, ball-like shape. This behavior involves a clear and measurable shortening of the body length , which constitutes a contraction according to the provided criteria.</t>
  </si>
  <si>
    <t>yes/100/At 0.04 s, the stentor undergoes a rapid contraction , transitioning from an extended trumpet-like shape into a condensed, ball-like shape. This sudden movement results in a clear and measurable shortening of the body length , which constitutes a definitive contraction according to the provided behavior criteria.</t>
  </si>
  <si>
    <t>yes/100/At 0.04 s, the stentor in the lower half of the frame undergoes a rapid contraction, shifting from an extended trumpet shape to a condensed, spindle-like form. This sudden movement results in a clear and measurable shortening of the body length , which constitutes a definitive contraction according to the behavior criteria.</t>
  </si>
  <si>
    <t>yes/100/At 0.04 s, the stentor undergoes a rapid contraction, transitioning from its extended trumpet-like shape into a condensed, spindle-like form. This sudden movement results in a clear and measurable shortening of the body length and a reduction in the distance between the "head" and "tail," which constitutes a definitive contraction according to the provided behavior criteria.</t>
  </si>
  <si>
    <t>yes/100/At 0.06 s, the stentor undergoes a rapid and definitive contraction. It transitions from an extended, trumpet-like shape into a condensed, ball-like form. This behavior involves a clear and measurable shortening of the body length , which constitutes a contraction according to the provided behavior criteria.</t>
  </si>
  <si>
    <t>yes/100/At 0.04 s, the stentor undergoes a rapid contraction, transitioning from its extended trumpet-like shape into a condensed, ball-like form. This sudden movement results in a clear and measurable shortening of the body length and a reduction in the distance between the "head" and "tail," which constitutes a definitive contraction according to the provided behavior criteria.</t>
  </si>
  <si>
    <t>yes/100/At the beginning of the video (0-3s), the stentor is in an extended, trumpet-like shape. At approximately 4s, the organism undergoes a rapid and sudden contraction, pulling its "head" toward its "tail" and transforming into a condensed, ball-like shape. It remains in this contracted state for the duration of the video (4-9s).</t>
  </si>
  <si>
    <t>yes/100/Throughout the first four seconds of the video, the stentor remains in an extended, trumpet-like shape. At approximately 00:05, the organism undergoes a rapid and complete contraction, transitioning from its extended state to a condensed, ball-like shape. This behavior matches the typical contraction pattern where the distance between the "head" and "tail" is minimized almost instantaneously.</t>
  </si>
  <si>
    <t>yes/100/The stentor is initially observed in a fully extended, trumpet-like shape from 00:00 to 00:04. At approximately 00:05, it undergoes a rapid and sudden contraction, pulling its "head" toward its "tail". By 00:06, the organism has completely transitioned into a condensed, ball-like shape. This behavior constitutes a clear and unambiguous contraction.</t>
  </si>
  <si>
    <t>yes/100/The stentor begins the video in an extended trumpet-like shape, which is visible from 00:00 to 00:04. At approximately 00:05, the organism undergoes a rapid contraction. By 00:06, it has successfully transitioned into a condensed, ball-like shape where the distance between the "head" and "tail" is at a minimum. This transformation from an extended state to a condensed state confirms that a contraction occurred.</t>
  </si>
  <si>
    <t>Gemini_score</t>
  </si>
  <si>
    <t>Gemini_judge</t>
  </si>
  <si>
    <t>filename</t>
  </si>
  <si>
    <t>response</t>
  </si>
  <si>
    <t>no/0/In all provided frames, the stentor maintains a consistently extended trumpet shape with no observable shortening or condensation into a ball-like form. The definition requires a change from extended to condensed, but none of the frames exhibit this transition. Thus, no contraction is observed.</t>
  </si>
  <si>
    <t>no/0/The stentor consistently maintains an extended, trumpet-like shape across all frames with no visible shortening or condensation into a ball-like or condensed form. Therefore, no contraction is observed.</t>
  </si>
  <si>
    <t>no/0/The stentor maintains an extended trumpet-like shape across all frames without any measurable shortening of body length or transition to a condensed, ball-like shape. Therefore, no contraction is observed.</t>
  </si>
  <si>
    <t>yes/85/The stentor transitions from an extended trumpet-like shape to a condensed state in the video, indicating a contraction as defined.</t>
  </si>
  <si>
    <t>no/0/All frames depict the stentor in an extended trumpet-like shape with no observable shortening of body length or transition to a condensed/ball-like form. The stentor maintains its characteristic extended morphology throughout the provided frames, indicating no contraction behavior occurs.</t>
  </si>
  <si>
    <t>no/0/The stentor remains consistently elongated throughout all frames, maintaining a trumpet-like shape without any noticeable shortening or condensation into a ball-like form. No frame shows a measurable decrease in body length or transition to a condensed shape, so contraction does not occur.</t>
  </si>
  <si>
    <t>no/0/In all provided frames, the stentor maintains an extended, trumpet-like shape without any noticeable shortening or transition to a condensed/ball-like form. There is no visual evidence of the stentor changing from an extended state to a condensed state, which is required for a contraction. The organisms shape remains consistent across all frames, so no contraction is observed.</t>
  </si>
  <si>
    <t>yes/95/The stentor visibly shortens its body length (distance between head and tail) across multiple frames, transitioning from an extended trumpet shape to a more condensed form without becoming fully spherical. This measurable shortening meets the definition of a contraction as it involves a clear decrease in body length.</t>
  </si>
  <si>
    <t>no/0/All provided frames show the stentor maintaining an extended trumpet-like shape with no visible shortening, condensation, or transition to a ball-like form. Since the video consists of identical frames across all subsampled images, there is no evidence of contraction occurring at any point.</t>
  </si>
  <si>
    <t>no/0/In all provided frames, the stentor maintains its extended, trumpet-like shape with no visible shortening or condensation into a ball-like form. The organism consistently appears elongated throughout the sequence, with no evidence of the shape change defining a contraction as per the given definition. Therefore, no contraction is observed.</t>
  </si>
  <si>
    <t>yes/85/In the sequence of frames, the stentor transitions from an extended trumpet-like shape to a condensed form with measurable shortening of its body length, meeting the definition of contraction (even partial shortening counts). The progression from elongated to more compact morphology across multiple frames confirms contraction behavior.</t>
  </si>
  <si>
    <t>no/0/None of the frames show the stentor changing from an extended trumpet-like shape to a condensed or ball-like shape. The stentor maintains a consistent elongated form across all frames, with no measurable shortening of body length or transition to a condensed shape as required for a contraction.</t>
  </si>
  <si>
    <t>no/0/The stentor maintains an extended trumpet-like shape across all frames without any measurable shortening or condensation into a ball-like form, consistent with the definition of contraction.</t>
  </si>
  <si>
    <t>no/0/The video frames show the stentor maintaining an extended, trumpet-like shape without any visible shortening or condensation into a ball-like form. There are no frames where the distance between the head and tail decreases noticeably or where the organism transitions to a condensed state, so no contraction occurs.</t>
  </si>
  <si>
    <t>yes/85/In the video sequence, the stentor exhibits a noticeable shortening of its body length, transitioning from an extended trumpet-like shape to a condensed form. This partial shortening, where the distance between the head and tail decreases measurably, qualifies as a contraction under the provided definition (even if not fully spherical). The rapid change (consistent with typical stentor contraction behavior) is observed in the sequence, confirming the contraction occurs.</t>
  </si>
  <si>
    <t>no/0/No visible change from an extended trumpet shape to a condensed, ball-like shape or measurable shortening of the stentor's body length is observed in any of the provided frames. The stentor maintains a consistent elongated form throughout the sequence, with no evidence of contraction as defined.</t>
  </si>
  <si>
    <t>no/0/The provided frames consistently show the stentor in an extended, trumpet-like shape without any visible shortening or condensation into a ball-like form. No frame depicts the transition from extended to condensed morphology, which is required for a contraction.</t>
  </si>
  <si>
    <t>no/0/None of the frames show the stentor changing from an extended trumpet shape to a condensed or shorter form; it maintains its extended morphology throughout the sequence, so no contraction is observed.</t>
  </si>
  <si>
    <t>no/0/The provided frames consistently show the stentor in an extended trumpet-like shape with no visible shortening, ball-like condensation, or measurable decrease in body length between the head and tail. There is no evidence of any contraction behavior across the video sequence.</t>
  </si>
  <si>
    <t>no/0/In all provided frames, the stentor maintains an extended, trumpet-like shape without any visible shortening or transition to a condensed, ball-like form. There is no evidence of the characteristic contraction behavior (change from extended to condensed shape) across the subsampled frames.</t>
  </si>
  <si>
    <t>no/0/The stentor remains in an extended trumpet-like shape throughout all frames, with no observable shortening of the body length or transition to a condensed, ball-like shape. Therefore, no contraction is observed.</t>
  </si>
  <si>
    <t>no/0/The stentor remains in an extended, trumpet-like shape across all frames; there is no visible shortening or transition to a condensed, ball-like form. Therefore, no contraction is observed.</t>
  </si>
  <si>
    <t>no/0/No contraction observed in the video. The stentor maintains a consistent extended trumpet-like shape across all frames; there is no measurable shortening of the body length or transition to a condensed, ball-like form. The organism remains in a steady extended state throughout the sequence.</t>
  </si>
  <si>
    <t>no/0/The stentor maintains an extended trumpet-like shape across all frames with no visible shortening or condensation into a ball-like form. There is no evidence of the characteristic shape change defining a contraction.</t>
  </si>
  <si>
    <t>no/0/The stentor maintains a consistent elongated, trumpet-like shape throughout all frames; there is no observable shortening of the body length or transition to a condensed, ball-like shape, which is required for a contraction.</t>
  </si>
  <si>
    <t>yes/95/In the video, the stentor transitions from an extended trumpet-like shape to a shorter, condensed form across multiple frames. The change in body length (distance between head and tail) is measurable, satisfying the definition of contraction (even if not fully spherical). The progression from extended to condensed shape across the subsampled frames demonstrates a clear contraction event.</t>
  </si>
  <si>
    <t>no/0/In all provided frames, the stentor maintains an extended, trumpet-like shape without transitioning to a condensed or ball-like form. There is no evidence of shortening or changing from the extended state to a contracted state, so contraction does not occur.</t>
  </si>
  <si>
    <t>no/0/No contraction observed across all frames; the stentor maintains an extended trumpet-like shape with no measurable shortening or transition to a condensed form.</t>
  </si>
  <si>
    <t>no/0/The stentor remains in an extended, trumpet-like shape throughout all frames, with no visible shortening of body length or transition to a condensed, ball-like form. Therefore, no contraction is observed.</t>
  </si>
  <si>
    <t>yes/85/The stentor transitions from an extended trumpet-like shape to a condensed, shorter form in the sequence of frames, meeting the definition of contraction (shortening of body length without requiring a fully spherical shape). The change is observable across multiple frames, indicating a contraction event.</t>
  </si>
  <si>
    <t>no/0/All frames show the stentor maintaining a consistent extended trumpet-like shape with no visible shortening or condensation into a ball-like form. The distance between the "head" (tip) and "tail" (bulbous end) remains unchanged across all subsampled frames, indicating no contraction behavior occurred.</t>
  </si>
  <si>
    <t>no/0/The stentor consistently maintains an extended trumpet shape across all frames, with no observable shortening or condensation into a ball-like form, which is required for a contraction.</t>
  </si>
  <si>
    <t>no/0/Across all frames, the stentor consistently maintains an extended, trumpet-like shape with no visible shortening or condensation into a ball-like form. There is no evidence of the stentor changing from an extended shape to a condensed one, as required for a contraction.</t>
  </si>
  <si>
    <t>no/0/All visible frames of the stentor show it in its typical extended trumpet shape, with no evidence of shortening or condensation into a ball-like form. The definition of contraction requires a change from extended to condensed, which is not observed in any of the clear, non-blurred frames. The blurred frames at the end are not part of the stentors behavior in the context of this task and do not indicate contraction.</t>
  </si>
  <si>
    <t>no/0/The stentor maintains an extended, trumpet-like shape across all frames, with no visible shortening or transition to a condensed/ball-like form. Therefore, no contraction occurs.</t>
  </si>
  <si>
    <t>yes/95/The stentor transitions from an extended trumpet-like shape to a shorter, condensed form across the frames, exhibiting measurable shortening of its body length (consistent with the definition of contraction, including partial/ incomplete contractions).</t>
  </si>
  <si>
    <t>no/0/All frames show the stentor in an extended, trumpet-like shape with no observable shortening or transition to a condensed/ball-like form. No contraction behavior is present across the provided frames.</t>
  </si>
  <si>
    <t>no/0/No contraction is observed; the stentor maintains an extended trumpet-like shape throughout all frames, with no measurable shortening or transition to a condensed, ball-like form as defined by the contraction behavior.</t>
  </si>
  <si>
    <t>no/0/In all provided frames, the stentor maintains a consistent extended shape resembling a trumpet with no measurable shortening of body length or transition to a condensed, ball-like form. The absence of any visible change from extended to condensed morphology across all frames indicates no contraction occurs.</t>
  </si>
  <si>
    <t>yes/90/The stentor transitions from an extended trumpet shape to a condensed form, with measurable shortening of its body length across the frames, indicating a contraction event as defined (partial shortening qualifies).</t>
  </si>
  <si>
    <t>no/0/The stentor remains in an extended, trumpet-like shape across all frames, showing no measurable shortening or condensation into a ball-like form. No contraction behavior is observed.</t>
  </si>
  <si>
    <t>yes/90/The stentor transitions from an extended trumpet shape in initial frames to a condensed form with reduced body length and a more spherical appearance in subsequent frames, indicating a contraction as defined by shortening from extended to condensed state.</t>
  </si>
  <si>
    <t>no/0/The video frames consistently show the stentor in an extended, trumpet-like shape with no observable shortening or condensation into a ball-like form across all provided frames. There is no evidence of the stentor transitioning from an extended state to a condensed state, as required by the contraction definition.</t>
  </si>
  <si>
    <t>yes/85/In several frames, the stentor displays a condensed shape with a noticeably reduced body length compared to initial extended frames, indicating a contraction. The stentor's body shortens, transitioning from a trumpet-like extension to a more compact form, which aligns with the definition of contraction even if it is partial.</t>
  </si>
  <si>
    <t>no/0/The stentor in all frames maintains an extended, trumpet-like shape with no visible shortening or transition to a condensed/ball-like form. The bubbly structure (stentor) remains consistent across frames without evidence of contraction, and there are no frames showing a measurable decrease in body length or a spherical shape.</t>
  </si>
  <si>
    <t>no/0/The stentor remains in an extended trumpet-like shape throughout all visible frames, showing no measurable shortening or transition to a condensed or ball-like form. There is no evidence of the organism changing from an extended shape to a condensed one as defined by the contraction criteria.</t>
  </si>
  <si>
    <t>yes/85/In multiple frames, the stentor transitions from an extended trumpet-like shape to a condensed form, with a noticeable shortening of body length between frames. This meets the definition of contraction as a measurable shortening of the stentors body, even if not fully spherical. The change is consistent across several frames, indicating a contraction behavior.</t>
  </si>
  <si>
    <t>no/0/All frames depict the stentor in an extended, trumpet-shaped form with no visible shortening of body length or transition to a condensed/ball-like shape. The organism consistently maintains its elongated structure across all subsampled frames, and no evidence of contraction (per definition) is present in the video.</t>
  </si>
  <si>
    <t>no/0/No contraction is observed. The stentor maintains an extended shape throughout all frames, with no measurable shortening of the body (distance between head and tail) or transition to a condensed/ball-like form. The images show consistent elongation without evidence of contraction.</t>
  </si>
  <si>
    <t>yes/85/The stentor visibly transitions from an extended trumpet shape to a shorter, more condensed form across multiple frames, indicating a contraction as defined by the reduction in body length (even without full sphericity).</t>
  </si>
  <si>
    <t>no/0/None of the frames show the stentor transitioning from an extended trumpet shape to a condensed ball-like shape or exhibiting measurable shortening of its body length. The organism maintains a consistently extended shape throughout the video, without any evidence of contraction behavior.</t>
  </si>
  <si>
    <t>no/0/The stentor in all frames maintains its extended, trumpet-like shape without any visible shortening or condensation into a ball-like form. No change from the extended shape to a condensed state is observed across the subsampled frames.</t>
  </si>
  <si>
    <t>no/0/The stentor maintains a consistent extended trumpet-like shape across all video frames, with no observable shortening of the body length or transition to a condensed, ball-like shape. There is no evidence of the stentor changing from an extended form to a contracted state.</t>
  </si>
  <si>
    <t>no/0/The stentor maintains an extended trumpet-like shape throughout all frames, with no observable shortening of body length or transition to a condensed, ball-like form. Therefore, no contraction is observed.</t>
  </si>
  <si>
    <t>no/0/The stentor remains in an extended, trumpet-like shape across all provided frames, showing no measurable shortening or transition to a condensed, ball-like form. Therefore, no contraction is observed.</t>
  </si>
  <si>
    <t>no/0/In all provided frames, the stentor maintains a consistent trumpet-shaped extended form (head with bulbous structure and elongated body) with no evidence of shortening or condensation into a ball-like shape. The organism's length and shape remain unchanged across the frames, so no contraction occurs./contraction score</t>
  </si>
  <si>
    <t>yes/85/In some frames, the stentor's body length decreases noticeably, indicating a contraction from its extended trumpet shape to a condensed state. Therefore, contraction occurs.</t>
  </si>
  <si>
    <t>no/0/After examining all frames, the stentor maintains an extended trumpet-like shape throughout with no visible shortening of the body or transition to a condensed ball-like shape. There is no evidence of contraction in any frame.</t>
  </si>
  <si>
    <t>yes/85/The left stentor transitions from an extended trumpet shape (e.g., in early frames) to a condensed, rounded shape (evident in later frames), meeting the definition of contraction (shortening from extended to condensed form). The change is observable across subsampled frames, with the stentor visibly shortening during the sequence.</t>
  </si>
  <si>
    <t>no/0/All frames show the stentor as a consistently dark circular shape (condensed state), with no evidence of an extended trumpet-like shape from which a contraction would occur. Since contraction requires a change from extended to condensed and the stentor remains condensed throughout, no contraction is observed.</t>
  </si>
  <si>
    <t>no/0/The video frames show a consistent stentor shape without any observable change from an extended trumpet-like form to a condensed or ball-like shape, nor any measurable shortening of the body length across the subsampled frames. There is no evidence of contraction behavior in the provided visual evidence.</t>
  </si>
  <si>
    <t>no/0/The stentor consistently maintains an extended, trumpet-like shape across all provided frames with no observable shortening or transition to a condensed, ball-like form, indicating no contraction occurs.</t>
  </si>
  <si>
    <t>no/0/The stentor in all frames maintains an extended, trumpet-like shape with no visible shortening or condensation into a ball-like form. There is no evidence of the stentor changing from an extended shape to a condensed one, as required by the contraction definition.</t>
  </si>
  <si>
    <t>no/0/The stentor maintains an extended trumpet-like shape across all frames, with no observable shortening or condensation into a ball-like form. There is no evidence of the stentor changing from an extended shape to a condensed state at any point in the video.</t>
  </si>
  <si>
    <t>no/0/The stentor maintains an extended, trumpet-like shape throughout all frames with no observable shortening, condensation, or transition to a ball-like form. Thus, no contraction behavior is present.</t>
  </si>
  <si>
    <t>no/0/The stentor remains consistently in an extended trumpet shape across all frames with no observable shortening or transition to a condensed state. No evidence of contraction (change from extended to condensed/ball-like shape) is present in the video.</t>
  </si>
  <si>
    <t>no/0/The stentor remains in an extended trumpet-like shape across all subsampled frames, with no observable shortening or transition to a condensed, ball-like shape. Thus, no contraction behavior is present.</t>
  </si>
  <si>
    <t>no/0/None of the frames show the stentor changing from an extended trumpet shape to a condensed or shortened state (e.g., ball-like or measurable shortening). The stentor consistently maintains its extended shape throughout the visible frames, so no contraction occurs.</t>
  </si>
  <si>
    <t>no/0/The stentor maintains an extended trumpet-like shape throughout all visible frames; there is no observable shortening or transition to a condensed, ball-like shape at any point.</t>
  </si>
  <si>
    <t>yes/75/In multiple frames, the stentor exhibits a noticeable shortening of its body length compared to the extended trumpet shape, indicating a contraction. While not fully spherical in all instances, the measurable shortening of the distance between the head and tail aligns with the definition of a contraction (partial shortening). The visual evidence across the subsampled frames shows this behavioral shift.</t>
  </si>
  <si>
    <t>no/0/All frames in the video show the stentor in the same extended (trumpet-like) shape with no observable shortening or condensation into a ball-like form. Since there is no change in shape across the subsampled frames, the definition of contraction (a change from extended to condensed shape) is not met. Therefore, no contraction is observed.</t>
  </si>
  <si>
    <t>no/0/All frames show the stentor in a consistent extended, trumpet-like shape with no measurable shortening or transition to a condensed/ball-like form. No contraction behavior is observed across the subsampled frames.</t>
  </si>
  <si>
    <t>no/0/In all provided frames, the stentor maintains an extended trumpet shape with no measurable shortening of its body length or transition to a condensed, ball-like form. There is no visual evidence of the stentor changing from an extended shape to a condensed state, which is required for a contraction. Therefore, contraction does not occur.</t>
  </si>
  <si>
    <t>no/0/The stentor maintains a consistent extended trumpet shape across all frames with no observable shortening or transition to a ball-like shape. There are no changes in body length or form indicative of contraction (per definition: change from extended trumpet to condensed ball-like shape).</t>
  </si>
  <si>
    <t>no/0/In all provided frames, the stentor maintains an extended trumpet-like shape without any measurable shortening or transition to a condensed/ball-like form. No visible contraction behavior (e.g., reduced body length, spherical shape) occurs across the video sequence.</t>
  </si>
  <si>
    <t>no/0/The stentor's shape remains consistently extended in all frames, with no visible shortening, condensation, or transition to a ball-like form. Therefore, contraction does not occur.</t>
  </si>
  <si>
    <t>no/0/The stentor maintains an extended trumpet shape across all provided frames without any noticeable shortening or condensation into a ball-like form, indicating no contraction behavior.</t>
  </si>
  <si>
    <t>no/0/In all frames, the stentor maintains a consistent extended shape (resembling a trumpet) with no measurable shortening or transition to a condensed, ball-like form. No contraction behavior is evident across the subsampled frames.</t>
  </si>
  <si>
    <t>no/0/In all provided frames, the stentor maintains its extended, trumpet-like shape without any visible shortening or condensation into a ball-like form. There is no evidence of the stentor changing from an extended shape to a condensed one in any subsampled frame, so contraction does not occur.</t>
  </si>
  <si>
    <t>no/0/The stentor maintains a consistent elongated, trumpet-like shape across all frames with no observable shortening of the body or transition to a condensed, ball-like form. Since the definition of contraction requires a change from an extended trumpet shape to a condensed state, and no such change is present in the visual evidence, a contraction does not occur.</t>
  </si>
  <si>
    <t>no/0/The stentor maintains its extended trumpet shape throughout all provided frames, with no observable shortening of the body or transition to a condensed/ball-like form. No evidence of contraction (either complete or partial) is present in the visual evidence.</t>
  </si>
  <si>
    <t>no/0/The stentor remains consistently in an extended, trumpet-like shape throughout all provided frames, with no observable shortening of the body or transition to a condensed, ball-like form. Since contractions involve a measurable change from the extended shape to a condensed state (either fully spherical or partially shortened), and none of the frames exhibit such a change, there is no contraction observed in the video.</t>
  </si>
  <si>
    <t>no/0/The stentor maintains a consistent extended trumpet shape across all frames, showing no measurable shortening of body length or transition to a condensed, ball-like shape. Therefore, no contraction is observed.</t>
  </si>
  <si>
    <t>yes/85/The stentor transitions from an extended trumpet-like shape (evident in the initial frames) to a condensed, shorter form in subsequent frames, indicating a change in body length consistent with contraction. While not fully spherical in all frames, the measurable shortening meets the definition of a contraction.</t>
  </si>
  <si>
    <t>no/0/The stentor maintains an extended trumpet-like shape throughout all visible frames; there is no measurable shortening of the body length or transition to a condensed, ball-like shape, which is required for a contraction. The definition requires a change from extended to condensed, and none of the frames show such a transition.</t>
  </si>
  <si>
    <t>Qwen_response</t>
  </si>
  <si>
    <t>yes/85/The stentor transitions from an extended trumpet shape to a condensed shape with measurable shortening of its body length across multiple frames (e.g., comparing early frames to later frames where the distance between the head and tail decreases). This partial contraction meets the definition of a contraction as it involves a clear shortening of the organisms form, even if it doesnt fully become spherical.</t>
  </si>
  <si>
    <t>yes/100/The stentor transitions from an extended, trumpet-like shape (evident in the initial frames) to a condensed, ball-like shape (visible in later frames where the body shortens significantly, matching the definition of contraction as a measurable shortening from extended to condensed form). This transition is consistent with the behavior of stentors contracting, as the organism visibly changes from an elongated to a condensed state across the subsampled frames.</t>
  </si>
  <si>
    <t>yes/100/The stentor changes from an extended trumpet shape to a condensed shape with a measurable shortening of its body length (evident in the transition from earlier frames to later frames where the distance between head and tail decreases), meeting the definition of contraction as a clear shortening without requiring full ball-like shape.</t>
  </si>
  <si>
    <t>no/0/The stentor remains in an extended trumpet-like shape across all frames, with no visible shortening or transition to a condensed, ball-like shape. There is no evidence of the stentor changing from an extended form to a condensed one, which is required for a contraction.</t>
  </si>
  <si>
    <t>yes/75/At multiple points in the sequence, the stentor transitions from an elongated, trumpet-like shape to a more condensed form (e.g., in later frames, the body appears significantly shorter and rounded). This matches the definition of contraction, as the organism changes from an extended state to a condensed shape, even if the full ball-like form is not achieved in all frames.</t>
  </si>
  <si>
    <t>no/0/The stentor remains consistently in an extended trumpet shape across all frames. There is no visual evidence of shortening or condensation into a ball-like form, as required for a contraction. Therefore, no contraction is observed.</t>
  </si>
  <si>
    <t>yes/85/In multiple frames (e.g., comparing early frames to later frames), the stentor transitions from an extended trumpet shape to a visibly condensed form with reduced body length, indicating a contraction as defined. The shortening is measurable and consistent with stentor contraction behavior.</t>
  </si>
  <si>
    <t>yes/85/The stentor transitions from an extended trumpet shape (long neck) to a condensed form with a shorter neck and more rounded head across the sequence of frames. This measurable shortening of the body length (distance between head and tail) constitutes a contraction, as defined by the reduction in elongation and increased compactness of the organism.</t>
  </si>
  <si>
    <t>no/0/The stentor maintains an extended, trumpet-like shape throughout all frames, with no observable shortening or transition to a condensed, ball-like form. There are no frames showing a measurable decrease in body length or a spherical shape, which are required for a contraction.</t>
  </si>
  <si>
    <t>no/0/The stentor maintains an extended trumpet-like shape throughout all visible frames, with no observable shortening of the body length or transition to a condensed ball-like form. No frames show the characteristic contraction behavior defined as a change from extended to condensed shape.</t>
  </si>
  <si>
    <t>no/0/The stentor maintains an extended, trumpet-like shape throughout all frames; there is no visible change to a condensed ball-like shape or measurable shortening of body length. Thus, no contraction is observed.</t>
  </si>
  <si>
    <t>no/0/The stentor remains in an extended, trumpet-like shape across all frames; there is no visible shortening or transition to a condensed, ball-like shape.</t>
  </si>
  <si>
    <t>yes/92/The stentor transitions from an extended trumpet shape to a noticeably condensed form with a clear shortening of its body length over the sequence of frames, meeting the criteria for contraction as defined (including measurable shortening of the head-tail distance).</t>
  </si>
  <si>
    <t>yes/85/The stentor transitions from an extended trumpet shape to a condensed, shorter form (evident in the progression of frames where the body length visibly decreases), meeting the definition of contraction as a shortening of the organism's body. This partial contraction (not fully spherical but measurably shorter) qualifies as a contraction under the provided criteria.</t>
  </si>
  <si>
    <t>yes/85/The stentor transitions from an extended trumpet-like shape to a condensed, shorter form across the sequence. The body length visibly decreases (e.g., from early frames where it is elongated to later frames where it is more compact), meeting the definition of contraction as a measurable shortening, even if it doesnt fully become spherical.</t>
  </si>
  <si>
    <t>yes/80/The stentor transitions from an extended trumpet-like shape in the initial frames to a condensed, ball-like form in later frames, satisfying the definition of a contraction.</t>
  </si>
  <si>
    <t>yes/85/The stentor changes from an extended trumpet shape to a condensed form in some frames, showing a noticeable shortening of its body length (e.g., in frame 24, the stentor appears more compact than in earlier frames), meeting the definition of contraction as a measurable shortening from an extended shape.</t>
  </si>
  <si>
    <t>yes/90/The stentor undergoes a measurable shortening of its body length over the sequence of frames, transitioning from an extended trumpet-like shape to a condensed form (even without becoming fully spherical). This clear reduction in the distance between the "head" and "tail" meets the definition of a contraction.</t>
  </si>
  <si>
    <t>no/0/The stentor maintains an extended trumpet shape throughout all provided frames with no visible shortening, condensation, or transition to a ball-like form. No measurable change in body length or shape occurs consistent with contraction definition.</t>
  </si>
  <si>
    <t>yes/95/The stentor transitions from an extended trumpet-like shape (first frame) to a noticeably condensed form across subsequent frames, with a measurable shortening of its body length (distance between head and tail). This gradual shortening meets the criteria for a contraction, even if it does not fully become spherical. The consistent visual evidence of decreasing body length across multiple frames confirms the contraction behavior.</t>
  </si>
  <si>
    <t>yes/85/The stentor transitions from an extended trumpet shape to a condensed form in the video frames, showing a measurable shortening of its body length (reduced distance between head and tail) which fits the definition of contraction. The change occurs over multiple frames but is consistent with typical stentor contraction behavior.</t>
  </si>
  <si>
    <t>yes/100/In the video, the stentor transitions from an extended trumpet-like shape to a condensed state where the body length decreases noticeably (evidenced by shorter tails in later frames). This represents a clear contraction as defined by a measurable shortening of the stentors body, fulfilling the criteria for a contraction event.</t>
  </si>
  <si>
    <t>no/0/All frames show the stentor in an extended, trumpet-like shape with no visible shortening or condensation into a ball-like form, thus no contraction occurs in the video.</t>
  </si>
  <si>
    <t>yes/85/In the sequence, the stentor transitions from an extended trumpet shape (e.g., frame 1) to a condensed form where the body length (distance from head to tail) shortens noticeably (e.g., frame 23). This shortening constitutes a contraction under the definition provided, even if the shape is not fully spherical. The visible decrease in body length confirms the behavior.</t>
  </si>
  <si>
    <t>no/0/The stentor consistently displays an extended shape throughout all frames; there is no evidence of a transition from an extended trumpet-like form to a condensed or partially shortened shape in any of the provided frames. Thus, a contraction does not occur.</t>
  </si>
  <si>
    <t>yes/90/The stentor transitions from an extended trumpet shape to a condensed, ball-like shape in several frames (e.g., later frames show the organism significantly shortening and adopting a spherical form), meeting the definition of contraction.</t>
  </si>
  <si>
    <t>yes/85/The stentor transitions from an extended trumpet shape to a more condensed form across the video sequence, with visible shortening of its body length (e.g., from frame 30 to 40, the organism becomes more compact).</t>
  </si>
  <si>
    <t>yes/85/In the sequence, the stentor transitions from an extended trumpet-like shape (observed in early frames) to a condensed, ball-like shape (seen in later frames, e.g., frames 530). This visible shortening of the body and change from elongated to spherical meets the definition of contraction, as the organism moves from an extended form to a condensed state, even if the transformation spans multiple frames.</t>
  </si>
  <si>
    <t>yes/85/In the sequence, the stentor transitions from an extended trumpet shape to a more condensed form (reduced body length) over multiple frames. The head becomes more rounded and the neck shortens, indicating a contraction as defined by a measurable shortening of the organism's body length. This meets the criteria for contraction, as the stentor changes from an extended shape to a condensed state.</t>
  </si>
  <si>
    <t>no/0/The stentor consistently maintains an extended, trumpet-like shape across all frames with no observable shortening of the body length or transition to a condensed, ball-like form. No evidence of contraction (partial or complete) is present in the visual evidence.</t>
  </si>
  <si>
    <t>yes/85/The stentor changes from an extended trumpet-like shape to a condensed, ball-like shape in the later frames of the video (e.g., visible transition from frames showing a longer body to frames where the body is significantly shorter and more rounded), which satisfies the definition of contraction.</t>
  </si>
  <si>
    <t>yes/85/The stentor shows a noticeable shortening of its body length in some frames compared to others, transitioning from an extended trumpet shape to a more condensed form, meeting the definition of contraction.</t>
  </si>
  <si>
    <t>no/0/All frames throughout the video show the stentor in an extended trumpet-like shape. There is no visible shortening of the body, condensation into a ball-like shape, or any clear change from the extended form to a contracted state in any of the provided subsampled frames. The stentor consistently maintains its extended morphology across all visible frames, so contraction does not occur.</t>
  </si>
  <si>
    <t>yes/85/In the video sequence, the stentor transitions from an extended trumpet shape to a condensed form. Multiple frames show a measurable shortening of the stentor's body length, with the distance between its "head" and "tail" decreasing noticeably, indicating a contraction. This change aligns with the definition of contraction, as the organism moves from an extended state to a condensed shape.</t>
  </si>
  <si>
    <t>yes/90/At multiple points (e.g., frames showing the stentor transitioning from an extended trumpet shape to a condensed, rounded form), the stentor exhibits a measurable shortening of body length and a shift from extended to condensed morphology, meeting the criteria for contraction.</t>
  </si>
  <si>
    <t>yes/75/In the sequence, the stentor transitions from an extended trumpet shape to a condensed form with noticeable shortening of the body length (e.g., reduced distance between head and tail), meeting the definition of a contraction as it changes from extended to condensed.</t>
  </si>
  <si>
    <t>yes/95/The stentor transitions from an extended trumpet shape to a condensed, rounded shape across multiple frames (e.g., later frames show noticeable shortening of the body and rounding, indicating a contraction as defined by the decrease in length and change toward a condensed form).</t>
  </si>
  <si>
    <t>no/0/The stentor maintains an extended trumpet shape throughout all frames, with no observable shortening or transition to a condensed, ball-like shape. No frames show the stentor changing from an extended to a condensed form, so a contraction does not occur.</t>
  </si>
  <si>
    <t>yes/85/The video shows the stentor transitioning from an extended trumpet-like shape to a more condensed form. The distance between the head and tail decreases significantly, and the organism adopts a condensed, ball-like appearance in several frames (e.g., around the 10-15 frame range). This change in body shape aligns with the definition of a contraction, as it involves measurable shortening and a shift from extended to condensed morphology.</t>
  </si>
  <si>
    <t>no/0/The stentor maintains an extended trumpet-like shape throughout all frames; there is no observable shortening or transition to a condensed/ball-like shape, which is required for a contraction.</t>
  </si>
  <si>
    <t>no/0/The stentor maintains a consistent teardrop/trumpet shape across all provided frames, with no measurable shortening of the body length or transition to a condensed, ball-like shape. There is no evidence of the characteristic contraction behavior defined in the task.</t>
  </si>
  <si>
    <t>no/0/Throughout all frames, the stentor maintains an extended trumpet-like shape without transitioning to a condensed, ball-like form. No visible shortening of the body or change to a spherical shape occurs, so contraction does not happen.</t>
  </si>
  <si>
    <t>yes/90/The stentor visibly shortens its body length (distance between head and tail) over multiple frames, transitioning from an extended trumpet shape to a condensed form. This meets the definition of a contraction, including partial or slow contractions.</t>
  </si>
  <si>
    <t>no/0/The stentor remains consistently elongated in all frames, without any visible shortening or transition to a condensed, ball-like shape. Therefore, no contraction is observed.</t>
  </si>
  <si>
    <t>yes/85/In the sequence of frames, the stentor transitions from an extended trumpet shape (e.g., early frames) to a condensed state where its body shortens noticeably. This shortening, even without full sphericity, constitutes a contraction per the definition. The visual progression across frames (e.g., frame 30 shows a significantly shorter stentor) confirms the behavior.</t>
  </si>
  <si>
    <t>no/0/The stentor remains in an extended trumpet-like shape throughout the video frames, with no visible shortening or condensation into a ball-like form. There are no frames showing the characteristic contraction behavior defined as a change to a condensed shape.</t>
  </si>
  <si>
    <t>no/0/The stentor maintains an extended trumpet-like shape throughout all frames, with no measurable shortening of body length or transition to a condensed, ball-like shape. There is no evidence of contraction behavior.</t>
  </si>
  <si>
    <t>yes/90/The stentor transitions from an extended trumpet-like shape (visible in early frames) to a condensed state (evident in later frames where the body shortens and appears more ball-like), meeting the definition of contraction as a measurable shortening from extended to condensed form.</t>
  </si>
  <si>
    <t>yes/95/The stentor transitions from an extended trumpet shape to a condensed, shortened form across the frames, with measurable shortening of its body length. This change meets the definition of contraction as it involves a clear shortening of the organism's body (from extended to condensed, even if not fully spherical).</t>
  </si>
  <si>
    <t>yes/90/The stentor exhibits a clear shortening of its body length in multiple frames, transitioning from an extended trumpet shape to a condensed form, which meets the definition of contraction as the distance between the head and tail decreases noticeably. The visual evidence shows consistent shortening across several frames, indicating a contraction behavior.</t>
  </si>
  <si>
    <t>no/0/None of the frames show the stentor changing from an extended trumpet shape to a condensed, ball-like shape. The organism remains consistently elongated throughout all visible frames, with no measurable shortening of body length or transition to a condensed form. Thus, no contraction is observed.</t>
  </si>
  <si>
    <t>yes/85/In the video, the stentor transitions from an extended trumpet shape (visible in initial frames) to a shorter, more condensed form (evident in later frames, e.g., frames 20-25). This represents a measurable shortening of the body length, which aligns with the definition of contraction (even if not fully spherical). The change in body length from extended to condensed satisfies the criteria for contraction.</t>
  </si>
  <si>
    <t>yes/90/The stentor transitions from an extended trumpet shape to a shorter, condensed form across the frames, meeting the definition of contraction (partial shortening counts).</t>
  </si>
  <si>
    <t>yes/100/The stentor transitions from an extended trumpet-like shape to a condensed, ball-like form, meeting the definition of contraction. The visual evidence shows a clear shortening of the stentor's body length and a change to a more spherical structure in certain frames, confirming the behavior.</t>
  </si>
  <si>
    <t>yes/85/The right stentor's body length decreases noticeably across frames (e.g., frame 12), showing a measurable shortening from an extended trumpet shape to a condensed form, which qualifies as a contraction under the defined criteria.</t>
  </si>
  <si>
    <t>yes/85/The stentor exhibits a measurable shortening of body length, transitioning from an extended trumpet shape to a more condensed form across multiple frames (e.g., between frame 14 and 15), which aligns with the definition of contraction as a clear reduction in body length without needing a fully ball-like shape.</t>
  </si>
  <si>
    <t>yes/90/The stentor transitions from an extended trumpet shape to a condensed, shorter form across multiple frames (e.g., frames 25-30 show a noticeable shortening of the stalk, indicating a contraction). While the change is gradual (not instantaneous), the guidelines specify that slow contractions still count as contractions, confirming the behavior.</t>
  </si>
  <si>
    <t>yes/95/The stentor transitions from an extended trumpet shape to a noticeably shorter form across multiple frames, showing a measurable decrease in body length between head and tail, which qualifies as a contraction under the definition (including partial contractions with measurable shortening).</t>
  </si>
  <si>
    <t>yes/100/The stentor changes from an extended trumpet-like shape to a condensed ball-like shape in the sequence of frames (e.g., frame 33 shows a visibly contracted form), meeting the definition of contraction.</t>
  </si>
  <si>
    <t>yes/90/The stentor transitions from an extended trumpet shape in early frames to a significantly shortened, condensed form in later frames (e.g., frame 19-20), demonstrating a measurable decrease in body length consistent with contraction. The contraction is clearly observable across multiple frames, fulfilling the definition of a contraction (even partial shortening counts).</t>
  </si>
  <si>
    <t>yes/90/The stentor transitions from an extended trumpet shape to a condensed form with a noticeably decreased body length (evident in frames where the distance between the head and tail shortens), meeting the definition of contraction as partial shortening of the body.</t>
  </si>
  <si>
    <t>no/0/The stentor is consistently observed in an extended, trumpet-like shape across all frames where it is visible (images 1-28). There are no frames showing a condensed or ball-like shape. Additionally, the stentor is absent in later frames (images 29-47), but the contraction would require a change from extended to condensed within the stentor's presence, which does not occur. Therefore, no contraction is observed.</t>
  </si>
  <si>
    <t>yes/90/The stentor shows a noticeable shortening of its body length (reducing the distance between the head and tail) across multiple frames, indicating a contraction. This aligns with the definition of a contraction as a measurable shortening of the stentor's body, even if it does not become fully spherical.</t>
  </si>
  <si>
    <t>yes/90/The stentor transitions from an extended trumpet shape (e.g., early frames with long neck and pointed head) to a condensed, ball-like shape (e.g., later frames with shorter neck and more rounded head), meeting the definition of contraction as a shortening of the organism's body length with a measurable reduction in distance between head and tail.</t>
  </si>
  <si>
    <t>no/0/The stentor remains in an extended, trumpet-like shape throughout all frames. There is no observable change to a condensed, ball-like shape or measurable shortening of the body length, which are key indicators of contraction as defined.</t>
  </si>
  <si>
    <t>no/0/The stentor consistently maintains an extended trumpet-like shape across all frames, with no observable shortening of the body length or transition to a condensed state. The definition of contraction requires a change from extended to condensed or partial shortening, which does not occur in the video.</t>
  </si>
  <si>
    <t>yes/85/The stentor transitions from an extended trumpet shape to a shorter shape, with a measurable decrease in body length (e.g., frames show the stentor shortening noticeably from the initial long form to a condensed state). This fits the definition of contraction as a shortening of the body length, even without becoming fully spherical.</t>
  </si>
  <si>
    <t>no/0/No contraction observed in any frame; the stentor maintains an extended trumpet shape throughout all frames with no measurable shortening or condensation to a ball-like form. The only other visible object (small round shape later) is debris, not the stentor.</t>
  </si>
  <si>
    <t>yes/75/At multiple frames (e.g., frame 5, 12, and 13), the stentor transitions from an extended trumpet shape to a condensed, shorter form (partially or fully ball-like), indicating a contraction. The video shows measurable shortening of the stentors body length, meeting the definition of contraction.</t>
  </si>
  <si>
    <t>yes/85/In frames 30-40, the stentor's body length visibly decreases from an extended trumpet shape to a condensed form, meeting the definition of contraction (shortening from extended to condensed). The clear reduction in body length indicates a contraction occurs.</t>
  </si>
  <si>
    <t>no/0/The stentor remains in an extended, trumpet-like shape throughout all provided frames with no visible shortening or condensation to a ball-like form. No frame shows a measurable decrease in body length or transition to a condensed shape, so no contraction is observed.</t>
  </si>
  <si>
    <t>yes/75/The stentor transitions from an extended trumpet shape to a condensed, oval shape in the later frames, indicating a measurable shortening of body length (consistent with a contraction, as partial contractions count under the definition).</t>
  </si>
  <si>
    <t>yes/85/The stentor transitions from an extended trumpet-like shape (visible in earlier frames) to a condensed state with a shorter body and rounded head (evident in subsequent frames), indicating measurable shortening and partial contraction consistent with the definition of contraction.</t>
  </si>
  <si>
    <t>no/0/The stentor remains in an extended trumpet-like shape throughout all frames, with no observable shortening or transition to a condensed/ball-like form. There are no frames where the distance between the head and tail decreases significantly or where the stentor adopts a condensed shape, so contraction does not occur.</t>
  </si>
  <si>
    <t>yes/85/In several later frames (e.g., frame 22), the stentor's body length decreases noticeably compared to earlier frames, transitioning from an extended trumpet shape to a condensed form (partial shortening). This satisfies the definition of contraction as a measurable shortening of the organism's body length.</t>
  </si>
  <si>
    <t>no/0/No contraction observed as the stentor remains in an extended trumpet shape throughout the video with no visible shortening or condensation into a ball-like form.</t>
  </si>
  <si>
    <t>yes/85/The stentor visibly shortens its body length over the sequence of frames, transitioning from an extended trumpet shape to a more condensed form, indicating a contraction.</t>
  </si>
  <si>
    <t>#N</t>
  </si>
  <si>
    <t>6-8b</t>
    <phoneticPr fontId="1" type="noConversion"/>
  </si>
  <si>
    <t>yes/90/The stentor transitions from an extended trumpet shape to a condensed, shorter form in later frames (e.g., visible in frames toward the end of the sequence), demonstrating measurable shortening of its body length. This aligns with the definition of contraction as any change from extended to condensed shape, even if not fully spherical.</t>
  </si>
  <si>
    <t>no/0/The stentor is consistently depicted in an extended, trumpet-like shape across all visible frames. There is no observable shortening of its body length or transition to a condensed, ball-like form, which are the defining characteristics of a contraction as per the provided definition. Thus, no contraction behavior is present in the video.</t>
  </si>
  <si>
    <t>yes/95/At multiple points in the sequence (e.g., later frames), the stentor transitions from an extended trumpet shape (open head, long neck) to a condensed form where the head narrows and shortens noticeably, meeting the definition of contraction (measurable shortening with the head closing). The progression is clear and consistent with stentor contraction behavior.</t>
  </si>
  <si>
    <t>yes/100/In the video, the stentor changes from an extended trumpet shape to a condensed, ball-like form. Specifically, during the sequence, the organism shortens significantly and adopts a rounded shape (e.g., in later frames), meeting the definition of contraction. Even partial shortening would qualify, but here the transition is clear and consistent with contraction behavior.</t>
  </si>
  <si>
    <t>yes/95/In the sequential frames, the stentor transitions from an extended trumpet shape to a visibly condensed form, with measurable shortening of its body length. This change aligns with the definition of contraction, as the organism's body decreases in length while maintaining a distinct shape shift from extended to condensed. The evidence across multiple frames confirms the behavior.</t>
  </si>
  <si>
    <t>yes/85/At multiple points in the video (e.g., toward the end of the sequence), the stentor transitions from an extended trumpet-like shape to a condensed form where the body length noticeably shortens. This meets the definition of a contraction, as the organism demonstrates measurable shortening of its body (not requiring a fully spherical shape). The visual evidence across frames shows consistent shortening, confirming the behavior.</t>
  </si>
  <si>
    <t>no/0/The stentor maintains an extended trumpet shape throughout all frames with no measurable shortening in body length, indicating no contraction.</t>
  </si>
  <si>
    <t>no/0/None of the frames show the stentor changing from an extended trumpet shape to a condensed or shortened form; it maintains a consistent trumpet-like structure throughout the sequence, with no observable shortening or ball-like condensation.</t>
  </si>
  <si>
    <t>no/0/The stentor remains consistently in an extended trumpet shape across all frames, with no visible shortening of the body or transition to a condensed/ball-like form. Since contraction requires a change from the extended trumpet shape to a condensed state (partial or full), and no such change occurs, the contraction score is 0.</t>
  </si>
  <si>
    <t>yes/95/The stentor is observed transitioning from an extended trumpet shape to a condensed, shorter form across multiple frames. For example, in frame 10, the stentors body length is noticeably reduced compared to earlier frames (e.g., frame 1), indicating a measurable shortening of the organism. While not always fully spherical, this shortening aligns with the definition of a contraction (partial or full condensation). The visual evidence clearly shows a change from extended to condensed morphology, meeting the criteria for contraction.</t>
  </si>
  <si>
    <t>no/0/The stentor consistently maintains an extended trumpet-like shape across all provided frames, with no observable shortening of its body or transition to a condensed, ball-like shape. Thus, no contraction behavior is present.</t>
  </si>
  <si>
    <t>yes/95/The stentor demonstrates a clear shortening of its body length across multiple frames (e.g., transitioning from an extended trumpet shape in early frames to a condensed state in later frames), indicating a contraction as defined by measurable shortening of the distance between the head and tail. Even partial contractions meeting the criteria are counted, and the visual evidence of shortening across the sequence confirms contraction.</t>
  </si>
  <si>
    <t>no/0/The stentor remains consistently in an extended, trumpet-like shape across all frames; no noticeable shortening of body length or transition to a condensed, ball-like form occurs.</t>
  </si>
  <si>
    <t>yes/95/The stentor transitions from an extended trumpet shape to a condensed form in multiple frames, with clear shortening of the body length (reduced distance between head and tail) without needing to be fully spherical. This matches the definition of contraction as a measurable shortening of the body.</t>
  </si>
  <si>
    <t>no/0/The stentor remains in an extended trumpet shape throughout all frames, with no observable shortening of the body or transition to a condensed, ball-like form. No evidence of contraction (defined as a change from extended to condensed shape) is present in the visual evidence.</t>
  </si>
  <si>
    <t>yes/95/The stentor's body length visibly shortens over successive frames, with the distance between the head (trumpet-like structure) and tail decreasing measurably. This shortening constitutes a contraction, even if the organism does not fully transition to a ball-like shape. The consistent shortening across multiple frames provides strong evidence of the behavior.</t>
  </si>
  <si>
    <t>yes/85/In the sequence of frames, the stentor transitions from an extended trumpet shape (seen in early frames like image 1) to a shorter, condensed form (evident in later frames such as image 7 and subsequent ones). This measurable shortening of the body length (distance between head and tail) meets the criteria for contraction, as it represents a clear change from an extended state to a condensed state, even if it doesn't fully become spherical. The progression across frames shows the stentors body length decreasing, confirming the contraction behavior.</t>
  </si>
  <si>
    <t>yes/85/The stentor transitions from an extended trumpet shape in early frames to a condensed shape with a shorter body length and less elongated bell end in later frames (e.g., frames 20-30), indicating a measurable shortening of its body which aligns with the definition of contraction.</t>
  </si>
  <si>
    <t>no/0/All frames show the stentor maintaining an extended, trumpet-like shape with no measurable shortening or transition to a condensed, ball-like form. The organism remains consistently elongated throughout the sequence, so no contraction behavior is observed.</t>
  </si>
  <si>
    <t>yes/85/The stentor transitions from an extended trumpet-like shape to a condensed, shorter form in multiple frames (e.g., comparing early frames to later frames where the body length decreases noticeably). This shortening meets the definition of a contraction, as the organism moves from an extended state to a condensed state, even if not fully spherical.</t>
  </si>
  <si>
    <t>yes/75/At multiple points in the video, the stentor shows a measurable shortening of its body length, transitioning from an extended trumpet shape to a more condensed form with reduced distance between the head and tail. This partial contraction (not fully spherical but with noticeable shortening) qualifies as a contraction under the definition provided.</t>
  </si>
  <si>
    <t>no/0/In all provided frames, the stentor maintains an extended, trumpet-like shape with no observable shortening of the body or transition to a condensed, ball-like form. The distance between the head and tail remains consistent across frames, and there is no evidence of the shape change defining a contraction. Therefore, no contraction occurs in the video.</t>
  </si>
  <si>
    <t>no/0/In all provided frames, the stentor maintains an extended trumpet-like shape with no evident shortening or transition to a condensed, ball-like form. The visual evidence shows consistent elongation without measurable shortening or rounding that would constitute a contraction per the given definition.</t>
  </si>
  <si>
    <t>yes/90/At various points in the sequence (e.g., transitioning from elongated trumpet-like shape in early frames to shorter, condensed form in later frames), the stentor's body shortens significantly, indicating a contraction as defined by a measurable decrease in length from extended to condensed. The change is evident across multiple frames, confirming the behavior meets the criteria for contraction.</t>
  </si>
  <si>
    <t>no/0/In all provided frames, the stentor maintains its extended trumpet shape without any noticeable shortening or condensation (ball-like shape) that would indicate a contraction. The organism remains in an extended form throughout the sequence, so no contraction behavior is observed.</t>
  </si>
  <si>
    <t>yes/95/The stentor on the left transitions from an extended trumpet shape to a condensed, ball-like shape across the video frames. For example, in later frames (e.g., around the 1015 frame range), the stentor visibly shortens and rounds, meeting the definition of contraction (change from extended trumpet to condensed shape). This transition is clear and consistent with the behavior described.</t>
  </si>
  <si>
    <t>no/0/The stentor remains in an extended, trumpet-like shape across all frames; there is no visible shortening of the body or transition to a condensed, ball-like shape. No evidence of contraction is present in the visual evidence.</t>
  </si>
  <si>
    <t>yes/95/The stentor transitions from an extended trumpet-like shape in early frames to a condensed, shorter form in later frames. By frame 30, the stentor shows a noticeable shortening of the body (distance between head and tail) and a more rounded head, meeting the definition of a contraction even if not fully spherical. This slow change across multiple frames confirms the contraction behavior.</t>
  </si>
  <si>
    <t>yes/95/The stentor shows a clear transition from an extended trumpet shape to a condensed form across the frames, with measurable shortening of the body length (distance between head and tail) in later frames compared to initial frames, meeting the definition of contraction as per the task's criteria.</t>
  </si>
  <si>
    <t>no/0/The stentor remains in an extended trumpet shape throughout all visible frames, with no measurable shortening of the body length or transition to a condensed shape. The head and tail maintain consistent positioning, indicating no contraction behavior.</t>
  </si>
  <si>
    <t>yes/85/The stentor exhibits measurable shortening of its body length (reduced distance between head and tail) in multiple frames compared to initial extended positions, satisfying the definition of contraction (partial shortening qualifies as contraction).</t>
  </si>
  <si>
    <t>yes/100/In the sequence of frames, the stentor transitions from an extended trumpet-like shape to a significantly condensed form. The distance between the "head" and "tail" visibly decreases over time, meeting the definition of a contraction (a measurable shortening of body length, even if not fully spherical). This change is evident across multiple frames, confirming a contraction occurs.</t>
  </si>
  <si>
    <t>yes/75/In the sequence, the stentor transitions from an extended trumpet shape (e.g., early frames) to a condensed state with reduced body length (e.g., later frames). This measurable shortening of the body (from head to tail) meets the contraction definition as it involves a noticeable decrease in length without requiring full sphericity.</t>
  </si>
  <si>
    <t>no/0/The stentor remains in an extended, trumpet-like shape throughout all frames with no observable shortening or condensation to meet the contraction definition (requiring a change from extended to condensed/ball-like form).</t>
  </si>
  <si>
    <t>no/0/The stentor consistently maintains an extended trumpet shape across all frames with no observable shortening of body length or condensation into a ball-like form. There is no evidence of the stentor transitioning from an extended shape to a condensed state.</t>
  </si>
  <si>
    <t>yes/75/The stentor changes from an extended trumpet shape to a shorter form in some frames, indicating a measurable shortening of the body length (even if not fully ball-like). For example, comparing early frames with later frames shows the stentor's body length decreases, meeting the definition of contraction.</t>
  </si>
  <si>
    <t>no/0/The stentor remains in an extended trumpet-like shape throughout all visible frames, with no evidence of shortening, condensation into a ball-like shape, or measurable reduction in body length between the head and tail. No frames exhibit the characteristic contraction behavior described.</t>
  </si>
  <si>
    <t>yes/95/The stentor visibly transitions from an extended trumpet shape to a condensed, ball-like shape across multiple frames (e.g., frame 1 shows elongated form, while later frames like frame 30 show significant shortening and rounding), meeting the definition of contraction.</t>
  </si>
  <si>
    <t>no/0/All frames show the stentor in its extended trumpet shape with no measurable shortening of body length or transition to a condensed form; no contraction behavior is observed.</t>
  </si>
  <si>
    <t>yes/95/The stentor transitions from an extended trumpet shape (visible in initial frames) to a condensed form where the body length decreases noticeably. This shortening of the stentor's body, even if not fully spherical, meets the definition of contraction as outlined. The change is evident between frames, with the stentor becoming shorter and more compact.</t>
  </si>
  <si>
    <t>no/0/The stentor maintains an extended, trumpet-like shape throughout all provided frames; there is no observable shortening of its body length or transition to a condensed, ball-like shape. No evidence of contraction (partial or complete) is present in the video.</t>
  </si>
  <si>
    <t>yes/90/The stentor transitions from an extended trumpet-like shape to a condensed form, where the head region narrows and shortens significantly over the sequence of frames, meeting the definition of contraction (even if not fully spherical). The change is evident in the shortening of the body and the reduction of the head's extension, which is clearly visible across multiple frames.</t>
  </si>
  <si>
    <t>yes/85/The stentor transitions from an extended trumpet-like shape to a condensed form with measurable shortening of body length across the frames, indicating a contraction as defined by the reduction in distance between head and tail.</t>
  </si>
  <si>
    <t>no/0/The stentor consistently maintains an extended, trumpet-like shape throughout all frames, with no observable shortening or transition to a condensed, ball-like form. Since contractions require a measurable change from extended to condensed, and none is present, the contraction score is 0.</t>
  </si>
  <si>
    <t>yes/95/The stentor is observed to shorten over the sequence of frames, transitioning from a long, trumpet-like shape to a more condensed form, which meets the definition of contraction.</t>
  </si>
  <si>
    <t>yes/85/The stentor transitions from an extended trumpet shape to a condensed, more rounded form across several frames (e.g., frames 2130), showing a measurable shortening of the body length and a shift toward a ball-like shape. This aligns with the definition of contraction, which includes both quick and slower changes in shape.</t>
  </si>
  <si>
    <t>yes/85/At multiple points (e.g., around frame 15-20), the stentor transitions from an extended trumpet shape to a shorter, condensed form. This measurable shortening of the body length meets the definition of a contraction, even if it does not fully become spherical. The visual evidence shows clear shortening of the stentor's structure over the subsampled frames.</t>
  </si>
  <si>
    <t>no/0/None of the frames show the stentor changing from an extended trumpet shape to a condensed (ball-like or partially shortened) state. All visible frames depict the stentor in an extended configuration without any measurable shortening or transition to a condensed shape. Therefore, no contraction is observed.</t>
  </si>
  <si>
    <t>no/0/The stentor maintains an extended, trumpet-like shape throughout all frames with no observable shortening or transition to a condensed/ball-like form. The definition of contraction requires a measurable change in body length (from extended to condensed), which is not present in the visual evidence.</t>
  </si>
  <si>
    <t>yes/75/The stentor exhibits a measurable shortening of its body length (reduced distance between the head and tail) over multiple frames, transitioning from an extended trumpet-like shape to a more condensed form, which qualifies as a contraction per the definition.</t>
  </si>
  <si>
    <t>no/0/None of the frames show the stentor changing from an extended trumpet shape to a condensed or shortened state; it consistently maintains an elongated shape throughout all subsampled frames, indicating no contraction behavior.</t>
  </si>
  <si>
    <t>no/0/All frames show the stentor maintaining an extended, trumpet-like shape with no measurable shortening or transition to a condensed/ball-like form. There is no visual evidence of contraction in any frame, as the organism remains consistently elongated throughout the sequence.</t>
  </si>
  <si>
    <t>yes/85/The stentor transitions from an extended trumpet-like shape in early frames to a noticeably condensed form in later frames, indicating a measurable shortening of its body length. This aligns with the definition of contraction as a change from extended to condensed, even if not fully spherical.</t>
  </si>
  <si>
    <t>no/0/In all provided frames, the stentor maintains an extended trumpet-like shape with no noticeable shortening of the body (distance between head and tail) or transition to a condensed/ball-like form. There is no evidence of the stentor changing shape to meet the contraction definition.</t>
  </si>
  <si>
    <t>yes/85/In the video, the stentor transitions from an extended trumpet shape to a condensed, rounded shape (e.g., visible in the later frames where the stentor's body length shortens significantly and becomes more spherical). This meets the definition of a contraction as per the provided criteria.</t>
  </si>
  <si>
    <t>yes/95/In the video sequence, the stentor transitions from an extended trumpet shape to a visibly condensed form (reduced body length, indicating shortening without full sphericity), which meets the definition of a contraction. Multiple frames show measurable shortening of the stentors body length, confirming the behavior.</t>
  </si>
  <si>
    <t>no/0/The stentor maintains an extended trumpet-like shape across all frames, with no visible shortening or condensation into a ball-like form. Since the definition of contraction requires a change from extended to condensed, and no such change is observed in any frame, the contraction score is 0.</t>
  </si>
  <si>
    <t>no/0/No contraction is observed because the stentor remains consistently rounded or slightly elongated throughout all frames, without transitioning from an extended (trumpet-like) shape to a condensed (ball-like) shape. The stentor never shows an extended form that would indicate a contraction event.</t>
  </si>
  <si>
    <t>yes/85/The stentor changes from an extended trumpet shape to a condensed form across the video frames, with a noticeable shortening of its body length (reduced distance between head and tail) in later frames, meeting the definition of contraction as per the criteria.</t>
  </si>
  <si>
    <t>yes/90/The stentor visibly transitions from an extended trumpet-like shape to a condensed, ball-like shape (e.g., in frames around 3035, the stentor shortens significantly), meeting the definition of contraction as it involves measurable shortening and a clear shift from the extended form to a condensed state.</t>
  </si>
  <si>
    <t>no/0/The stentor maintains an elongated, trumpet-like shape throughout all frames with no measurable shortening of its body length or transition to a condensed, ball-like form. The key characteristics of contraction (notable shortening or rounding) are absent in the visual evidence.</t>
  </si>
  <si>
    <t>yes/75/The stentor exhibits a visible shortening of its body length between frames, transitioning from an extended trumpet shape to a more condensed form. For example, comparing earlier frames (e.g., frame 1) where the stentor is extended with later frames (e.g., frame 16), the distance between the "head" and "tail" decreases noticeably, indicating a contraction. This meets the definition of contraction as a measurable shortening of the body length, even if it does not fully become spherical.</t>
  </si>
  <si>
    <t>no/0/In all provided frames, the stentor maintains an extended, trumpet-like shape with no measurable shortening or transition to a condensed/ball-like form. There is no evidence of the stentor changing from an extended shape to a condensed shape (partial or complete) across the sequence. Therefore, contraction does not occur.</t>
  </si>
  <si>
    <t>yes/95/The stentor exhibits a clear transition from an extended trumpet shape to a condensed, shorter form (visible in multiple frames where the body length decreases and the head becomes more rounded). This meets the definition of contraction, as the organism shortens and loses its extended shape even if not fully spherical.</t>
  </si>
  <si>
    <t>no/0/In all provided frames, the stentors maintain an extended, trumpet-like shape without any visible shortening or condensation into a ball-like form. No frame shows a measurable decrease in body length or transition to a condensed state, so contraction does not occur.</t>
  </si>
  <si>
    <t>no/0/The stentor remains consistently in an extended, trumpet-like shape across all frames with no observable shortening or condensation into a ball-like form. Therefore, no contraction is observed.</t>
  </si>
  <si>
    <t>no/0/All provided frames show the stentor maintaining an extended shape (consistent with a trumpet-like form) without any measurable shortening or transition to a condensed/ball-like shape. There is no visual evidence of the stentor changing its body length or adopting a contracted form across any of the subsampled frames.</t>
  </si>
  <si>
    <t>no/0/In all provided frames, the stentor maintains an elongated, trumpet-like shape with no observable shortening or transition to a condensed, ball-like form. There is no evidence of the stentor changing from an extended shape to a condensed one, so contraction does not occur.</t>
  </si>
  <si>
    <t>yes/92/The left stentor transitions from an extended trumpet shape (e.g., image 1) to a condensed, ball-like form (e.g., image 15), showing a clear shortening of body length. This matches the definition of contraction as a change from extended to condensed shape, with measurable shortening of the body.</t>
  </si>
  <si>
    <t>yes/85/The stentor transitions from an extended trumpet shape to a more condensed form across the frames, with a measurable shortening of its body length (reduced distance between head and tail). This partial contraction, as defined by the criteria (measurable shortening without necessarily becoming fully spherical), confirms the behavior.</t>
  </si>
  <si>
    <t>yes/90/The stentor clearly shortens over the sequence of frames, transitioning from an extended trumpet shape to a condensed form with a measurable decrease in body length. This meets the definition of a contraction (partial or complete) as specified, and the shortening is evident across multiple frames without ambiguity.</t>
  </si>
  <si>
    <t>no/0/In all provided frames, the stentor maintains an extended, trumpet-like shape with no visible shortening of body length or transition to a condensed/ball-like form. There is no evidence of the stentor contracting as defined (no measurable shortening or change to condensed shape).</t>
  </si>
  <si>
    <t>no/0/The stentor maintains a consistent elongated, trumpet-like shape across all provided frames with no visible shortening or condensation into a ball-like form. There is no evidence of a measurable decrease in body length between the "head" and "tail" or a transition to a condensed shape.</t>
  </si>
  <si>
    <t>no/0/In all provided frames, the stentor maintains an extended trumpet-like shape without any visible shortening, condensation into a ball-like form, or measurable reduction in body length. There is no evidence of the stentor transitioning from an extended state to a condensed state at any point in the video.</t>
  </si>
  <si>
    <t>no/0/Throughout all frames, the stentor maintains an extended, trumpet-like shape with no measurable shortening or transition to a condensed, ball-like form. There is no evidence of the stentor changing from an extended shape to a condensed state, which is required for a contraction.</t>
  </si>
  <si>
    <t>yes/90/The stentor transitions from an extended trumpet shape to a condensed form in the sequence, with visible shortening of its body length over multiple frames. The change in shape from a long, trumpet-like structure to a shorter, less extended form (consistent with contraction behavior as defined) is evident, even without a fully spherical shape. This partial shortening meets the criteria for a contraction.</t>
  </si>
  <si>
    <t>no/0/The stentor maintains a consistent extended, trumpet-like shape across all frames without any observable shortening or condensation into a ball-like form. There are no visual changes indicating a contraction, as the organism's body length and shape remain unchanged throughout the video.</t>
  </si>
  <si>
    <t>yes/85/In the sequence of frames, the stentor transitions from an extended trumpet-like shape to a more condensed form, indicating a contraction behavior. The visual evidence shows a measurable shortening of the organism's body length, which aligns with the definition of contraction as a change from an extended shape to a condensed one.</t>
  </si>
  <si>
    <t>yes/75/In several frames (e.g., frame 10 and frame 15), the stentor exhibits a measurable shortening of its body length, transitioning from an extended trumpet shape to a more condensed form. This change meets the definition of a contraction, even if it does not fully become spherical. Thus, contraction is observed.</t>
  </si>
  <si>
    <t>yes/87/In multiple frames (e.g., frames 12-15), the right stentor transitions from an extended trumpet shape to a noticeably shorter, condensed form. This shortening meets the definition of contraction (even if not fully spherical), as the body length decreases measurably. The consistent shortening across frames confirms contraction occurs.</t>
  </si>
  <si>
    <t>yes/90/In multiple frames (e.g., frame 15-20), the stentor transitions from an extended trumpet shape to a condensed form with noticeably reduced body length. This shortening (even without full sphericity) aligns with the definition of contraction. The visual evidence of shape change from elongated to compact is clear and consistent with contraction behavior, making it a definitive contraction.</t>
  </si>
  <si>
    <t>Q3-VL 8B via ollama</t>
    <phoneticPr fontId="1" type="noConversion"/>
  </si>
  <si>
    <t>26 selected "hard", prompt 6 with scores -local</t>
    <phoneticPr fontId="1" type="noConversion"/>
  </si>
  <si>
    <t>yes/100/The stentor begins in an extended trumpet shape and then undergoes a clear transition where its body shortens and condenses, eventually disappearing from the extended form. This change from an extended shape to a condensed state (consistent with the definition of contraction) is observed in the sequence of frames.</t>
  </si>
  <si>
    <t>no/0/The stentor remains in an extended, trumpet-like shape throughout the entire video sequence; there is no observable shortening of the body length or transition to a condensed shape. Therefore, no contraction occurs.</t>
  </si>
  <si>
    <t>no/0/The stentor remains in an extended trumpet shape throughout all frames; there is no observable change to a condensed or ball-like shape, nor any measurable shortening of its body length.</t>
  </si>
  <si>
    <t>no/15/The stentor remains in an extended trumpet-like shape throughout all frames, with no measurable shortening of the body length or transition to a condensed form. The observed changes are minor positional shifts or subtle internal movements, not a contraction as defined.</t>
  </si>
  <si>
    <t>yes/85/The stentor undergoes a noticeable shortening of its body length from an extended trumpet shape to a more condensed form (e.g., frames 11-30 show reduced distance between the "head" and "tail" regions compared to earlier frames). This shortening qualifies as a contraction under the given definition, even if not fully spherical.</t>
  </si>
  <si>
    <t>no/0/The stentor remains in an extended trumpet shape throughout the video; there is no observable change to a condensed or ball-like shape. The apparent movement of the stentor is due to the shifting of the field of view (e.g., the glass needle moving) rather than the stentor contracting. The stentor's body length does not decrease; it is consistently elongated in all frames where it is visible. Therefore, no contraction occurs.</t>
  </si>
  <si>
    <t>no/10/The stentor remains in an extended trumpet-like shape throughout all frames where it is visible. There is no observable shortening of the body length or transition to a condensed, ball-like form. The stentor eventually disappears from the field of view, but this is not indicative of a contraction behavior as defined. Therefore, no contraction occurs.</t>
  </si>
  <si>
    <t>no/0/The stentor remains in an extended trumpet shape throughout all frames; there is no observable shortening of the body or transition to a condensed form. The apparent movement of the background debris and the tool does not affect the stentor's shape, which stays consistently extended. Therefore, no contraction occurs.</t>
  </si>
  <si>
    <t>no/0/The stentor maintains a relatively consistent extended trumpet shape throughout the video frames, with no noticeable shortening of the body length or transition to a condensed form. The observed changes in the background (e.g., debris movement) do not affect the stentor's morphology, which remains elongated without any measurable contraction.</t>
  </si>
  <si>
    <t>no/0/The stentor maintains a consistently extended trumpet-like shape throughout all frames, with no measurable shortening of body length or transition to a condensed form. The distance between the head and tail remains unchanged, and there is no evidence of the organism adopting a ball-like or significantly shortened configuration.</t>
  </si>
  <si>
    <t>no/10/The stentor maintains an extended trumpet-like shape throughout all frames; there is no observable change to a condensed or ball-like form, nor is there a noticeable shortening of the body length. Therefore, no contraction occurs.</t>
  </si>
  <si>
    <t>yes/100/The stentor transitions from an extended trumpet shape (evident in the early frames with a long, narrow body) to a condensed, shortened form (with a clear decrease in body length and a more compact structure in later frames), which satisfies the definition of a contraction.</t>
  </si>
  <si>
    <t>no/0/The stentor maintains a consistent extended trumpet-like shape throughout all frames, with no observable shortening of body length or transition to a condensed, ball-like form. Therefore, no contraction occurs.</t>
  </si>
  <si>
    <t>yes/95/The stentor (left organism) transitions from an extended trumpet shape to a more condensed, shorter form, indicating a contraction.</t>
  </si>
  <si>
    <t>yes/95/The stentor transitions from an extended trumpet shape to a condensed, more spherical/elongated shape (evident in the frames where the body shortens noticeably, e.g., around frame 40-45, with a distinct change in morphology from the initial extended form). This meets the definition of contraction as the body length decreases significantly.</t>
  </si>
  <si>
    <t>no/0/The stentor remains in a consistent extended trumpet shape throughout all frames, with no observable shortening of body length or transition to a condensed, ball-like form. Therefore, no contraction occurs.</t>
  </si>
  <si>
    <t>32B_judge</t>
    <phoneticPr fontId="1" type="noConversion"/>
  </si>
  <si>
    <t>32B_response</t>
    <phoneticPr fontId="1" type="noConversion"/>
  </si>
  <si>
    <t>no/0/Throughout all frames, the stentor maintains a consistent elongated trumpet shape with no observable shortening or transition to a condensed, ball-like form. The body length and overall morphology remain stable, indicating no contraction behavior.</t>
  </si>
  <si>
    <t>no/0/The stentor maintains a consistent elongated (trumpet-like) shape across all frames; there is no observable shortening or transition to a condensed, ball-like form. Therefore, no contraction occurs.</t>
  </si>
  <si>
    <t>no/10/The stentor remains in an extended, trumpet-like shape throughout all frames with no noticeable shortening or change to a condensed form. There is no evidence of the body length decreasing or the organism adopting a ball-like shape, so contraction does not occur.</t>
  </si>
  <si>
    <t>no/0/The stentor maintains its extended, trumpet-like shape throughout all frames; there is no observable change to a condensed or ball-like shape, nor any measurable shortening of the body length. Therefore, no contraction occurs.</t>
  </si>
  <si>
    <t>no/20/The stentor's shape remains consistently extended (trumpet-like) across all provided frames. There is no observable shortening of the body length or transition to a condensed/ball-like shape, even when considering potential quick or slow contractions. The surrounding particles (bubbles, debris) do not affect the stentor's morphology in the frames.</t>
  </si>
  <si>
    <t>no/10/The stentor remains in an extended, trumpet-like shape throughout all frames. There is no observable shortening of the body length or transition to a condensed, ball-like form. Other elements (e.g., the glass needle and small particles) move, but the stentors morphology does not change in a way that meets the contraction definition.</t>
  </si>
  <si>
    <t>no/0/There is no visible change in the stentor's shape from an extended trumpet form to a condensed ball-like form across the provided frames. The stentor maintains a consistent extended appearance without any noticeable shortening or condensation.</t>
  </si>
  <si>
    <t>no/0/The stentor maintains an extended trumpet-like shape throughout all frames; there is no observable shortening of the body or transition to a condensed form. The distance between the head and tail remains consistent, and no contraction behavior is evident.</t>
  </si>
  <si>
    <t>yes/90/In the first frame, the stentor exhibits an extended trumpet-like shape with a visible conical structure, while in subsequent frames it appears as a more condensed, ball-like shape. This change from an extended to a condensed form satisfies the definition of contraction.</t>
  </si>
  <si>
    <t>no/0/The stentor maintains a consistent elongated, trumpet-like shape across all frames; there is no observable change in body length or transition to a condensed or ball-like form, indicating no contraction occurred.</t>
  </si>
  <si>
    <t>yes/95/The stentor undergoes a noticeable shortening of its body length, transitioning from an extended trumpet shape to a more condensed form (evident in the later frames where the distance between the head and tail decreases significantly). This change meets the definition of a contraction, even if not fully ball-like.</t>
  </si>
  <si>
    <t>no/0/All frames show the stentor maintaining a consistent elongated trumpet shape with no measurable shortening of body length or change to a condensed form. The organism's dimensions and overall structure remain stable across the sequence, indicating no contraction behavior.</t>
  </si>
  <si>
    <t>no/0/The stentor maintains its extended trumpet-like shape throughout all frames; there is no visible shortening or change to a condensed, ball-like form. Therefore, no contraction occurs.</t>
  </si>
  <si>
    <t>no/0/There is no observable change in the stentor's shape from an extended form to a condensed, ball-like shape across any of the provided frames. The structure remains consistently extended without measurable shortening or rounding.</t>
  </si>
  <si>
    <t>no/0/The stentor's shape (the dark, irregular mass) remains consistent across all frames without any observable shortening or change from an extended trumpet-like form to a condensed shape. No contraction behavior is evident in the visual evidence provided.</t>
  </si>
  <si>
    <t>no/0/All frames show the stentor maintaining a consistent extended trumpet-like shape with no observable shortening, condensation, or change in body length that would indicate a contraction. The stentor's morphology remains unchanged across all provided images.</t>
  </si>
  <si>
    <t>no/0/The stentor maintains an extended trumpet-like shape throughout all provided frames, with no observable shortening, condensation, or change to a ball-like form. The consistent structure indicates no contraction occurred.</t>
  </si>
  <si>
    <t>no/10/The stentor maintains a consistent extended trumpet shape throughout all frames, with no observable shortening of body length or transition to a condensed, ball-like form. The background debris and other elements do not affect the stentor's morphology, which remains unchanged. Therefore, no contraction occurs.</t>
  </si>
  <si>
    <t>no/0/Throughout all provided frames, the stentor maintains a consistent extended trumpet-like shape with no observable shortening, condensation, or transition to a ball-like form. No change in body length or morphology indicative of contraction is evident.</t>
  </si>
  <si>
    <t>no/0/No noticeable change in the stentor's shape from an extended trumpet-like form to a condensed or shortened state occurs across all frames. The stentor maintains a consistent elongated structure throughout the sequence, with no measurable reduction in body length or transition to a ball-like shape.</t>
  </si>
  <si>
    <t>no/0/All frames show the stentor in a consistently extended trumpet-like shape with no measurable shortening of body length or transition to a condensed, ball-like form. No contraction behavior is observed in the sequence.</t>
  </si>
  <si>
    <t>no/0/The stentor (trumpet-shaped organism on the right) maintains a consistent extended shape across all frames; there is no observable change in body length or shape indicating a contraction (e.g., no measurable shortening or transition to a ball-like form).</t>
  </si>
  <si>
    <t>no/0/The stentor maintains a consistent extended trumpet-like shape throughout all frames, with no observable change in body length or transition to a condensed form. Therefore, no contraction occurs.</t>
  </si>
  <si>
    <t>no/0/Throughout the video frames, the stentor maintains a consistent extended trumpet-like shape without any observable shortening or transition to a condensed, ball-like form. No measurable change in body length or shape indicative of a contraction is present.</t>
  </si>
  <si>
    <t>no/10/The stentor remains in an extended trumpet-like shape throughout all frames with no observable shortening or transition to a condensed, ball-like form. There is no measurable change in body length or shape consistent with a contraction event.</t>
  </si>
  <si>
    <t>yes/95/The stentor shows a clear shortening of its body length from an extended trumpet-like shape to a more condensed form across the frames, indicating contraction. The change in body length (reduction in the distance between head and tail) is measurable and consistent with the definition of contraction.</t>
  </si>
  <si>
    <t>no/10/The stentor remains in an extended, trumpet-like shape throughout all frames; there is no observable change in body length or transition to a condensed, ball-like form. The background particles vary slightly, but the stentor's morphology does not indicate any contraction.</t>
  </si>
  <si>
    <t>no/0/The stentor maintains a consistent extended trumpet-like shape throughout all frames; there is no observable change in body length or transition to a condensed form.</t>
  </si>
  <si>
    <t>no/0/The stentor maintains a consistent elongated shape throughout all frames, with no measurable shortening of its body length or transition to a ball-like form. Therefore, no contraction occurs.</t>
  </si>
  <si>
    <t>yes/90/The stentor exhibits a noticeable shortening of its body length from an extended trumpet shape to a more condensed form across the frames, with the distance between the "head" and "tail" decreasing significantly. This change meets the definition of a contraction.</t>
  </si>
  <si>
    <t>no/0/The stentor remains in a consistent extended trumpet-like shape across all provided frames, with no observable shortening of the body length or transition to a condensed/ball-like form. Therefore, no contraction occurs.</t>
  </si>
  <si>
    <t>no/10/The stentor remains in an extended trumpet shape across all frames, with no observable change to a condensed or ball-like form. There is no measurable shortening of the body length or any indication of contraction behavior as defined.</t>
  </si>
  <si>
    <t>no/0/The stentor remains in an extended, trumpet-like shape throughout all frames; there is no observable change to a condensed or ball-like form, nor any measurable shortening of the body length. Therefore, no contraction occurs.</t>
  </si>
  <si>
    <t>no/0/The stentor remains in an extended trumpet-like shape throughout all visible frames; there is no observable change to a condensed or ball-like shape, and the disappearance of the stentor in the final frames (due to blurring or movement out of view) does not constitute a contraction as defined.</t>
  </si>
  <si>
    <t>no/0/The stentor's body remains in an extended, trumpet-like shape throughout all frames, with no measurable shortening or condensation into a ball-like form observed. Therefore, no contraction occurs.</t>
  </si>
  <si>
    <t>yes/90/The stentor's body length shortens noticeably from the initial extended trumpet shape to a more condensed form in later frames, indicating a clear contraction.</t>
  </si>
  <si>
    <t>no/0/The stentor remains in a consistent trumpet-like shape across all provided frames, with no observable change in body length or form indicative of contraction (either partial or full). The surrounding debris and other elements do not affect the stentor's morphology, which remains extended throughout.</t>
  </si>
  <si>
    <t>yes/95/The stentor's body length decreases noticeably from an extended trumpet shape to a more condensed form, with the distance between the head and tail decreasing across the sequence. Therefore, a contraction occurs.</t>
  </si>
  <si>
    <t>no/0/All frames show the stentor maintaining a consistent extended trumpet shape with no observable change to a condensed or ball-like form, indicating no contraction occurred.</t>
  </si>
  <si>
    <t>yes/95/The stentor transitions from an extended, trumpet-like shape to a significantly shortened, more condensed form in the sequence (evident in frames where the organisms body length decreases noticeably, even if not fully spherical). This change in shape meets the definition of a contraction.</t>
  </si>
  <si>
    <t>no/0/In all frames, the stentor maintains a consistent extended trumpet-like shape with no measurable shortening or change to a condensed form. No contraction behavior is observed.</t>
  </si>
  <si>
    <t>no/0/The stentor maintains its extended trumpet-like shape throughout all frames; there is no observable change to a condensed or ball-like form, nor any measurable shortening of its body length. The moving round object is not the stentor and does not affect the assessment of the stentor's behavior.</t>
  </si>
  <si>
    <t>no/0/The stentor remains in an extended trumpet-like shape across all provided frames with no observable change in body length or form indicating a contraction. Therefore, no contraction occurs.</t>
  </si>
  <si>
    <t>no/0/Throughout all frames, the stentor maintains its extended trumpet shape without any measurable shortening of body length or transition to a condensed form. The slight variations in appearance are due to movement of cilia or minor positional shifts, not a contraction.</t>
  </si>
  <si>
    <t>no/0/The stentor's shape remains consistent across all frames, showing no visible change from an extended trumpet-like form to a condensed ball-like shape or any measurable shortening of its body length. The observed structures (bubbly cluster) do not exhibit the dynamic shape change characteristic of a contraction.</t>
  </si>
  <si>
    <t>no/0/The stentor maintains a consistent extended trumpet-like shape throughout all frames, with no noticeable shortening of its body length or transition to a condensed form. Therefore, no contraction occurs.</t>
  </si>
  <si>
    <t>no/0/In all provided frames, the stentor maintains a consistent extended trumpet-like shape with no observable shortening or change to a condensed form. Therefore, no contraction occurs.</t>
  </si>
  <si>
    <t>no/0/The stentor remains in an extended, trumpet-like shape throughout all frames; there is no observable shortening or change to a condensed, ball-like form, indicating no contraction occurred.</t>
  </si>
  <si>
    <t>no/0/The stentor maintains an extended trumpet-like shape throughout all frames; there is no observable shortening or transition to a condensed, ball-like form at any point in the video.</t>
  </si>
  <si>
    <t>yes/90/The stentor's body length decreases noticeably across the frames, indicating a clear shortening from an extended trumpet shape to a more condensed form, consistent with a contraction.</t>
  </si>
  <si>
    <t>no/10/In all provided frames, the stentor's overall shape and length remain consistent; there is no observable change from an extended trumpet-like form to a condensed state (either fully ball-like or partially shortened). The surrounding particles and the needle do not influence the stentor's morphology, and no measurable shortening of the stentors body is evident across the sequence.</t>
  </si>
  <si>
    <t>no/0/All frames show the stentor maintaining a consistent extended trumpet-like shape with no measurable shortening of the body length or change to a condensed form. Therefore, no contraction occurs.</t>
  </si>
  <si>
    <t>no/0/All frames show the stentor maintaining the same spherical shape without any measurable shortening or change in form. The structure remains consistent across all subsampled frames, indicating no contraction behavior.</t>
  </si>
  <si>
    <t>no/0/The stentor maintains its extended trumpet-like shape throughout all provided frames, with no observable shortening or transition to a condensed, ball-like form. Therefore, no contraction occurs.</t>
  </si>
  <si>
    <t>yes/85/The stentor transitions from a more extended, trumpet-like shape (evident in earlier frames) to a more condensed, ball-like shape (evident in later frames), demonstrating a clear shortening of its body length and a shift toward a spherical form. This change meets the definition of a contraction.</t>
  </si>
  <si>
    <t>no/10/The stentor maintains a consistent extended trumpet-like shape throughout all frames, with no observable shortening of its body length or transition to a condensed, ball-like form. The visual evidence shows no change in morphology indicative of contraction.</t>
  </si>
  <si>
    <t>no/10/Throughout the sequence, the stentor maintains a consistently extended trumpet-like shape with no observable shortening of its body length or transition to a condensed form. The subtle variations in the surrounding particles and the stentors ciliary motion do not indicate a contraction event as defined.</t>
  </si>
  <si>
    <t>no/0/The stentor remains in an extended trumpet-like shape throughout all frames, showing no measurable shortening or change to a condensed form. Therefore, no contraction occurs.</t>
  </si>
  <si>
    <t>yes/85/The stentor (right organism) shows a clear transition from an extended trumpet shape to a more condensed, rounded shape across multiple frames, indicating a contraction.</t>
  </si>
  <si>
    <t>no/0/The stentor remains in a condensed, ball-like shape across all frames with no observable change from an extended trumpet shape to a condensed form. Since contraction requires a change in shape (from extended to condensed), and no such change is visible in the provided frames, there is no contraction.</t>
  </si>
  <si>
    <t>no/0/The stentor remains in an extended, trumpet-like shape throughout all frames; there is no observable shortening or change to a condensed form.</t>
  </si>
  <si>
    <t>no/0/The stentor maintains a consistent teardrop (trumpet-like) shape throughout all frames, with no observable shortening of body length or transition to a condensed, ball-like form. No changes in morphology indicative of contraction are present.</t>
  </si>
  <si>
    <t>no/0/The stentor remains in an extended, trumpet-like shape throughout all frames. There is no observable change in its body length or shape that indicates a contraction (e.g., shortening, ball-like condensation). All frames show the stentor maintaining a consistent elongated form.</t>
  </si>
  <si>
    <t>no/0/In all frames, the stentor maintains its extended trumpet-like shape without any measurable shortening or transition to a condensed form. No change in body length or shape indicative of a contraction is observed.</t>
  </si>
  <si>
    <t>no/0/All frames show the stentor maintaining an extended trumpet-like shape with no measurable shortening or change to a condensed form; the body length and overall structure remain consistent across all provided frames.</t>
  </si>
  <si>
    <t>no/0/The stentor remains in an extended, trumpet-like shape across all provided frames with no observable shortening or change to a condensed form. Therefore, no contraction occurs.</t>
  </si>
  <si>
    <t>no/0/The stentor remains in an extended trumpet-like shape throughout all frames; there is no observable shortening or transition to a condensed, ball-like form. Therefore, no contraction occurs.</t>
  </si>
  <si>
    <t>no/15/Throughout the video, the stentor maintains an extended trumpet-like shape with no observable shortening or transition to a condensed, ball-like form. The brief blurriness in some frames does not indicate a contraction, as the stentor's structure returns to the same extended state when clear. No measurable change in body length or shape consistent with contraction is visible.</t>
  </si>
  <si>
    <t>no/15/Throughout all frames, the stentor maintains an extended trumpet-like shape with no measurable shortening of body length or transition to a condensed form. The structure remains consistent without visible contraction behavior.</t>
  </si>
  <si>
    <t>no/10/The stentor maintains a consistent extended trumpet shape across all frames; there is no observable shortening or transition to a condensed form. The surrounding particles show minor movement, but the stentors morphology remains unchanged. Therefore, no contraction is evident.</t>
  </si>
  <si>
    <t>no/0/All provided frames show identical or nearly identical structures with no observable change in the stentors shape from an extended trumpet-like form to a condensed, ball-like shape or any measurable shortening of its body. Therefore, no contraction occurs.</t>
  </si>
  <si>
    <t>no/0/The stentor maintains a consistent extended shape throughout all frames, with no observable shortening of body length or transition to a condensed form. Therefore, no contraction occurs.</t>
  </si>
  <si>
    <t>no/10/The stentor maintains a consistent extended shape throughout all frames, with no observable shortening of body length or transition to a condensed, ball-like form. Therefore, no contraction occurs.</t>
  </si>
  <si>
    <t>no/0/The stentor's shape remains consistently extended in all frames, showing no change in body length or transition to a condensed form. Therefore, no contraction is observed.</t>
  </si>
  <si>
    <t>no/10/In all frames, the stentor maintains an extended trumpet-like shape without any measurable shortening of its body length or transition to a condensed, ball-like form. The structure remains consistent, indicating no contraction behavior.</t>
  </si>
  <si>
    <t>no/0/The stentor's shape remains consistently extended and does not show any measurable shortening or condensation throughout the sequence of frames. All frames depict the stentor in a similar trumpet-like form without evidence of the head-tail distance decreasing or a shift toward a ball-like shape. Therefore, no contraction is observed.</t>
  </si>
  <si>
    <t>no/0/The stentor maintains its extended trumpet-like shape throughout all frames, with no noticeable shortening of its body length or transition to a condensed, ball-like form. The observed movement of the oval object nearby is unrelated to the stentor's contraction behavior.</t>
  </si>
  <si>
    <t>no/0/All frames show the stentor maintaining a consistent extended trumpet shape with no observable shortening or transition to a condensed form. Therefore, no contraction occurs.</t>
  </si>
  <si>
    <t>no/0/In all provided frames, the stentor maintains a consistent extended trumpet shape with no measurable shortening of body length or transition to a condensed form. No change in morphology indicative of contraction is observed.</t>
  </si>
  <si>
    <t>no/0/Throughout all frames, the stentor maintains an extended trumpet-like shape with no noticeable shortening of its body length or transition to a condensed form. There is no evidence of the stentor changing from its extended state to a condensed, ball-like shape or even a partial shortening. Therefore, no contraction occurs.</t>
  </si>
  <si>
    <t>no/0/The stentor maintains a consistent extended trumpet shape throughout all frames, with no observable shortening of body length or transition to a condensed form. The surrounding particles may shift, but the stentors morphology remains unchanged, indicating no contraction.</t>
  </si>
  <si>
    <t>no/0/There is no observable change in the stentor's shape from an extended trumpet-like form to a condensed or shortened state across all provided frames. The stentor maintains a consistent morphology throughout the sequence, indicating no contraction occurred.</t>
  </si>
  <si>
    <t>yes/95/The stentor's body length visibly shortens from an extended trumpet-like shape to a more condensed form across the frame sequence, indicating a clear contraction behavior.</t>
  </si>
  <si>
    <t>yes/95/The stentor transitions from an extended trumpet shape to a noticeably shorter and more condensed form across the frames, with a clear reduction in the distance between its "head" and "tail" regions, satisfying the definition of a contraction.</t>
  </si>
  <si>
    <t>32B_judge</t>
  </si>
  <si>
    <t>yes/95/The stentor transitions from an extended trumpet-like shape to a significantly shortened, condensed form (evident in the middle to later frames where the body length decreases noticeably), which meets the definition of a contraction.</t>
  </si>
  <si>
    <t>yes/95/The stentor transitions from an extended, trumpet-like shape to a more condensed, rounded form. The distance between the "head" and "tail" decreases noticeably across the frames, indicating a clear shortening of the body length consistent with contraction (even if not fully spherical). This change is evident in the progression of frames.</t>
  </si>
  <si>
    <t>yes/95/The stentor transitions from an extended trumpet shape (in early frames) to a significantly shortened form (with noticeable reduction in body length) before disappearing from the field of view. This measurable shortening of the stentors body meets the definition of a contraction, as it changes from an extended to a condensed state.</t>
  </si>
  <si>
    <t>yes/95/The stentor is visible in an extended trumpet shape in the initial frames, then rapidly disappears from view in subsequent frames (e.g., frame 40+), indicating a contraction where the organism retracts from its extended form into a condensed state (the contracted shape is not visible in the frames but the abrupt loss of the extended form confirms contraction).</t>
  </si>
  <si>
    <t>yes/95/The stentor transitions from an extended trumpet-like shape (e.g., early frames) to a more condensed form with a noticeable reduction in body length (e.g., middle to later frames), showing a clear shortening of the distance between the head and tail, which meets the definition of a contraction.</t>
  </si>
  <si>
    <t>yes/95/The stentor is clearly visible in an extended trumpet shape in the early frames. As the video progresses, the stentor undergoes a noticeable shortening of its body length (e.g., in frames around the 10th to 12th in the sequence), transitioning from an extended form to a condensed state where it is no longer distinctly visible as a trumpet. This change in shape from extended to condensed meets the definition of a contraction.</t>
  </si>
  <si>
    <t>yes/90/The stentor transitions from an extended trumpet shape to a significantly shortened and condensed form (e.g., between the first and later frames, the stentors body length decreases noticeably, with the tail retracted and overall shape becoming more compact). This meets the definition of a contraction as a measurable shortening from the extended state.</t>
  </si>
  <si>
    <t>yes/95/The stentor is initially in an extended trumpet shape, and in the later frames (e.g., around frame 30), it is no longer visible in its extended form, indicating a rapid contraction where the organism retracted from view. This transition from extended to condensed (or hidden) state qualifies as a contraction per the definition.</t>
  </si>
  <si>
    <t>yes/80/The stentor is visible in an extended trumpet shape in the initial frames, then disappears from view in subsequent frames. This disappearance aligns with the definition of contraction (change from extended to condensed), as the stentor likely retracted into a ball-like shape not visible in later frames. The absence of the extended form in later frames confirms a contraction occurred.</t>
  </si>
  <si>
    <t>yes/100/The stentor is initially in an extended trumpet shape. In the later frames, the stentor disappears from view, and the area where it was located shows a cluster of small particles. This abrupt change indicates a rapid contraction, as stentors can contract quickly (often in one frame) to a condensed state that may not be clearly visible in the same manner as the extended form. The transition from an extended shape to the absence of the trumpet-like structure (consistent with contraction behavior) confirms the event.</t>
  </si>
  <si>
    <t>no/0/The stentor maintains a consistent extended shape throughout all frames; there is no observable change in body length or shape indicating a contraction (e.g., no shortening from trumpet to condensed form).</t>
  </si>
  <si>
    <t>yes/95/The stentor transitions from an extended trumpet shape to a condensed, circular shape in the later frames of the video. This change from an elongated form to a more compact, ball-like structure satisfies the definition of a contraction. The transition is evident and clear, indicating a contraction event.</t>
  </si>
  <si>
    <t>no/0/The stentor remains in an extended, trumpet-like shape throughout the visible frames where it is present. There is no observable change to a condensed or ball-like shape, nor any measurable shortening of its body length. The stentor eventually exits the frame, but this does not constitute a contraction as defined.</t>
  </si>
  <si>
    <t>yes/95/The stentor transitions from an extended trumpet shape (evident in early frames) to a significantly condensed, less elongated form (clearly visible in later frames), with a measurable shortening of its body length. This change meets the definition of a contraction, even if not fully spherical.</t>
  </si>
  <si>
    <t>yes/90/The stentor transitions from an extended trumpet-like shape (long, narrow body) to a more condensed, shorter shape (reduced distance between head and tail) in the later frames. This measurable shortening of the body length, even without becoming fully spherical, satisfies the definition of a contraction. The change is clear and consistent across multiple frames.</t>
  </si>
  <si>
    <t>yes/90/The stentor transitions from an extended trumpet-like shape to a significantly condensed, rounded form in the latter frames (e.g., around frame 32-33), with the characteristic elongated structure disappearing and the body shortening noticeably, which satisfies the definition of a contraction.</t>
  </si>
  <si>
    <t>yes/95/The stentor transitions from an extended trumpet shape to a more condensed, shorter form (reduced distance between head and tail) in the sequence, with clear visible shortening of its body. This meets the definition of contraction (even if not fully ball-like, the measurable shortening is sufficient). The change occurs over multiple frames, confirming a contraction event.</t>
  </si>
  <si>
    <t>yes/95/The stentor transitions from an extended trumpet shape to a condensed, ball-like form in the later frames, with a noticeable shortening of its body length and a change in overall morphology. Therefore, contraction occurs.</t>
  </si>
  <si>
    <t>no/0/The stentor remains in a consistently extended trumpet-like shape across all frames, with no observable shortening or transition to a condensed, ball-like form. Debris and small particles in the background do not affect the stentor's morphology, which shows no measurable change in body length or shape indicative of contraction.</t>
  </si>
  <si>
    <t>no/0/The stentor remains in an extended trumpet-like shape throughout all frames, with no observable shortening or transition to a condensed, ball-like form. The apparent changes in the surrounding debris do not affect the stentor's morphology. Therefore, no contraction occurs.</t>
  </si>
  <si>
    <t>yes/90/The stentor transitions from an extended trumpet-like shape (with a long, narrow body) to a condensed, ball-like form. This is evident in the progression of frames where the stentor's body length decreases noticeably and the organism becomes more rounded, matching the definition of a contraction. The change is clear and measurable, even if not perfectly spherical, satisfying the criteria for a contraction.</t>
  </si>
  <si>
    <t>yes/95/The stentor transitions from an extended trumpet shape (visible in the initial frames) to a significantly condensed, shortened form (evident in the middle to later frames) where the body length is markedly reduced. This change in shape, from extended to condensed, meets the definition of a contraction.</t>
  </si>
  <si>
    <t>yes/95/The stentor transitions from an extended trumpet shape to a more condensed, elongated shape (not fully ball-like but a clear shortening) in the later frames, with a distinct change in body length. This meets the definition of a contraction.</t>
  </si>
  <si>
    <t>yes/95/The stentor transitions from an extended trumpet shape (visible in early frames) to a condensed state where it is no longer visible as an extended form, indicating a contraction. This change is evident as the stentor's body shortens and becomes indistinct in later frames, consistent with the definition of a contraction.</t>
  </si>
  <si>
    <t>no/0/The stentor maintains a consistent extended trumpet-like shape throughout all frames, with no measurable shortening of body length or transition to a condensed form. Therefore, no contraction occurs.</t>
  </si>
  <si>
    <t>no/0/The stentor (the elongated, trumpet-shaped organisms in the upper portion of the frames) remains consistently extended throughout the video. There is no observable shortening of its body length or transition to a condensed, ball-like shape, indicating no contraction occurred.</t>
  </si>
  <si>
    <t>yes/95/The stentor transitions from an extended trumpet shape (evident in the initial frames) to a significantly condensed form as the video progresses. The body length shortens noticeably, and the organism retracts from its initial elongated structure, meeting the definition of a contraction. This change is clear across multiple frames, confirming the behavior.</t>
  </si>
  <si>
    <t>no/0/The stentor remains in a consistent extended trumpet-like shape throughout all frames; there is no observable change to a condensed, ball-like shape or measurable shortening of the body length. The visual details (e.g., the dark central structure and surrounding cilia) do not show any significant shape transition indicative of contraction.</t>
  </si>
  <si>
    <t>yes/95/The stentor transitions from an extended trumpet shape (early frames) to a condensed, shorter form (mid-late frames), with visible shortening of the body length and a shift toward a more compact structure, meeting the definition of a contraction. The change is clear across multiple frames, indicating a contraction event.</t>
  </si>
  <si>
    <t>no/0/The stentor (the elongated, dark structure on the left) maintains a consistent extended shape throughout all frames. There is no observable shortening of its body length or transition to a condensed, ball-like form. The changes in background debris do not affect the stentors shape. Therefore, no contraction occurs.</t>
  </si>
  <si>
    <t>yes/95/The stentor transitions from an extended trumpet shape (in initial frames) to a significantly shortened, condensed oval shape (in later frames), indicating a clear and measurable reduction in body length. This constitutes a contraction per the definition provided.</t>
  </si>
  <si>
    <t>yes/95/The stentor, initially visible as an extended trumpet - shaped structure, is no longer present in the later frames (e.g., from the 30th frame onward). This disappearance indicates a rapid contraction, as stentors contract by shortening their body, which can cause them to move out of view or become condensed to a point where they are no longer visible under the microscope. Given the clear transition from an extended form to absence (implying a condensed state), a contraction has occurred.</t>
  </si>
  <si>
    <t>yes/95/The stentor is initially in an extended trumpet shape, then undergoes a noticeable shortening of its body length (evident in frames where the organism's shape transitions from elongated to a more condensed form before disappearing). This change from an extended shape to a condensed state meets the definition of contraction.</t>
  </si>
  <si>
    <t>yes/90/The stentor transitions from an extended trumpet shape to a condensed, ball-like shape as observed in the sequence of frames, with a noticeable reduction in body length and reorganization into a more compact form. Therefore, a contraction occurs.</t>
  </si>
  <si>
    <t>yes/95/The stentor transitions from an extended trumpet shape (evident in early frames) to a condensed, ball-like shape (clearly visible in later frames, e.g., when the organism's body shortens significantly and becomes more spherical). This change in morphology meets the definition of a contraction.</t>
  </si>
  <si>
    <t>yes/100/The stentor starts in an extended trumpet shape, then its body shortens and the head portion becomes condensed, eventually disappearing from view. This transition from an extended to a condensed form meets the definition of a contraction. The change is clear and measurable across the frames.</t>
  </si>
  <si>
    <t>yes/95/The stentor transitions from an extended trumpet shape (evident in the first set of frames) to a condensed, ball-like shape (evident in the later frames), with a clear shortening of the body length and shift from a trumpet to a more spherical form, which meets the definition of a contraction.</t>
  </si>
  <si>
    <t>yes/100/The stentor transitions from an extended trumpet shape to a condensed, ball-like shape (evident when the trumpet structure disappears and the area becomes a more compact form). This change from an extended to a condensed shape meets the definition of a contraction.</t>
  </si>
  <si>
    <t>yes/95/The stentor transitions from an extended trumpet shape (early frames) to a condensed, less elongated form (middle to late frames), with noticeable shortening of its body length and loss of the trumpet structure, meeting the definition of a contraction.</t>
  </si>
  <si>
    <t>no/0/The stentor's shape remains relatively consistent across all frames, with no noticeable change in body length from an extended trumpet-like form to a condensed state. The observed variations are minor and do not meet the definition of a contraction.</t>
  </si>
  <si>
    <t>yes/95/The stentor transitions from an extended trumpet-like shape to a condensed, more spherical shape as observed in the later frames of the video. This change in morphology from an elongated form to a compact, ball-like structure meets the definition of a contraction.</t>
  </si>
  <si>
    <t>yes/85/The stentor undergoes a clear shortening of its body length, transitioning from an extended trumpet shape to a more condensed form (evident in the middle to later frames where the distance between the "head" and "tail" decreases noticeably, even if not fully spherical). This meets the definition of a contraction.</t>
  </si>
  <si>
    <t>yes/95/The stentor transitions from an extended trumpet shape to a significantly shortened form (evident in the middle frames where the distance between the "head" and "tail" clearly decreases), indicating a measurable shortening. Although it does not fully become a ball-like shape, the partial shortening meets the definition of a contraction. The organisms visible change in body length confirms the behavior.</t>
  </si>
  <si>
    <t>no/0/The stentor remains in an extended, trumpet-like shape throughout all frames with no observable shortening or change to a condensed form. Therefore, no contraction occurs.</t>
  </si>
  <si>
    <t>yes/100/The stentor transitions from an extended trumpet shape to a condensed form (disappearing from view as it contracts), indicating a contraction event.</t>
  </si>
  <si>
    <t>yes/95/The stentor is initially visible in an extended trumpet shape in early frames. In later frames (e.g., starting from the 31st frame), the trumpet shape disappears and a condensed, non-extended form (or the stentor is no longer in the trumpet shape) is observed, indicating a change from extended to condensed state, which meets the definition of contraction. Therefore, contraction occurs.</t>
  </si>
  <si>
    <t>yes/90/The stentor's body length shortens noticeably as it transitions from an extended trumpet-like shape to a more condensed form across the sequence of frames, with measurable reduction in the distance between its head and tail, satisfying the definition of a contraction.</t>
  </si>
  <si>
    <t>yes/100/The stentor transitions from an extended trumpet shape (e.g., early frames) to a condensed, rounded shape (e.g., later frames where the stentor is more teardrop or ball-like). This change in shape from extended to condensed meets the definition of a contraction.</t>
  </si>
  <si>
    <t>no/0/The stentor maintains an extended, trumpet-like shape throughout all frames with no observable shortening of body length or change to a condensed form. Therefore, no contraction occurs.</t>
  </si>
  <si>
    <t>yes/92/The stentor's body length noticeably decreases between frames (e.g., comparing early frames where the stentor is more elongated to later frames where it is shortened), indicating a clear contraction behavior. The change in shape from an extended trumpet form to a more condensed state meets the definition of contraction.</t>
  </si>
  <si>
    <t>yes/95/The stentor is clearly in an extended trumpet shape in the initial frames, and in subsequent frames, the extended shape is no longer visible (replaced by dispersed particles), indicating a rapid contraction (as the transition from extended to condensed occurs between frames). Contraction is confirmed by the absence of the extended shape and the presence of a condensed state (or rapid movement post-contraction) as defined.</t>
  </si>
  <si>
    <t>yes/90/The stentor transitions from an extended trumpet shape (with a long, narrow portion) to a more condensed, oval shape in the latter frames, showing a clear shortening of body length and retraction of the extended "trumpet" structure, which meets the definition of a contraction.</t>
  </si>
  <si>
    <t>yes/95/The stentor starts in an extended trumpet shape and progressively changes to a condensed state, with the extended form disappearing entirely in later frames, indicating a clear contraction from an extended to a condensed shape.</t>
  </si>
  <si>
    <t>yes/95/The stentor transitions from an extended trumpet shape to a significantly shortened body length (e.g., compare early frames where the stentor is long with later frames where it is markedly shorter). This measurable shortening of the body length constitutes a contraction, even if not fully ball-like. The change is clear and consistent with the definition of contraction.</t>
  </si>
  <si>
    <t>no/0/No visible change in the stentor's shape from an extended trumpet form to a condensed ball-like form occurs in any frame. Both stentors (left and right) maintain consistent elongated shapes throughout the sequence, with no measurable shortening of body length or transition to a more spherical form. The observed changes in the background (e.g., particles, needle position) do not relate to stentor contraction behavior.</t>
  </si>
  <si>
    <t>yes/85/The stentor transitions from an extended trumpet-like shape (with a long, narrow tail) to a more condensed form with a noticeable decrease in body length (e.g., the tail shortens and the overall structure becomes less elongated) across the sequence. This shortening of the body length, even if not fully spherical, satisfies the definition of contraction.</t>
  </si>
  <si>
    <t>yes/95/The stentor transitions from an extended trumpet shape to a condensed form (no longer visible as a tall, trumpet-shaped structure in later frames), indicating a contraction. This change involves a measurable shortening of the body length, consistent with the definition of a contraction.</t>
  </si>
  <si>
    <t>yes/100/The stentor transitions from an extended trumpet shape to a significantly condensed form, with a clear shortening of its body length and a more compact structure. This change is evident in the progression of frames, meeting the definition of a contraction.</t>
  </si>
  <si>
    <t>yes/95/The stentor transitions from an extended trumpet shape (evident in early frames) to a condensed, ball-like shape (evident in later frames, e.g., the prominent dark circle). This change in morphology from extended to condensed qualifies as a contraction.</t>
  </si>
  <si>
    <t>yes/95/The stentor's body length decreases noticeably as the video progresses, with the extended "trumpet" shape transitioning to a more condensed form before the stentor disappears from the frame. This shortening of the body (reduction in distance between head and tail) meets the definition of a contraction.</t>
  </si>
  <si>
    <t>yes/100/The stentor transitions from an extended trumpet shape to being no longer visible (replaced by small particles), indicating a rapid contraction where it changes from an extended form to a condensed state. The disappearance of the stentor's characteristic structure and the presence of small particles align with a contraction event as defined.</t>
  </si>
  <si>
    <t>yes/100/The stentor transitions from an extended trumpet shape (in the early frames) to a condensed, oval shape (the small object on the left in the later frames), indicating a clear contraction.</t>
  </si>
  <si>
    <t>yes/95/The stentor is initially visible as an extended trumpet shape. In the sequence, the stentor rapidly disappears from view, which corresponds to a contraction behavior (changing from extended to a condensed state). The presence of a micropipette nearby suggests a stimulus, and stentors typically contract quickly in response to such disturbances. The absence of the stentor in subsequent frames indicates it underwent a contraction.</t>
  </si>
  <si>
    <t>yes/90/In the video, the stentor is initially in an extended trumpet shape. By the later frames, the stentor is no longer visible, indicating a contraction to a condensed form (as stentors contract quickly and may become small enough to not be visible in the frame). This aligns with the definition of contraction.</t>
  </si>
  <si>
    <t>yes/95/The stentor transitions from an extended trumpet shape to a significantly condensed form, with a clear shortening of its body length and loss of the trumpet structure, indicating a contraction.</t>
  </si>
  <si>
    <t>yes/95/The stentor is initially in an extended trumpet shape (visible in early frames) and then disappears from the extended form, indicating it contracted into a condensed state (as seen by the absence of the extended structure and the presence of a different, more compact shape in later frames). This change in shape from extended to condensed qualifies as a contraction.</t>
  </si>
  <si>
    <t>yes/95/The stentor changes from an extended trumpet shape to a noticeably shorter, condensed form (e.g., by the 30th frame, its body length decreases significantly while the head remains identifiable). This measurable shortening of body length meets the definition of a contraction.</t>
  </si>
  <si>
    <t>yes/95/The stentor transitions from an extended trumpet shape to a significantly shorter, condensed form (evident in frames where the stentor's body length decreases and its shape changes from elongated to a more oval/shorter structure), which meets the definition of contraction (even if not fully spherical, the clear shortening of body length qualifies). Therefore, contraction occurs.</t>
  </si>
  <si>
    <t>yes/95/The stentor transitions from an extended trumpet shape to a condensed form with a noticeably shorter body length (e.g., in early frames, the stentor is long and trumpet-shaped; later, it becomes more compact, indicating a measurable shortening of the body. This partial contraction meets the criteria for a contraction as defined.</t>
  </si>
  <si>
    <t>yes/95/The stentor transitions from an extended trumpet shape to a condensed state where its distinct form is no longer visible in the later frames, indicating a contraction. This change is evident as the organism loses its elongated structure and becomes indistinct from the surrounding particles, consistent with a contraction event.</t>
  </si>
  <si>
    <t>yes/95/The stentor's body length decreases noticeably over the sequence of frames, transitioning from an extended trumpet shape to a more condensed form, indicating a contraction. This shortening is measurable and consistent with the definition of a contraction (even if not fully spherical).</t>
  </si>
  <si>
    <t>yes/90/The stentor transitions from an extended trumpet-like shape (in the first set of frames) to a significantly shortened, condensed, oval-like shape (in the later frames). This change in body length and form meets the definition of a contraction, as the distance between the "head" and "tail" decreases noticeably, even if not fully spherical. The transition is evident in the subsampled frames where the structure becomes shorter and less elongated.</t>
  </si>
  <si>
    <t>yes/100/In the initial frames (1-6), the stentor is clearly visible in an extended trumpet shape. From frame 7 onward, the stentor is no longer visible, indicating a rapid contraction to a condensed state (ball-like or retracted) that moves it out of the observable field. This transition from extended to condensed shape confirms a contraction occurred.</t>
  </si>
  <si>
    <t>yes/95/The stentor transitions from an extended trumpet shape to a state where it is no longer visible in the extended form (disappearing from the frame), indicating a contraction. The body shortens significantly and the organism is no longer observed in the extended shape, meeting the criteria for contraction.</t>
  </si>
  <si>
    <t>yes/75/In multiple frames, the stentor's body lengthens from an extended trumpet shape to a more condensed form, with measurable shortening of the distance between head and tail, indicating contraction.</t>
  </si>
  <si>
    <t>yes/95/The stentor transitions from an extended trumpet shape to being no longer visible, with a cluster of particles appearing (likely from the retraction/contraction process). This indicates a clear change from an extended to a condensed state, consistent with contraction.</t>
  </si>
  <si>
    <t>yes/95/The stentor transitions from an extended trumpet shape to a condensed form (evidenced by a noticeable shortening of its body length over the frames) and eventually disappears from view, indicating a contraction occurred.</t>
  </si>
  <si>
    <t>yes/95/The stentor transitions from an extended trumpet shape (with a long, narrow body) to a condensed, more rounded shape. The body length decreases noticeably, indicating a contraction.</t>
  </si>
  <si>
    <t>yes/95/The stentor transitions from an extended trumpet shape to a condensed form (disappearing from the frame in later frames), which represents a clear change from its extended state to a more compact shape, meeting the definition of contraction.</t>
  </si>
  <si>
    <t>yes/100/The stentor transitions from an extended trumpet shape to a condensed form, with the structure shortening and eventually disappearing from view as it contracts into a ball-like shape. This change in morphology meets the definition of a contraction.</t>
  </si>
  <si>
    <t>yes/100/The stentor transitions from an extended, trumpet-shaped form to a significantly shorter and more condensed body shape (reduced distance between "head" and "tail") across the sequence, which meets the definition of a contraction. This change is clear and measurable in multiple frames, confirming the behavior.</t>
  </si>
  <si>
    <t>yes/95/The stentor transitions from an extended trumpet shape to a significantly condensed, non-trumpet shape in the later frames (e.g., the frame with the most pronounced contraction appears in the final segment, where the body shortens and thickens, indicating a clear contraction). Therefore, contraction occurs.</t>
  </si>
  <si>
    <t>no/10/The stentor maintains a consistent extended trumpet-like shape throughout all frames, with no observable shortening of the body length or transition to a condensed, ball-like form. Therefore, a contraction does not occur.</t>
  </si>
  <si>
    <t>yes/95/The stentors body length (distance between the wide head and narrow tail regions) shortens noticeably across the sequence, indicating a clear contraction from an extended trumpet shape to a more condensed form. This shortening is consistent and measurable over multiple frames.</t>
  </si>
  <si>
    <t>no/0/The stentor maintains an extended trumpet-like shape throughout all frames, with no observable shortening of body length or transition to a condensed, ball-like form. The internal granules and structure appear to shift slightly but do not indicate a contraction as defined.</t>
  </si>
  <si>
    <t>yes/100/The stentor starts in an extended trumpet shape and then rapidly disappears from view, indicating it has contracted into a condensed form (e.g., ball-like or significantly shortened). This transition from an extended to a non-extended state (where the organism is no longer visible as a long structure) confirms a contraction.</t>
  </si>
  <si>
    <t>yes/90/In multiple frames (e.g., around the 17th to 22nd frames), the stentor's body length shortens noticeably from its extended trumpet shape, indicating a clear contraction even if the final shape is not fully spherical. The body shortening is measurable and aligns with the definition of a contraction.</t>
  </si>
  <si>
    <t>no/0/Throughout all frames, the stentor maintains a consistent trumpet-like shape with no measurable shortening of body length or transition to a condensed form. The organism's structure remains extended without any visible contraction behavior as defined.</t>
  </si>
  <si>
    <t>yes/95/The stentor begins as an extended trumpet shape (e.g., first few frames) and then progressively shortens and retracts, eventually disappearing from view (e.g., later frames). This represents a clear change from an extended form to a condensed state, consistent with contraction. The rapid disappearance in subsampled frames is characteristic of a stentor contraction.</t>
  </si>
  <si>
    <t>yes/95/In the later frames of the video, the stentor transitions from an extended trumpet-like shape to a significantly shortened and more condensed form, demonstrating a clear reduction in body length. This change aligns with the definition of a contraction (a shift from extended to condensed shape), even though it does not fully become a ball. Therefore, a contraction occurs.</t>
  </si>
  <si>
    <t>yes/90/The stentor transitions from an extended trumpet shape to a significantly shortened, more condensed form in the later frames, with a clear reduction in body length between the head and tail regions, indicating a contraction.</t>
  </si>
  <si>
    <t>yes/95/The stentor is visible in an extended trumpet shape in the early frames. In the later frames (e.g., around the 40th frame), the stentor disappears from the extended form, indicating it has contracted into a condensed shape (which may not be visible in the same manner as the extended form). This transition from an extended to a condensed state meets the definition of a contraction.</t>
  </si>
  <si>
    <t>yes/95/The stentor starts in an extended trumpet shape and progressively shortens across frames, eventually disappearing (indicating a rapid contraction into a condensed state). The visible shortening of the stentors body length from its initial extended form to a significantly smaller size (and subsequent disappearance) aligns with the definition of a contraction.</t>
  </si>
  <si>
    <t>yes/90/The stentor changes from an extended trumpet shape to a more condensed, shorter form in the sequence of frames, meeting the definition of a contraction. The transition is evident as the organism's body length decreases noticeably.</t>
  </si>
  <si>
    <t>no/0/The stentor remains in an extended trumpet-like shape throughout the video without any noticeable shortening or condensation into a ball-like form. The observed changes in the video are due to the stentor moving or rotating, but there is no measurable decrease in the distance between the head and tail, and the overall shape does not transition to a condensed state. Therefore, no contraction occurs.</t>
  </si>
  <si>
    <t>no/0/In all provided frames, the stentor maintains an extended, trumpet-like shape with no observable shortening of the body or transition to a condensed, ball-like form. There is no evidence of contraction behavior as defined.</t>
  </si>
  <si>
    <t>yes/95/The stentor transitions from an extended trumpet shape (visible in early frames) to a significantly condensed, more spherical form (evident in later frames, e.g., around frame 40+). The body length shortens noticeably, and the structure becomes compacted, meeting the definition of a contraction (even if not fully spherical, the shortening is clear and measurable). This change occurs over multiple frames but is unambiguous.</t>
  </si>
  <si>
    <t>yes/90/The stentor transitions from an extended trumpet shape to a significantly shorter, more condensed form as the sequence progresses. The distance between the "head" and "tail" decreases noticeably (e.g., in early frames the body is elongated, while in later frames it is much shorter), indicating a contraction. This shortening is consistent with the definition of a contraction (partial or full), even if the shape doesn't become perfectly spherical.</t>
  </si>
  <si>
    <t>no/15/The stentor maintains a consistent extended trumpet shape throughout all frames; there is no observable shortening of the body length or transition to a condensed/ball-like form, indicating no contraction occurred.</t>
  </si>
  <si>
    <t>no/0/The stentor remains in an extended trumpet-like shape throughout all frames; there is no observable change to a condensed or shortened form, indicating no contraction occurred.</t>
  </si>
  <si>
    <t>yes/95/The stentor transitions from an extended trumpet shape (longer body with a distinct narrow end) to a significantly condensed, more rounded shape (reduced body length, less elongated). This change in form, involving a measurable shortening of the body length, meets the definition of a contraction. The transformation is evident across multiple frames, showing progressive shortening.</t>
  </si>
  <si>
    <t>yes/100/The stentor transitions from an extended trumpet shape to a significantly condensed form (where its characteristic long shape is no longer visible, replaced by a different, shorter structure). This change in body length from extended to condensed meets the definition of a contraction.</t>
  </si>
  <si>
    <t>yes/100/The stentor on the right transitions from an extended trumpet-like shape to a condensed, ball-like shape (e.g., visible in the 11th frame of the sequence where its body shortens and rounds). This change in shape matches the definition of a contraction.</t>
  </si>
  <si>
    <t>no/0/The stentor maintains an extended trumpet-like shape throughout all frames, with no observable shortening of body length or transition to a condensed, ball-like form. Therefore, no contraction occurs.</t>
  </si>
  <si>
    <t>yes/90/The stentor transitions from an extended trumpet shape to a condensed state where it no longer maintains the extended form, as seen in the later frames where the stentor's presence as an extended structure disappears, indicating a clear shortening and contraction.</t>
  </si>
  <si>
    <t>no/0/The stentor remains in an extended trumpet-like shape throughout all visible frames, with no measurable shortening of its body length or transition to a condensed, ball-like form. The later frames show other debris but no evidence of the stentor contracting.</t>
  </si>
  <si>
    <t>yes/95/The stentor transitions from an extended trumpet shape to a condensed, ball-like form. Early frames show the long, extended body, while later frames (e.g., around the 35th frame onward) depict a significant shortening of the body length and a more rounded, compact structure, consistent with a contraction. The change is clear and measurable, even if the final frames are blurry, as the contraction is evident before the stentor becomes fully obscured.</t>
  </si>
  <si>
    <t>yes/95/The stentor starts as an extended trumpet-shaped organism and then disappears from view in the later frames, indicating a transition to a condensed, ball-like shape (or partial contraction). The disappearance of the extended form and the presence of particles (possibly expelled during contraction) confirm a contraction event.</t>
  </si>
  <si>
    <t>yes/90/The stentor is initially visible in an extended trumpet shape. In the later frames (e.g., the 50th frame and beyond), the stentor is no longer visible, indicating it has contracted. The rapid disappearance from the field of view aligns with the definition of a contraction (a change from extended to condensed shape), even if the condensed form is not directly observed in the subsampled frames. This is consistent with stentor behavior where contractions can be quick, often occurring in a single frame.</t>
  </si>
  <si>
    <t>no/0/The stentor maintains an extended, trumpet-like shape throughout all frames without any noticeable shortening or transition to a condensed, ball-like form. Therefore, no contraction is observed.</t>
  </si>
  <si>
    <t>yes/95/The stentor transitions from an extended trumpet shape to a condensed, oval-like form (evident in the later frames where the elongated structure disappears and a smaller, rounded shape appears). This change represents a contraction as defined, with the body shortening significantly.</t>
  </si>
  <si>
    <t>no/10/The stentor maintains an extended trumpet-like shape throughout all frames, with no observable shortening of body length or transition to a condensed, ball-like form. Therefore, no contraction occurs.</t>
  </si>
  <si>
    <t>no/15/The stentor maintains an extended trumpet shape throughout all frames; there is no observable shortening of the body length or transition to a condensed, ball-like form. The cilia at the top appear to move, but this does not constitute a contraction as defined.</t>
  </si>
  <si>
    <t>yes/95/The stentor transitions from an extended trumpet shape to a significantly shortened, more compact form, indicating a clear contraction. The change in body length is evident across multiple frames, satisfying the definition of a contraction.</t>
  </si>
  <si>
    <t>yes/95/The stentor exhibits a clear shortening of its body length (the distance between the head and tail decreases noticeably) as it transitions from an extended trumpet shape to a more condensed form. This partial contraction is visible across multiple frames, satisfying the definition of a contraction. The organisms shape change is distinct and measurable, even though it does not become fully spherical.</t>
  </si>
  <si>
    <t>no/0/The stentor maintains a consistent extended trumpet-like shape throughout all frames, with no observable shortening of body length or transition to a condensed form. Therefore, no contraction occurs.</t>
  </si>
  <si>
    <t>yes/90/The stentor is initially visible as an extended trumpet shape (e.g., in the first few frames) and then disappears from view as a distinct trumpet shape, indicating it has contracted into a condensed form (as it is no longer extended). This change from extended to condensed confirms a contraction.</t>
  </si>
  <si>
    <t>no/0/The stentor maintains its extended trumpet-like shape throughout all frames; there is no observable shortening or transition to a condensed form. The changes in the surrounding particles do not affect the stentor's body morphology.</t>
  </si>
  <si>
    <t>yes/95/The stentor exhibits a clear change from an extended, trumpet-like shape to a more condensed, ball-like form across the frames. The organism's body length visibly shortens, and the overall shape becomes more rounded, meeting the definition of a contraction. This change is consistent and observable in the sequence, indicating a contraction event.</t>
  </si>
  <si>
    <t>yes/95/The stentor transitions from an extended trumpet shape to a significantly shorter, more condensed form as the video progresses, with clear shortening of the body length (e.g., from the initial elongated shape to the later frames where the distance between the "head" and "tail" decreases markedly). This change in morphology meets the definition of a contraction.</t>
  </si>
  <si>
    <t>yes/90/In the video, the stentor transitions from an extended, trumpet-like shape to a significantly condensed form, with a noticeable reduction in body length between the "head" and "tail" regions. This change occurs across several frames, confirming a contraction event.</t>
  </si>
  <si>
    <t>yes/85/The stentor's body length decreases noticeably (from a more elongated shape to a more condensed shape) across the frames, indicating a contraction.</t>
  </si>
  <si>
    <t>no/25/No visible change from an extended trumpet shape to a condensed ball-like shape occurs in any of the frames. The stentor's morphology remains consistent throughout the video, showing no measurable shortening or transition to a spherical form. The observed changes in background particles (e.g., algae, debris) do not relate to stentor behavior.</t>
  </si>
  <si>
    <t>no/0/The stentor remains in an extended, trumpet-like shape throughout all frames; there is no observable shortening or change to a condensed, ball-like form. Therefore, no contraction occurs.</t>
  </si>
  <si>
    <t>no/20/The stentor maintains an extended, trumpet-like shape throughout all frames without showing a noticeable shortening of body length or transition to a condensed, ball-like form. While minor shape fluctuations occur, they do not meet the criteria for a contraction (a clear and measurable change from extended to condensed). The lack of significant morphological change in the stentor's structure across the sequence indicates no contraction event.</t>
  </si>
  <si>
    <t>yes/95/The stentor on the right changes from an extended, trumpet-like shape to a more condensed, shorter shape across the frames, indicating a contraction.</t>
  </si>
  <si>
    <t>no/0/The stentor maintains a relatively consistent elongated trumpet shape throughout the sequence; there is no observable shortening of body length or transition to a condensed, ball-like form. All frames show the stentor with a steady distance between its head and tail, indicating no contraction.</t>
  </si>
  <si>
    <t>no/0/The stentor remains in an extended, trumpet-like shape throughout all frames; there is no observable change to a condensed or ball-like shape, nor any measurable shortening of its body length. Therefore, contraction does not occur.</t>
  </si>
  <si>
    <t>no/100/In all frames, the stentor maintains an extended trumpet shape without any measurable shortening of body length or transition to a condensed form. The observed movement is translational (the stentor moving upward in the field of view), not a shape change. Therefore, no contraction occurs.</t>
  </si>
  <si>
    <t>yes/95/The stentor on the left shows a clear shortening of its body length (reducing the distance between "head" and "tail") from an extended trumpet shape to a more condensed form across multiple frames. This measurable shortening qualifies as a contraction per the definition.</t>
  </si>
  <si>
    <t>yes/95/The stentor transitions from an extended, teardrop/trumpet shape (longer body) to a more condensed shape with a noticeably reduced length between its head and tail. This shortening of the body, even without becoming fully spherical, meets the definition of a contraction. The change is clear across the sequence of frames.</t>
  </si>
  <si>
    <t>yes/95/The stentor's body length decreases noticeably from an extended trumpet shape to a more condensed form across the sequence of frames, indicating a clear contraction (even if not fully spherical, the shortening of body length meets the definition).</t>
  </si>
  <si>
    <t>yes/95/The stentor transitions from an extended, trumpet-like shape to a more condensed, rounded form across the frames. The body length visibly shortens and the structure becomes significantly more compact, indicating a contraction (even if not fully spherical, the measurable shortening meets the definition).</t>
  </si>
  <si>
    <t>no/0/The stentor remains in an extended, elongated shape throughout all frames with no observable shortening or change to a condensed/ball-like form. Therefore, no contraction occurs.</t>
  </si>
  <si>
    <t>no/0/In all provided frames, the stentor maintains a consistent extended trumpet-like shape with no observable shortening, condensation, or transition to a ball-like form. The body length and overall morphology remain unchanged across the sequence, indicating no contraction behavior.</t>
  </si>
  <si>
    <t>no/0/In all provided frames, the stentor maintains a consistent extended trumpet-like shape with no observable shortening of body length or transition to a condensed/ball-like form. Therefore, no contraction occurs.</t>
  </si>
  <si>
    <t>yes/90/The stentor changes from an extended trumpet shape to a shorter, more condensed form (measurable shortening of the body length between the "head" and "tail"), which qualifies as a contraction per the definition. The shape transition is clear across multiple frames.</t>
  </si>
  <si>
    <t>yes/95/The stentor's body length clearly shortens from an extended, trumpet-like shape to a more condensed form as the frames progress, with a measurable decrease in the distance between the "head" and "tail" regions, indicating a contraction.</t>
  </si>
  <si>
    <t>yes/98/The stentor exhibits a measurable shortening of its body length across the frame sequence, with the distance between the "head" (narrower end) and "tail" (wider end) decreasing noticeably. While it does not fully collapse into a spherical shape, the consistent reduction in body length qualifies as a contraction per the defined criteria.</t>
  </si>
  <si>
    <t>yes/85/The left stentor transitions from an extended, trumpet-like shape to a more condensed form with noticeable shortening of its body length across the frame sequence, meeting the definition of a contraction.</t>
  </si>
  <si>
    <t>yes/95/The stentor transitions from an extended, trumpet-like shape to a condensed, ball-like form across the frames. The body length shortens noticeably, and the organism becomes more spherical, matching the definition of a contraction.</t>
  </si>
  <si>
    <t>6-32b</t>
    <phoneticPr fontId="1" type="noConversion"/>
  </si>
  <si>
    <t>Q3-VL 32B via ollama</t>
    <phoneticPr fontId="1" type="noConversion"/>
  </si>
  <si>
    <t>Prompt</t>
    <phoneticPr fontId="1" type="noConversion"/>
  </si>
  <si>
    <t>Q3Max</t>
  </si>
  <si>
    <t>Gemini</t>
  </si>
  <si>
    <t>235B</t>
    <phoneticPr fontId="1" type="noConversion"/>
  </si>
  <si>
    <t>(ABD)TN/TN+FP</t>
    <phoneticPr fontId="1" type="noConversion"/>
  </si>
  <si>
    <t>(C)TP/TP+FN</t>
    <phoneticPr fontId="1" type="noConversion"/>
  </si>
  <si>
    <t>General</t>
    <phoneticPr fontId="1" type="noConversion"/>
  </si>
  <si>
    <t>6 (no score instruction)</t>
    <phoneticPr fontId="1" type="noConversion"/>
  </si>
  <si>
    <t>The selected "Hard"</t>
    <phoneticPr fontId="1" type="noConversion"/>
  </si>
  <si>
    <t>Overall C 26 total</t>
    <phoneticPr fontId="1" type="noConversion"/>
  </si>
  <si>
    <t>235B_judge</t>
  </si>
  <si>
    <t>235B_judge</t>
    <phoneticPr fontId="1" type="noConversion"/>
  </si>
  <si>
    <t>235B_response</t>
  </si>
  <si>
    <t>235B_response</t>
    <phoneticPr fontId="1" type="noConversion"/>
  </si>
  <si>
    <t>yes/100/The stentor transitions from an extended trumpet shape to a condensed form, with visible shortening and rounding, meeting the definition of contraction.</t>
  </si>
  <si>
    <t>yes/95/The stentor transitions from an extended trumpet-like shape in earlier frames to a more condensed, rounded form in later frames (e.g., 9.8s), meeting the definition of contraction. The change is consistent across the sequence, indicating a clear contraction event.</t>
  </si>
  <si>
    <t>yes/100/The stentor is visible in an extended trumpet shape until approximately 4.9 seconds, after which it disappears from view while releasing a burst of particles, indicating a full contraction into a condensed, ball-like shape (which is no longer visible in the frame). This meets the definition of contraction.</t>
  </si>
  <si>
    <t>yes/100/The stentor transitions from an extended trumpet shape to no longer being visible in that form, indicating it contracted into a condensed shape. The disappearance of the extended structure confirms contraction.</t>
  </si>
  <si>
    <t>no/0/The stentor maintains an extended, trumpet-like shape across all frames with no observable change to a condensed, ball-like shape.</t>
  </si>
  <si>
    <t>no/0/The stentor maintains an extended trumpet-like shape throughout all frames; no contraction to a condensed ball-like shape is observed.</t>
  </si>
  <si>
    <t>yes/100/The stentor starts in an extended trumpet shape (e.g., 0.1s frame) and is no longer visible in that form in subsequent frames, indicating it contracted into a condensed state. The transition from extended to absent (implied condensed shape) confirms contraction.</t>
  </si>
  <si>
    <t>yes/95/The stentor transitions from an extended trumpet shape to a more condensed form, with visible shortening and rounding of its structure over the video sequence, meeting the definition of contraction.</t>
  </si>
  <si>
    <t>yes/95/The stentor transitions from an extended trumpet shape to a condensed, ball-like shape between approximately 4-5 seconds, meeting the definition of contraction.</t>
  </si>
  <si>
    <t>yes/100/The stentor transitions from an extended trumpet shape to a condensed, ball-like shape between frames 4.4 and 4.6, meeting the definition of contraction.</t>
  </si>
  <si>
    <t>yes/100/The stentor transitions from an extended trumpet shape to a condensed, oval/ball shape between frames 4.4 and 5.2 seconds, meeting the definition of contraction.</t>
  </si>
  <si>
    <t>yes/100/The stentor transitions from an extended trumpet shape to a condensed form (disappearing from view then reappearing as a condensed shape), indicating contraction.</t>
  </si>
  <si>
    <t>yes/95/The stentor transitions from an extended trumpet shape to a condensed, less distinct form, indicating contraction. The change is evident in the later frames where the extended structure is no longer visible, confirming a contraction behavior.</t>
  </si>
  <si>
    <t>yes/95/The stentor is visible in an extended trumpet shape until approximately 5.2 seconds, after which it disappears from view. This disappearance indicates a contraction into a condensed, ball-like shape, as the stentor is no longer observable in its extended form. The transition from extended to absent (implied condensed state) confirms contraction.</t>
  </si>
  <si>
    <t>yes/100/The stentor changes from an extended trumpet shape to a condensed, ball-like shape between 4.1-4.4 seconds, which meets the definition of contraction.</t>
  </si>
  <si>
    <t>yes/95/The stentor transitions from an extended trumpet shape to a condensed, ball-like shape between frames 4.4s and 4.9s, with clear shortening and rounding consistent with contraction behavior.</t>
  </si>
  <si>
    <t>no/0/The stentor starts in a condensed, rounded shape and appears to elongate into a more extended form over time, indicating extension rather than contraction. No transition from an extended (trumpet) shape to a condensed (ball) shape is observed.</t>
  </si>
  <si>
    <t>yes/95/The stentor transitions from an extended trumpet-like shape in early frames to a condensed, shorter form in later frames, meeting the definition of contraction.</t>
  </si>
  <si>
    <t>yes/100/The stentor transitions from an extended trumpet shape to a condensed, ball-like shape between frames 3.5 and 4.0, which meets the definition of a contraction.</t>
  </si>
  <si>
    <t>yes/95/Stentor changes from extended trumpet shape to condensed ball-like shape by frame 5.5s, meeting contraction definition.</t>
  </si>
  <si>
    <t>no/0/No contraction observed; the stentor remains in a condensed, ball-like shape throughout all frames without transitioning from an extended trumpet shape.</t>
  </si>
  <si>
    <t>no/0/The stentor maintains an extended trumpet shape throughout all frames without any change to a condensed, ball-like shape.</t>
  </si>
  <si>
    <t>yes/95/The stentor is visible in an extended trumpet shape in early frames (e.g., 0.14.9 seconds) and then disappears from view in subsequent frames (e.g., 5.09.8 seconds), which is consistent with contraction into a condensed, ball-like form. The absence of the stentor in later frames, despite no movement out of the frame (as other background elements remain), indicates a contraction event.</t>
  </si>
  <si>
    <t>yes/90/The stentor transitions from an extended trumpet shape to a condensed form before disappearing from view, indicating contraction.</t>
  </si>
  <si>
    <t>yes/95/The stentor transitions from an extended trumpet shape (visible in early frames) to a condensed state where the structure is no longer visible as an extended form, indicating contraction. The disappearance of the extended structure and presence of dense particles in later frames align with the definition of contraction (change from extended to condensed shape).</t>
  </si>
  <si>
    <t>yes/100/The stentor transitions from an extended trumpet-like shape to a condensed, ball-like shape between the initial frames and approximately 4.0-4.3 seconds, meeting the definition of contraction.</t>
  </si>
  <si>
    <t>yes/100/The stentor transitions from an extended trumpet shape to a condensed, ball-like shape between frames, meeting the definition of contraction.</t>
  </si>
  <si>
    <t>no/0/The stentor maintains an extended trumpet-like shape throughout all frames without transitioning to a condensed, ball-like form.</t>
  </si>
  <si>
    <t>no/0/The stentor maintains an extended trumpet shape throughout all frames; no contraction to a condensed ball-like shape is observed.</t>
  </si>
  <si>
    <t>yes/100/The stentor transitions from an extended trumpet shape to a condensed, ball-like shape between frames 4.6 and 5.2 seconds, meeting the definition of contraction.</t>
  </si>
  <si>
    <t>yes/100/The stentor transitions from an extended trumpet shape to a condensed, ball-like shape between frames 4.9 and 5.2 seconds, which meets the definition of a contraction (including partial shortening).</t>
  </si>
  <si>
    <t>yes/95/The stentor transitions from an extended trumpet-like shape to a condensed, dark spherical form between frames, meeting the contraction definition.</t>
  </si>
  <si>
    <t>yes/95/The stentor transitions from an extended trumpet-like shape to a condensed state, as evidenced by its disappearance from the extended form in later frames (e.g., 4.4s onward), indicating a contraction.</t>
  </si>
  <si>
    <t>yes/95/Stentor changes from extended trumpet shape to condensed ball-like shape between frames 4-8, meeting the contraction definition. Slow but clear morphological change.</t>
  </si>
  <si>
    <t>yes/100/The stentor transitions from an extended trumpet shape in early frames to a condensed, ball-like shape in later frames (e.g., 6.99.8), meeting the definition of contraction.</t>
  </si>
  <si>
    <t>yes/100/The stentor changes from an extended trumpet shape to a condensed oval shape between 4.1 and 4.4 seconds, meeting the definition of contraction.</t>
  </si>
  <si>
    <t>yes/100/The stentor transitions from an extended trumpet shape to a condensed form, with the structure disappearing in later frames, indicating a full contraction. The rapid change and dispersal of particles confirm the contraction event.</t>
  </si>
  <si>
    <t>yes/95/The stentor is visible in an extended trumpet-like shape from 0.1 to ~4.3 seconds and then disappears from view in subsequent frames, indicating it contracted into a condensed, ball-like shape (as stentors typically contract out of sight when contracting).</t>
  </si>
  <si>
    <t>no/0/The stentor maintains an extended, trumpet-like shape throughout all frames without transitioning to a condensed, ball-like form, indicating no contraction occurred.</t>
  </si>
  <si>
    <t>yes/100/The stentor transitions from an extended trumpet shape to a condensed, ball-like shape between approximately 5.0 and 5.5 seconds, meeting the definition of contraction.</t>
  </si>
  <si>
    <t>yes/90/The stentor exhibits partial shortening from its extended trumpet-like shape to a more condensed form between frames 4-8 seconds, meeting the criteria for contraction as partial shortening is included in the definition.</t>
  </si>
  <si>
    <t>yes/90/The stentor transitions from an extended trumpet shape in early frames to a condensed form (no longer extended) in later frames (e.g., disappearing from its extended position by ~4.9s and showing a rounded structure), satisfying the contraction definition.</t>
  </si>
  <si>
    <t>yes/100/The stentor transitions from an extended trumpet shape in early frames to a condensed state by frame 5.2, where the extended structure is no longer visible and a burst of particles/debris indicates contraction. This meets the definition of contraction as a shape change from extended to condensed.</t>
  </si>
  <si>
    <t>yes/95/The stentor is extended (trumpet shape) in frames up to ~4.9 seconds. At 5.2 seconds, it disappears and is replaced by a dispersed cloud of particles, indicating it contracted into a condensed shape (likely a ball) before releasing the particles. This meets the definition of contraction as a shape change from extended to condensed.</t>
  </si>
  <si>
    <t>yes/95/The stentor changes from an extended trumpet shape to a condensed, oval/teardrop shape between frames 3.5 and 4.1, which meets the definition of contraction as it transitions to a more compact form.</t>
  </si>
  <si>
    <t>yes/100/The stentor is visible in an extended trumpet shape from 0.1 to 4.1 seconds, then disappears from view by 4.4 seconds, indicating it contracted into a condensed form. The complete disappearance of the extended structure confirms contraction.</t>
  </si>
  <si>
    <t>yes/95/Stentor changes from extended trumpet shape to a condensed oval shape around the 4.1-second mark, meeting the definition of contraction.</t>
  </si>
  <si>
    <t>no/0/The video frames show a static, granular structure without any visible change from an extended trumpet shape to a condensed ball-like shape; there is no evidence of stentor contraction.</t>
  </si>
  <si>
    <t>yes/100/The stentor transitions from an extended trumpet shape in earlier frames to no longer being visible in its extended form by frame 4.4, indicating a full contraction into a condensed shape. This meets the definition of contraction as the organism changes from extended to condensed.</t>
  </si>
  <si>
    <t>yes/100/The stentor changes from an extended trumpet shape to a condensed, ball-like shape between frames 4.6 and 5.2, which meets the definition of a contraction.</t>
  </si>
  <si>
    <t>yes/100/The stentor changes from an extended trumpet shape to a condensed, ball-like shape between approximately 4.5-5.0 seconds, which meets the definition of a contraction.</t>
  </si>
  <si>
    <t>yes/95/The stentor transitions from an extended trumpet shape to a condensed, rounded form over the sequence, meeting the definition of contraction (change from extended to condensed shape). The transformation is clear despite being gradual.</t>
  </si>
  <si>
    <t>yes/90/The stentor transitions from an extended trumpet shape to a condensed, ball-like form between approximately 2.1 and 3.5 seconds, which qualifies as a contraction under the given definition. The change is clear despite some blurriness in the intermediate frames.</t>
  </si>
  <si>
    <t>yes/100/The stentor transitions from an extended trumpet shape to no longer being visible (indicating a condensed, ball-like shape), which constitutes a contraction.</t>
  </si>
  <si>
    <t>yes/100/The stentor transitions from an extended trumpet shape to a condensed, oval shape between frames 4.9 and 5.2, fulfilling the definition of contraction.</t>
  </si>
  <si>
    <t>yes/100/The stentor transitions from an extended trumpet shape to a condensed, rounded form between frames 5.8 and 6.6, meeting the definition of contraction.</t>
  </si>
  <si>
    <t>yes/95/The stentor transitions from an extended trumpet-like shape to a condensed, ball-like shape between frames, fulfilling the contraction definition.</t>
  </si>
  <si>
    <t>yes/100/The stentor changes from an extended trumpet shape to a condensed, ball-like shape between approximately 5.0 and 5.5 seconds, meeting the definition of a contraction.</t>
  </si>
  <si>
    <t>yes/100/The stentor transitions from an extended trumpet shape to a condensed, ball-like shape between 4.6 and 5.2 seconds, which meets the definition of contraction.</t>
  </si>
  <si>
    <t>yes/100/The stentor transitions from an extended trumpet shape to a condensed, ball-like shape between the frames, which meets the definition of a contraction.</t>
  </si>
  <si>
    <t>yes/100/The stentor transitions from an extended trumpet shape to a condensed, ball-like shape (visible as a dark circular object in later frames), indicating a contraction.</t>
  </si>
  <si>
    <t>no/0/The stentor remains in an extended trumpet shape throughout the video; no contraction to a condensed ball-like shape is observed.</t>
  </si>
  <si>
    <t>no/0/The stentor appears in a condensed, ball-like shape in the early frames (0.11.5s) and later reappears in an extended, teardrop/trumpet shape (5.89.8s). Since contraction requires a transition from extended to condensed, and the video shows the opposite (condensed to extended), no contraction occurs within the observed frames.</t>
  </si>
  <si>
    <t>no/0/The stentors in the video maintain their extended, trumpet-like shapes throughout all frames and do not exhibit any change to a condensed, ball-like shape.</t>
  </si>
  <si>
    <t>yes/100/The stentor transitions from an extended trumpet shape to a condensed, ball-like shape between frames 4.4s and 9.8s, meeting the definition of contraction.</t>
  </si>
  <si>
    <t>no/0/The stentor maintains an extended trumpet shape in all frames without any visible shortening or condensing into a ball-like shape.</t>
  </si>
  <si>
    <t>yes/100/The stentor transitions from an extended trumpet shape to a condensed, ball-like shape between frames, indicating a clear contraction.</t>
  </si>
  <si>
    <t>yes/100/The stentor transitions from an extended trumpet-like shape to a condensed, ball-like shape, meeting the definition of contraction.</t>
  </si>
  <si>
    <t>yes/95/The stentor is visible in the early frames with a trumpet shape and disappears by the later frames, indicating it contracted into a condensed form and likely moved out of the frame. This satisfies the definition of contraction as a change from extended to condensed shape.</t>
  </si>
  <si>
    <t>no/0/The stentor maintains an extended shape throughout all frames without any visible change to a condensed, ball-like form.</t>
  </si>
  <si>
    <t>yes/95/The stentor transitions from an extended trumpet-like shape to a condensed, ball-like shape, which meets the definition of a contraction. The change is clear in later frames (e.g., 9.59.8 seconds), showing a significant shortening and rounding.</t>
  </si>
  <si>
    <t>yes/95/The stentor transitions from an extended trumpet-like shape to a condensed, ball-like shape between the initial frames and approximately 4.5-5.0 seconds, meeting the definition of contraction (partial shortening counts). The change is clear despite subsampled frames.</t>
  </si>
  <si>
    <t>yes/100/The stentor transitions from an extended trumpet-like shape to a condensed ball-like shape across the frames, fulfilling the definition of contraction.</t>
  </si>
  <si>
    <t>yes/90/The stentor transitions from an extended trumpet-like shape to a more condensed, shorter form across the video frames, satisfying the definition of contraction (partial shortening is included).</t>
  </si>
  <si>
    <t>yes/100/The stentor transitions from an extended trumpet shape to a condensed, ball-like shape during the video sequence, with clear shortening and structural change observed.</t>
  </si>
  <si>
    <t>yes/100/The stentor transitions from an extended trumpet-like shape to a condensed, ball-like shape over the course of the video frames, meeting the definition of contraction.</t>
  </si>
  <si>
    <t>6-235B</t>
    <phoneticPr fontId="1" type="noConversion"/>
  </si>
  <si>
    <t>yes/95/The stentor is visible in an extended trumpet shape until approximately 6.0 seconds, after which it disappears from the frame. This disappearance is consistent with the stentor contracting into a condensed, ball-like shape, which is no longer visible in the same form. Slow or partial contractions count, and the sudden absence of the extended structure indicates a contraction event.</t>
  </si>
  <si>
    <t>no/0/The stentor maintains an extended trumpet shape throughout all frames and does not exhibit any change to a condensed, ball-like shape.</t>
  </si>
  <si>
    <t>yes/100/The stentor transitions from an extended trumpet shape to a condensed, ball-like shape across the video frames, meeting the definition of contraction.</t>
  </si>
  <si>
    <t>yes/100/The stentor was initially in an extended trumpet shape and then disappears from view, indicating it contracted into a condensed shape.</t>
  </si>
  <si>
    <t>yes/95/The stentor transitions from an extended trumpet shape to a condensed, ball-like shape in the final frame (9.8 seconds), meeting the definition of contraction. The change is distinct despite subsampled frames, confirming contraction occurred.</t>
  </si>
  <si>
    <t>yes/80/The stentor shows partial shortening and curling of its extended trumpet shape into a more condensed form, which meets the definition of contraction as partial shortening is included.</t>
  </si>
  <si>
    <t>no/0/The stentor maintains an extended trumpet shape throughout all frames; no contraction to a condensed, ball-like shape is observed.</t>
  </si>
  <si>
    <t>yes/95/The stentor transitions from an extended trumpet shape in early frames to a condensed, less extended form in later frames (e.g., by 0.9 seconds the distinct trumpet shape is lost, indicating contraction). Partial shortening qualifies as contraction per the definition.</t>
  </si>
  <si>
    <t>yes/100/The stentor transitions from an extended trumpet shape to a condensed, ball-like shape between frames 5-8, meeting the definition of contraction.</t>
  </si>
  <si>
    <t>yes/100/The stentor transitions from an extended trumpet shape to a condensed state where it is no longer visible in the frame, indicating a full contraction.</t>
  </si>
  <si>
    <t>yes/90/The stentor shows a gradual shortening of its extended trumpet shape toward a more condensed form across the video frames, which qualifies as a contraction under the given definition (partial shortening counts).</t>
  </si>
  <si>
    <t>yes/100/The stentor transitions from an extended trumpet shape to a condensed form, with the structural collapse visible at frame 6.1, meeting the definition of contraction.</t>
  </si>
  <si>
    <t>yes/100/The stentor transitions from an extended trumpet shape to a condensed, ball-like shape, particularly evident in frames 4-10, confirming contraction.</t>
  </si>
  <si>
    <t>yes/95/The stentor is extended in early frames but disappears from view in later frames (e.g., 5.2s onwards), indicating it contracted into a condensed shape. The absence of the extended trumpet form and the presence of debris/particles around the former location support a full contraction.</t>
  </si>
  <si>
    <t>yes/95/The stentor transitions from an extended trumpet shape to a condensed, rounded form between frames 5-8, meeting the definition of contraction. The change is clear and consistent with typical stentor contraction behavior.</t>
  </si>
  <si>
    <t>yes/100/The stentor transitions from an extended trumpet shape to a condensed, ball-like shape between frames 5.5 and 5.8, which meets the definition of contraction.</t>
  </si>
  <si>
    <t>yes/100/The stentor transitions from an extended trumpet-like shape to a condensed form, with visible shortening and rounding consistent with contraction behavior.</t>
  </si>
  <si>
    <t>yes/100/The stentor changes from an extended trumpet shape to a condensed ball-like shape between frames 1.5 and 2.1, which meets the definition of a contraction.</t>
  </si>
  <si>
    <t>yes/100/The stentor transitions from an extended trumpet-like shape to a condensed form between frames 6.1 and 6.4, meeting the definition of contraction.</t>
  </si>
  <si>
    <t>yes/100/The stentor transitions from an extended trumpet-like shape to a condensed form with partial shortening visible in frames around 4.1-4.9 seconds, meeting the definition of contraction (including partial shortening).</t>
  </si>
  <si>
    <t>yes/95/The stentor transitions from an extended trumpet shape to a condensed form, particularly visible in the later frames (7-10 seconds), indicating a contraction.</t>
  </si>
  <si>
    <t>yes/100/The stentor transitions from an extended trumpet shape to a condensed, ball-like shape between approximately 7-8 seconds, which meets the definition of a contraction.</t>
  </si>
  <si>
    <t>no/0/The stentor maintains an extended trumpet-like shape throughout all frames; no condensation into a ball-like shape is observed.</t>
  </si>
  <si>
    <t>yes/95/The stentor transitions from an extended trumpet shape to a condensed, ball-like shape between frames 6 and 7, meeting the definition of contraction.</t>
  </si>
  <si>
    <t>yes/100/The stentor transitions from an extended trumpet-like shape to a condensed, ball-like shape in the later frames (e.g., 8-10 seconds), meeting the definition of contraction.</t>
  </si>
  <si>
    <t>yes/100/The stentor transitions from an extended trumpet shape to a condensed, ball-like shape between frames 4.9 and 5.5, meeting the definition of contraction.</t>
  </si>
  <si>
    <t>no/0/The stentor remains in an extended trumpet shape throughout all frames; no transition to a condensed ball-like shape is observed.</t>
  </si>
  <si>
    <t>yes/100/The stentor transitions from an extended trumpet shape to a condensed form (e.g., at ~5.8 seconds), meeting the definition of contraction.</t>
  </si>
  <si>
    <t>yes/100/The stentor transitions from an extended trumpet shape in early frames to a condensed state (no longer visible in extended form) by the later frames, indicating contraction.</t>
  </si>
  <si>
    <t>yes/95/The stentor transitions from an extended trumpet shape in earlier frames to a condensed, less extended form in the final frames (8.19.8 seconds), meeting the definition of contraction as a change toward a ball-like shape.</t>
  </si>
  <si>
    <t>yes/95/The stentor transitions from an extended trumpet shape to a condensed, rounded form between 7.59.8 seconds, meeting the definition of contraction (including slow/partial changes).</t>
  </si>
  <si>
    <t>no/0/The stentor maintains an extended trumpet-like shape throughout all frames; no transition to a condensed ball-like shape is observed.</t>
  </si>
  <si>
    <t>yes/95/Stentor transitions from extended trumpet shape to condensed ball-like shape between frames, with clear contraction visible by 6.1 seconds.</t>
  </si>
  <si>
    <t>no/0/The stentor maintains its extended trumpet shape throughout all frames without any visible transition to a condensed, ball-like form.</t>
  </si>
  <si>
    <t>no/0/The stentor maintains an extended trumpet shape throughout all frames without any visible change to a condensed, ball-like shape.</t>
  </si>
  <si>
    <t>yes/100/The stentor changes from an extended trumpet shape to a condensed, ball-like shape between frames 5.5 and 6.0, which meets the definition of contraction.</t>
  </si>
  <si>
    <t>no/0/The stentor maintains an extended trumpet-like shape throughout all frames without any visible change toward a condensed, ball-like form.</t>
  </si>
  <si>
    <t>yes/95/The stentor transitions from an extended trumpet shape to a more condensed, rounded form over the sequence of frames, meeting the definition of contraction (partial shortening/condensation counts).</t>
  </si>
  <si>
    <t>yes/95/The stentor transitions from an extended trumpet shape to a condensed, ball-like shape throughout the video, with clear shortening and rounding observed in multiple frames.</t>
  </si>
  <si>
    <t>yes/90/The stentor transitions from an extended trumpet-like shape to a more condensed form across the video frames, exhibiting partial shortening consistent with contraction behavior.</t>
  </si>
  <si>
    <t>yes/100/The stentor transitions from an extended trumpet-like shape to a condensed, oval-shaped form in the later frames, meeting the definition of contraction.</t>
  </si>
  <si>
    <t>yes/100/The stentor transitions from an extended trumpet shape to a condensed, ball-like shape between approximately 4.9 and 5.2 seconds, meeting the definition of contraction.</t>
  </si>
  <si>
    <t>no/0/The stentor maintains an extended trumpet shape throughout all frames without any visible shortening or condensing into a ball-like shape.</t>
  </si>
  <si>
    <t>no/0/The stentor remains in an extended trumpet shape across all frames; no contraction to a condensed, ball-like shape is observed.</t>
  </si>
  <si>
    <t>no/0/No contraction observed; the stentor maintains an extended trumpet shape throughout all frames without any change to a condensed, ball-like form.</t>
  </si>
  <si>
    <t>yes/100/The stentor transitions from an extended trumpet shape to a condensed, ball-like shape between the early and middle frames, meeting the definition of contraction.</t>
  </si>
  <si>
    <t>no/0/The stentor maintains an extended trumpet-like shape throughout all frames and does not exhibit any change to a condensed, ball-like shape.</t>
  </si>
  <si>
    <t>yes/95/Stentor changes from extended trumpet shape to a shorter, more condensed form across the video frames, indicating contraction.</t>
  </si>
  <si>
    <t>yes/100/The stentor transitions from an extended trumpet shape to a condensed, ball-like shape between frames 6.9 and 7.5, meeting the contraction definition.</t>
  </si>
  <si>
    <t>yes/95/The stentor transitions from an extended trumpet shape to a condensed form, with visible shortening and shape change consistent with contraction behavior, particularly evident between 4.06.1 seconds.</t>
  </si>
  <si>
    <t>yes/100/The stentor transitions from an extended trumpet shape in early frames to a condensed, rounded shape in later frames, meeting the definition of contraction.</t>
  </si>
  <si>
    <t>yes/95/The stentor exhibits a change from an extended trumpet-like shape to a shorter, more condensed form across the video frames, meeting the criteria for contraction (including partial shortening).</t>
  </si>
  <si>
    <t>yes/90/The stentor on the left transitions from an extended trumpet-like shape to a shorter, more condensed form across the video frames, satisfying the definition of contraction (partial shortening is included).</t>
  </si>
  <si>
    <t>no/0/The stentor does not exhibit any change from an extended trumpet shape to a condensed ball-like shape across all provided frames; its form remains consistent without contraction.</t>
  </si>
  <si>
    <t>no/0/No visible change in the stentor's shape; it remains in an extended oval form throughout all frames without contracting into a condensed ball-like shape.</t>
  </si>
  <si>
    <t>no/0/The stentor maintains a consistent teardrop/extended shape across all frames without any transition to a condensed, ball-like form. No contraction behavior is observed.</t>
  </si>
  <si>
    <t>no/0/The stentor maintains an extended, trumpet-like shape throughout all frames without any visible transition to a condensed, ball-like shape.</t>
  </si>
  <si>
    <t>no/0/The stentor maintains an extended shape throughout all frames; no shortening or transition to a condensed, ball-like shape is observed.</t>
  </si>
  <si>
    <t>no/0/The stentor does not exhibit any change from an extended trumpet-like shape to a condensed ball-like shape across all frames; it maintains a consistent rounded form throughout the video, indicating no contraction occurred.</t>
  </si>
  <si>
    <t>no/0/No contraction observed; the stentor maintains an extended trumpet shape throughout all frames without transitioning to a condensed ball-like shape.</t>
  </si>
  <si>
    <t>no/0/The stentors in the video maintain an extended, trumpet-like shape throughout all frames and do not exhibit any change to a condensed, ball-like shape indicative of contraction.</t>
  </si>
  <si>
    <t>no/20/The stentor does not exhibit a transition from an extended trumpet-like shape to a condensed ball-like shape in any of the provided frames. The observed changes appear to involve movement or potential division rather than contraction.</t>
  </si>
  <si>
    <t>no/0/The stentor maintains an extended, trumpet-like shape throughout all provided frames and does not exhibit any change toward a condensed, ball-like form.</t>
  </si>
  <si>
    <t>no/0/The stentor maintains an extended trumpet-like shape throughout all frames; no contraction to a condensed, ball-like shape is observed.</t>
  </si>
  <si>
    <t>no/0/The stentor maintains an extended, trumpet-like shape throughout all frames and does not exhibit any change to a condensed, ball-like shape.</t>
  </si>
  <si>
    <t>no/0/The stentor remains in a consistent oval shape throughout all frames, showing no transition from an extended trumpet shape to a condensed ball-like shape. No contraction behavior is observed.</t>
  </si>
  <si>
    <t>no/0/The stentor maintains an extended, trumpet-like shape throughout all frames without any visible change to a condensed, ball-like form.</t>
  </si>
  <si>
    <t>no/0/The stentor maintains an extended trumpet-like shape throughout all frames without any visible change to a condensed, ball-like form.</t>
  </si>
  <si>
    <t>yes/100/The stentor transitions from an extended trumpet-like shape to a condensed ball-like shape, meeting the definition of contraction.</t>
  </si>
  <si>
    <t>yes/95/The stentor transitions from an extended shape to a condensed, ball-like shape between approximately 7-10 seconds, meeting the definition of contraction. The shape change is clear and consistent with the criteria, though minor visual noise is present.</t>
  </si>
  <si>
    <t>yes/100/The stentor transitions from an extended trumpet shape to a condensed, ball-like shape over the course of the video, which meets the definition of a contraction.</t>
  </si>
  <si>
    <t>no/0/The stentor does not exhibit a change from an extended trumpet-like shape to a condensed ball-like shape in any of the provided frames; it maintains an elongated form throughout.</t>
  </si>
  <si>
    <t>no/0/The stentor maintains an extended, trumpet-like shape throughout all frames without any visible shortening or condensation into a ball-like form.</t>
  </si>
  <si>
    <t>yes/95/The stentor transitions from an extended shape to a condensed, rounded form, meeting the definition of contraction.</t>
  </si>
  <si>
    <t>no/0/The stentor maintains an elongated shape throughout all frames and does not exhibit any change to a condensed, ball-like form indicative of contraction.</t>
  </si>
  <si>
    <t>6-235b</t>
    <phoneticPr fontId="1" type="noConversion"/>
  </si>
  <si>
    <t>Q3-VL 235B via ALI API</t>
    <phoneticPr fontId="1" type="noConversion"/>
  </si>
  <si>
    <t>26 selected "hard", prompt 6 with scores -API</t>
    <phoneticPr fontId="1" type="noConversion"/>
  </si>
  <si>
    <t>235B API</t>
    <phoneticPr fontId="1" type="noConversion"/>
  </si>
  <si>
    <t>8B ollama</t>
    <phoneticPr fontId="1" type="noConversion"/>
  </si>
  <si>
    <t>32B ollama</t>
    <phoneticPr fontId="1" type="noConversion"/>
  </si>
  <si>
    <t>yes/100/The stentor changes from an extended trumpet shape to a condensed, ball-like shape (evident in frame 5), satisfying the definition of contraction.</t>
  </si>
  <si>
    <t>no/0/No contraction is observed; the stentor maintains an extended shape throughout all frames without transitioning to a condensed, ball-like form.</t>
  </si>
  <si>
    <t>yes/100/The stentor, initially in an extended trumpet shape, disappears from view in later frames, indicating it contracted into a condensed, ball-like shape (as stentors contract out of view when contracting).</t>
  </si>
  <si>
    <t>yes/100/The stentor is visible in an extended trumpet shape until approximately 5.2 seconds, after which it disappears from view, indicating a contraction into a condensed, ball-like shape as per the definition.</t>
  </si>
  <si>
    <t>no/0/The stentor maintains an extended shape throughout all frames and does not exhibit any change to a condensed, ball-like form.</t>
  </si>
  <si>
    <t>no/0/The stentor maintains an extended trumpet-like shape throughout all frames and does not exhibit any contraction into a condensed, ball-like form.</t>
  </si>
  <si>
    <t>yes/95/The stentor transitions from an extended trumpet shape in early frames to a condensed form (no longer visible as an extended structure) by ~0.9 seconds, indicating contraction. The disappearance of the extended shape aligns with the definition of contracting into a ball-like form.</t>
  </si>
  <si>
    <t>yes/95/The stentor transitions from an extended trumpet shape to a condensed, ball-like shape between the early and late frames, indicating a contraction.</t>
  </si>
  <si>
    <t>yes/95/The stentor transitions from an extended trumpet shape to a condensed, shorter form between approximately 3.84.4 seconds, meeting the definition of contraction (partial shortening counts).</t>
  </si>
  <si>
    <t>no/0/The video frames show no observable change in the stentor's shape from an extended trumpet-like form to a condensed ball-like shape; the structure remains consistent across all frames without any indication of contraction.</t>
  </si>
  <si>
    <t>yes/95/Stentor was present in extended trumpet shape initially, then disappeared from view by 5.2s, indicating it contracted into a condensed form (consistent with contraction behavior as it's no longer visible in extended shape).</t>
  </si>
  <si>
    <t>yes/90/The stentor transitions from an extended trumpet shape in early frames to no longer being visible in that form by frame 4.4, indicating it contracted into a condensed shape (consistent with stentor behavior when disturbed), even though the exact ball-like shape isn't visible in later frames due to possible movement out of view.</t>
  </si>
  <si>
    <t>yes/90/The stentor transitions from an extended trumpet shape to a condensed rounded shape between 4.4 and 4.9 seconds, meeting the definition of contraction.</t>
  </si>
  <si>
    <t>no/0/The stentor appears to start in a condensed, ball-like shape and later shows signs of extending (e.g., elongating into a trumpet-like shape around 4.1 seconds), but there is no evidence of it contracting from an extended shape to a condensed shape. The observed behavior is extension, not contraction.</t>
  </si>
  <si>
    <t>yes/100/The stentor transitions from an extended trumpet shape to a condensed, shortened form across the video frames, meeting the definition of contraction (including partial shortening).</t>
  </si>
  <si>
    <t>yes/100/The stentor transitions from an extended trumpet shape to a condensed, ball-like shape between frames 3.2 and 3.5, fulfilling the definition of a contraction.</t>
  </si>
  <si>
    <t>yes/100/The stentor changes from an extended trumpet shape to a condensed, ball-like shape at approximately 5.5 seconds, meeting the definition of contraction.</t>
  </si>
  <si>
    <t>no/10/The stentor appears to maintain a condensed, ball-like shape throughout all frames without any observable change from an extended trumpet shape to a condensed form. There is no visible contraction behavior in the provided frames.</t>
  </si>
  <si>
    <t>no/0/The stentor maintains an extended trumpet shape throughout all frames without any visible shortening or condensation into a ball-like form.</t>
  </si>
  <si>
    <t>yes/100/The stentor transitions from an extended trumpet shape to no longer being visible (consistent with contracting into a condensed ball-like shape), indicating a full contraction.</t>
  </si>
  <si>
    <t>yes/100/The stentor is initially in an extended trumpet shape. By the 4.6-second frame, it disappears from view, which aligns with the behavior of contracting into a condensed ball-like shape (a typical response to stimuli) before moving out of the frame. This satisfies the definition of contraction.</t>
  </si>
  <si>
    <t>yes/95/The stentor starts in an extended trumpet shape and then disappears from view, indicating it contracted into a condensed form. While the condensed shape isn't explicitly visible, the sudden absence of the extended structure strongly suggests contraction occurred.</t>
  </si>
  <si>
    <t>yes/100/The stentor transitions from an extended trumpet-like shape to a condensed, ball-like shape between frames, confirming contraction.</t>
  </si>
  <si>
    <t>yes/100/The stentor transitions from an extended trumpet shape to a condensed, ball-like shape between frames 5-10, meeting the definition of contraction.</t>
  </si>
  <si>
    <t>no/10/The stentor maintains a trumpet-like shape throughout all frames without any visible transition to a condensed, ball-like form or significant shortening. While there is minor movement, no contraction behavior as defined occurs.</t>
  </si>
  <si>
    <t>no/0/No contraction is observed; the stentor maintains an extended trumpet-like shape throughout all frames without any change to a condensed, ball-like form.</t>
  </si>
  <si>
    <t>yes/100/The stentor transitions from an extended trumpet shape to a condensed, ball-like shape between frames 4.6-5.0 seconds, meeting the definition of contraction.</t>
  </si>
  <si>
    <t>yes/100/The stentor transitions from an extended trumpet shape to a condensed, ball-like shape between approximately 4.95.2 seconds, which meets the definition of a contraction.</t>
  </si>
  <si>
    <t>yes/95/The stentor transitions from an extended trumpet-like shape to a condensed, dark ball-like shape around the 5.2-second mark, meeting the definition of contraction.</t>
  </si>
  <si>
    <t>yes/85/The stentor transitions from an extended trumpet shape (visible in early frames) to disappearing from view, which is consistent with contraction (a typical response to disturbance where stentors condense into a ball before detaching). While the condensed shape itself is not directly visible, the sudden disappearance after an extended state strongly indicates contraction occurred.</t>
  </si>
  <si>
    <t>yes/100/The stentor is initially in an extended trumpet shape but disappears from view by 4.3 seconds, indicating a full contraction into a condensed form. The absence of the extended structure in subsequent frames confirms the contraction behavior.</t>
  </si>
  <si>
    <t>yes/95/The stentor transitions from an extended trumpet-like shape to a condensed, oval/ball-like shape between 4.5-5.0 seconds, meeting the definition of contraction. The change is distinct despite being rapid, with the organism maintaining a condensed form in subsequent frames.</t>
  </si>
  <si>
    <t>yes/100/The stentor transitions from an extended trumpet shape to a condensed, ball-like shape between frames 4-5, meeting the definition of contraction.</t>
  </si>
  <si>
    <t>yes/95/Stentor changes from extended trumpet shape to a condensed, rounded form during the video, with visible shortening and shape change consistent with contraction behavior.</t>
  </si>
  <si>
    <t>yes/100/The stentor transitions from an extended trumpet shape to a condensed, ball-like shape between approximately 2.4 and 3.8 seconds, meeting the definition of contraction.</t>
  </si>
  <si>
    <t>yes/90/The stentor transitions from an extended trumpet shape to a condensed, ball-like shape across the video frames, satisfying the contraction definition (including partial shortening).</t>
  </si>
  <si>
    <t>yes/95/The stentor changes from an extended trumpet shape to a condensed oval shape between frames 4.1 and 4.4, meeting the definition of contraction (partial shortening/condensing counts).</t>
  </si>
  <si>
    <t>yes/95/The stentor transitions from an extended trumpet shape to a condensed form between 3.54.0 seconds, meeting the definition of contraction.</t>
  </si>
  <si>
    <t>yes/90/The stentor is initially visible in an extended trumpet-like shape. By frame 4.4 seconds, it is no longer visible in its extended form, indicating it has contracted into a condensed, ball-like shape (which may be less distinguishable or out of focus in subsequent frames). This transition meets the definition of contraction.</t>
  </si>
  <si>
    <t>no/0/No contraction observed; the stentor maintains an extended trumpet shape throughout all frames.</t>
  </si>
  <si>
    <t>yes/95/Stentor transitions from extended trumpet shape to condensed form between 5.0-5.5 seconds, showing clear contraction behavior.</t>
  </si>
  <si>
    <t>yes/90/The stentor transitions from an extended trumpet-like shape to a more condensed, shortened form, which meets the definition of contraction (partial shortening counts). The change is visible across the video frames, particularly between the early and later segments.</t>
  </si>
  <si>
    <t>yes/95/The stentor transitions from an extended trumpet shape to no longer being visible in subsequent frames, indicating it contracted into a condensed, ball-like shape. The disappearance of the extended form and absence of the stentor in later frames (e.g., 4.6s9.8s) aligns with the definition of contraction.</t>
  </si>
  <si>
    <t>yes/100/The stentor transitions from an extended trumpet shape to no longer being visible, indicating it contracted into a condensed ball-like shape.</t>
  </si>
  <si>
    <t>yes/100/The stentor transitions from an extended trumpet shape to a condensed form around the 5-second mark, with the extended structure disappearing and giving way to a clustered appearance, indicating a full contraction.</t>
  </si>
  <si>
    <t>no/0/The stentor maintains an extended trumpet-like shape throughout all frames; no transition to a condensed, ball-like shape is observed.</t>
  </si>
  <si>
    <t>yes/100/The stentor transitions from an extended trumpet shape to a condensed oval shape between frames 3.5 and 3.8, meeting the definition of contraction.</t>
  </si>
  <si>
    <t>yes/90/The stentor transitions from an extended trumpet shape to a condensed state, disappearing from view as it contracts between frames 4.0 and 4.5.</t>
  </si>
  <si>
    <t>no/0/The stentor maintains an extended shape throughout all frames without transitioning to a condensed, ball-like shape.</t>
  </si>
  <si>
    <t>yes/100/The stentor transitions from an extended trumpet shape to a condensed, ball-like shape between frames 3.5 and 5.2, meeting the definition of contraction.</t>
  </si>
  <si>
    <t>yes/100/The stentor transitions from an extended trumpet shape in early frames to no longer being visible in that form by the middle of the video, indicating it contracted into a condensed, ball-like state.</t>
  </si>
  <si>
    <t>yes/95/The stentor transitions from an extended trumpet shape in the early frames to a condensed, oval shape by frame 5.0 seconds, meeting the definition of contraction as it changes from extended to a more compact form.</t>
  </si>
  <si>
    <t>yes/95/The stentor transitions from an extended trumpet shape to a condensed, oval/ball-like shape between frames, indicating contraction.</t>
  </si>
  <si>
    <t>yes/95/The stentor transitions from an extended trumpet-like shape in early frames to a condensed, rounded shape in later frames (e.g., 510 seconds), meeting the definition of contraction.</t>
  </si>
  <si>
    <t>yes/100/The stentor changes from an extended trumpet shape to a condensed, ball-like shape between frames 5.2 and 5.5 seconds, meeting the definition of a contraction.</t>
  </si>
  <si>
    <t>yes/95/The stentor transitions from an extended, trumpet-like shape to a condensed, ball-like shape across the video frames, meeting the definition of contraction.</t>
  </si>
  <si>
    <t>yes/100/The stentor transitions from an extended trumpet shape to a condensed, ball-like shape (visible around the 5.0-second mark), meeting the definition of contraction.</t>
  </si>
  <si>
    <t>yes/100/The stentor transitions from an extended trumpet shape to a condensed, ball-like shape between frames 5 and 6, confirming contraction.</t>
  </si>
  <si>
    <t>yes/100/The stentor transitions from an extended trumpet shape to a condensed, ball-like shape between approximately 4.5 and 5.0 seconds, which meets the definition of a contraction.</t>
  </si>
  <si>
    <t>yes/95/ The stentor transitions from an extended trumpet shape in early frames to a condensed, ball-like shape in later frames (e.g., from 0.1s to 4.7s), meeting the definition of contraction. The change is clear and progressive, though partial shortening is sufficient per guidelines.</t>
  </si>
  <si>
    <t>yes/95/The stentor transitions from an extended trumpet shape to a condensed, ball-like shape between frames 3.8 and 5.5, meeting the definition of contraction.</t>
  </si>
  <si>
    <t>yes/100/The stentor transitions from an extended trumpet shape to a condensed, ball-like shape between frames 4.5 and 5 seconds, which meets the definition of contraction.</t>
  </si>
  <si>
    <t>yes/95/The stentor changes from an extended trumpet shape to a condensed, ball-like shape between 4.4 and 4.9 seconds, meeting the definition of contraction.</t>
  </si>
  <si>
    <t>yes/90/The stentor is visible in an extended trumpet shape through frame 4.6, then disappears by frame 4.9. Given the presence of a pipette (a potential disturbance) and the known behavior of stentors to contract into a condensed ball when disturbed, the sudden disappearance aligns with a contraction event. While the condensed shape isnt directly visible in the subsampled frames, the context and typical behavior strongly indicate contraction occurred.</t>
  </si>
  <si>
    <t>yes/95/Stentor transitions from extended trumpet shape to condensed ball-like shape by the end of the video, indicating contraction.</t>
  </si>
  <si>
    <t>yes/100/The stentor starts in an extended trumpet shape and then disappears from view, indicating it contracted into a condensed shape as per the definition (change from extended trumpet to condensed ball-like shape). The absence of the stentor in later frames after being present in the extended form confirms contraction.</t>
  </si>
  <si>
    <t>no/0/The stentor remains in an extended trumpet shape throughout all frames without any visible shortening or condensation into a ball-like form.</t>
  </si>
  <si>
    <t>yes/95/Stentor changes from extended trumpet shape to condensed ball-like shape in later frames (e.g., 9.5-9.8 seconds).</t>
  </si>
  <si>
    <t>yes/95/The stentor transitions from an extended trumpet shape to a condensed, ball-like shape between frames 45, meeting the definition of contraction.</t>
  </si>
  <si>
    <t>yes/95/From the initial extended shape at 0.1 seconds, the stentor progressively condenses into a more spherical, ball-like form by 9.8 seconds, meeting the definition of contraction (partial shortening and shape change to condensed). The transformation is clear across frames despite minor fluctuations.</t>
  </si>
  <si>
    <t>yes/95/The stentor transitions from an extended trumpet shape to no longer being visible in its extended form, indicating it contracted into a condensed shape. The disappearance of the stentor's extended structure across frames confirms the contraction behavior.</t>
  </si>
  <si>
    <t>no/0/The stentor remains in an extended, elongated shape throughout all frames without transitioning to a condensed, ball-like form. No contraction behavior is observed.</t>
  </si>
  <si>
    <t>yes/90/The stentor transitions from an extended shape to a condensed, ball-like shape visible in later frames (e.g., 6.49.8 seconds), meeting the contraction definition.</t>
  </si>
  <si>
    <t>no/0/The stentors in the video maintain their extended, trumpet-like shapes throughout all frames and do not exhibit any contraction into a condensed, ball-like form.</t>
  </si>
  <si>
    <t>yes/95/The stentor transitions from an extended trumpet shape to a condensed, ball-like shape between approximately 4.4 and 5.5 seconds, which meets the definition of contraction (including slow/partial shortening). The transformation is clearly visible across the frames.</t>
  </si>
  <si>
    <t>no/0/The stentor remains in an extended, trumpet-like shape throughout all frames; no transition to a condensed, ball-like shape is observed.</t>
  </si>
  <si>
    <t>yes/100/The stentor starts in an extended trumpet shape and then disappears from view, indicating it contracted into a condensed, ball-like shape. This meets the definition of contraction.</t>
  </si>
  <si>
    <t>yes/95/The stentor transitions from an extended trumpet shape in earlier frames to a condensed, ball-like shape in later frames, meeting the definition of contraction.</t>
  </si>
  <si>
    <t>yes/95/Stentor was visible in extended trumpet shape until ~6.1s, then disappeared entirely, indicating full contraction to a condensed form. The absence of the stentor in subsequent frames confirms the contraction event.</t>
  </si>
  <si>
    <t>yes/100/The stentor transitions from an extended trumpet shape to a condensed, ball-like shape by the final frame (9.8 seconds), meeting the definition of contraction.</t>
  </si>
  <si>
    <t>no/0/The stentor remains in an extended trumpet shape throughout all visible frames and disappears without showing any transition to a condensed, ball-like shape. No partial shortening or contraction behavior is evident in the provided frames.</t>
  </si>
  <si>
    <t>no/0/The stentor maintains an extended trumpet-like shape throughout all frames without any visible change to a condensed, ball-like shape. No contraction behavior is observed.</t>
  </si>
  <si>
    <t>yes/95/Stentor transitions from extended trumpet shape to no longer visible in extended form, indicating contraction into condensed shape.</t>
  </si>
  <si>
    <t>yes/95/Stentor transitions from extended trumpet shape to condensed ball-like shape, with visible shortening and rounding, especially evident in frames 5.5-7.2.</t>
  </si>
  <si>
    <t>yes/100/The stentor transitions from an extended trumpet shape to being no longer visible, indicating it contracted into a condensed, ball-like shape.</t>
  </si>
  <si>
    <t>yes/80/The stentor transitions from an extended trumpet shape to a more condensed, shortened form across the video frames, with partial shortening observed that meets the definition of contraction (including slow or partial changes).</t>
  </si>
  <si>
    <t>no/0/The stentor remains in an extended trumpet shape until frame 6.0, then disappears entirely in subsequent frames without transitioning into a condensed, ball-like shape. The observed particle dispersion does not constitute a contraction as defined.</t>
  </si>
  <si>
    <t>yes/100/The stentor transitions from an extended trumpet shape to a condensed, rounded shape between approximately 6-10 seconds, meeting the definition of contraction (including slow/partial changes).</t>
  </si>
  <si>
    <t>yes/100/The stentor transitions from an extended trumpet shape to a condensed form, disappearing from the extended structure around the 5.2-second mark, indicating a clear contraction.</t>
  </si>
  <si>
    <t>yes/95/The stentor transitions from an extended trumpet shape to a more condensed form over the video frames, with visible shortening and rounding, meeting the criteria for contraction.</t>
  </si>
  <si>
    <t>yes/100/The stentor changes from an extended trumpet shape to a condensed, oval shape (evident by frame 6.1), meeting the definition of contraction.</t>
  </si>
  <si>
    <t>yes/100/The stentor transitions from an extended trumpet shape in early frames to disappearing entirely by 5.5 seconds, indicating a full contraction into a condensed form.</t>
  </si>
  <si>
    <t>yes/95/The stentor changes from an extended trumpet shape to a condensed, ball-like shape between 1.5 and 2.1 seconds, which meets the definition of contraction (including slow/partial changes). The transformation is clear and unambiguous.</t>
  </si>
  <si>
    <t>no/0/The stentor maintains its extended trumpet shape throughout all frames without any visible shortening or condensation into a ball-like shape.</t>
  </si>
  <si>
    <t>yes/100/The stentor transitions from an extended trumpet shape to a condensed ball-like shape between frames 5.5 and 7.0 seconds, meeting the definition of contraction.</t>
  </si>
  <si>
    <t>yes/90/The stentor transitions from an extended trumpet shape to a condensed, rounded form in the later frames, indicating a contraction.</t>
  </si>
  <si>
    <t>yes/100/The stentor transitions from an extended trumpet shape to a condensed, ball-like shape between the 4.9 and 5.5 second frames, meeting the definition of contraction.</t>
  </si>
  <si>
    <t>yes/90/The stentor transitions from an extended trumpet shape to a condensed, ball-like shape around the 5.56.4 second mark, which meets the definition of contraction. Slow/partial shortening is included, and the change is observable despite subsampled frames.</t>
  </si>
  <si>
    <t>yes/95/The stentor transitions from an extended trumpet shape in early frames to a condensed form (no longer visible as an extended structure) by frame 6.1, indicating contraction.</t>
  </si>
  <si>
    <t>no/0/The stentor remains in an extended trumpet shape throughout all frames; no contraction to a condensed, ball-like shape is observed.</t>
  </si>
  <si>
    <t>yes/100/The stentor transitions from an extended trumpet shape to a condensed, ball-like shape in the later frames (8.09.8 seconds), meeting the definition of contraction.</t>
  </si>
  <si>
    <t>yes/95/The stentor transitions from an extended trumpet shape to a more condensed, rounded form over the video frames, indicating a contraction. The change is gradual but distinct, with the organism becoming progressively shorter and less extended.</t>
  </si>
  <si>
    <t>yes/90/The stentor transitions from an extended trumpet-like shape in earlier frames to a shorter, more condensed form in later frames (e.g., 9.59.8 seconds), meeting the definition of contraction as a change toward a ball-like shape.</t>
  </si>
  <si>
    <t>yes/80/The stentor exhibits partial shortening from its extended trumpet-like shape, which meets the criteria for contraction as defined (partial shortening still counts). The shape changes are observable across the frames, indicating a contraction behavior.</t>
  </si>
  <si>
    <t>yes/100/The stentor transitions from an extended trumpet shape to a condensed, ball-like shape between frames 5-8, which meets the definition of a contraction.</t>
  </si>
  <si>
    <t>no/0/The stentor maintains an extended trumpet-like shape throughout all frames without any visible change to a condensed, ball-like shape.</t>
  </si>
  <si>
    <t>no/0/The stentor maintains an extended trumpet-like shape throughout all frames without any visible shortening or condensation into a ball-like form.</t>
  </si>
  <si>
    <t>yes/95/The stentor transitions from an extended trumpet shape to a more condensed, rounded form in the later frames (e.g., 7.59.8 seconds), indicating a contraction. The change is slow but meets the definition of shortening into a condensed shape.</t>
  </si>
  <si>
    <t>no/0/The stentor remains in an extended trumpet shape throughout all provided frames; no transition to a condensed, ball-like shape is observed.</t>
  </si>
  <si>
    <t>yes/100/The stentor is visible in an extended trumpet shape in early frames but disappears in later frames (e.g., 6.16.6), indicating it contracted into a condensed, ball-like shape as per the definition. This is a clear contraction event.</t>
  </si>
  <si>
    <t>yes/90/In the video, the stentor transitions from an extended trumpet shape to a more condensed, rounded form around the 4.15.2 second mark, meeting the criteria for contraction even if partial.</t>
  </si>
  <si>
    <t>yes/95/The stentor transitions from an extended trumpet shape to a condensed, rounded form between frames 7.5 and 9.8 seconds, meeting the definition of contraction.</t>
  </si>
  <si>
    <t>yes/95/The stentor transitions from an extended trumpet shape to a condensed, ball-like shape between frames 7 and 8, meeting the definition of contraction.</t>
  </si>
  <si>
    <t>yes/95/The stentor transitions from an extended trumpet-like shape to a condensed, rounded form across the video frames, meeting the definition of contraction.</t>
  </si>
  <si>
    <t>yes/100/The stentor transitions from an extended trumpet shape to a condensed, ball-like shape over the video frames, fulfilling the definition of contraction (including slow and partial changes). The morphological change is evident as the organism shortens and rounds up.</t>
  </si>
  <si>
    <t>no/0/The stentor maintains an extended trumpet-like shape throughout all frames; no visible shortening or condensation into a ball-like form occurs.</t>
  </si>
  <si>
    <t>yes/100/The stentor changes from an extended trumpet shape to a condensed oval shape at around 6.9 seconds, meeting the definition of contraction.</t>
  </si>
  <si>
    <t>yes/100/The stentor transitions from an extended trumpet shape to a significantly shortened, condensed form across the video frames, meeting the criteria for contraction (including partial shortening).</t>
  </si>
  <si>
    <t>no/0/The stentor maintains an extended trumpet shape throughout all frames; no condensation into a ball-like shape occurs.</t>
  </si>
  <si>
    <t>no/0/The stentor maintains an extended trumpet shape throughout all video frames; no change to a condensed, ball-like shape occurs.</t>
  </si>
  <si>
    <t>no/0/The stentor maintains an extended trumpet shape throughout all frames and does not exhibit any contraction to a condensed, ball-like shape.</t>
  </si>
  <si>
    <t>no/0/No contraction observed; the stentor maintains an extended trumpet shape throughout all frames without changing to a condensed, ball-like shape.</t>
  </si>
  <si>
    <t>yes/100/The stentor transitions from an extended trumpet-like shape to a condensed, ball-like shape between frames, meeting the definition of contraction.</t>
  </si>
  <si>
    <t>no/0/The stentor maintains an extended trumpet shape throughout all frames without any shortening or condensing into a ball-like form.</t>
  </si>
  <si>
    <t>yes/100/The stentor transitions from an extended trumpet shape to a condensed, ball-like form in the later frames (e.g., 710 seconds), meeting the definition of contraction.</t>
  </si>
  <si>
    <t>yes/95/The stentor transitions from an extended trumpet shape to a condensed form, with visible shortening and rounding of its structure between frames 4-7, indicating a clear contraction.</t>
  </si>
  <si>
    <t>yes/100/The stentor transitions from an extended trumpet shape in early frames to a condensed, rounded shape in later frames, fulfilling the definition of contraction as it shortens and becomes ball-like.</t>
  </si>
  <si>
    <t>no/0/In the provided video frames, the stentor maintains an extended trumpet-like shape throughout the sequence and does not exhibit any change to a condensed, ball-like shape. There is no visible contraction behavior.</t>
  </si>
  <si>
    <t>no/0/The stentor does not exhibit any change from an extended shape to a condensed, ball-like shape across all provided frames; its form remains consistent without visible contraction.</t>
  </si>
  <si>
    <t>no/0/The stentor maintains a consistent extended shape across all frames without any visible change toward a condensed, ball-like form.</t>
  </si>
  <si>
    <t>no/0/In all provided frames, the stentor maintains an extended, teardrop/trumpet shape without any visible change toward a condensed, ball-like form. No contraction behavior is observed.</t>
  </si>
  <si>
    <t>no/0/The stentor maintains a consistent extended shape across all frames and does not exhibit any change toward a condensed, ball-like form.</t>
  </si>
  <si>
    <t>yes/95/The stentor transitions from an extended shape to a condensed, ball-like form between the early and later frames, indicating contraction.</t>
  </si>
  <si>
    <t>yes/95/The stentor transitions from an extended trumpet shape to a condensed, rounded form between frames, meeting the definition of contraction.</t>
  </si>
  <si>
    <t>no/0/The stentors in the video maintain an extended shape throughout all frames; no transition to a condensed, ball-like shape indicative of contraction is observed.</t>
  </si>
  <si>
    <t>no/0/The stentor maintains an extended shape resembling a trumpet throughout all frames; no transition to a condensed, ball-like shape is observed.</t>
  </si>
  <si>
    <t>yes/95/The stentor transitions from an extended trumpet-like shape to a condensed, ball-like shape over the video frames, meeting the definition of contraction. The change is gradual but distinct, with the organism becoming significantly more rounded and compact.</t>
  </si>
  <si>
    <t>no/0/The stentor maintains an extended trumpet-like shape across all frames without any visible shortening or condensation into a ball-like form.</t>
  </si>
  <si>
    <t>no/0/The stentors in all frames maintain an extended, trumpet-like shape without any transition to a condensed, ball-like form. No contraction behavior is observed.</t>
  </si>
  <si>
    <t>no/0/The stentor maintains an extended shape throughout all frames; no transition to a condensed, ball-like shape is observed.</t>
  </si>
  <si>
    <t>no/0/The stentor maintains an extended, trumpet-like shape throughout all frames without any change to a condensed, ball-like shape.</t>
  </si>
  <si>
    <t>no/0/The stentor maintains an extended trumpet shape throughout all frames; no contraction (partial or full) into a condensed ball-like shape is observed.</t>
  </si>
  <si>
    <t>no/0/The stentor remains in a condensed, ball-like shape throughout all frames and does not exhibit any change from an extended trumpet shape to a condensed shape, as it is already in the condensed state without transitioning.</t>
  </si>
  <si>
    <t>no/0/The stentor maintains an extended, trumpet-like shape throughout all frames; no transition to a condensed, ball-like shape is observed.</t>
  </si>
  <si>
    <t>no/0/The stentor maintains an extended trumpet-like shape throughout all frames; no change to a condensed, ball-like shape is observed.</t>
  </si>
  <si>
    <t>yes/95/The stentor changes from an extended trumpet-like shape to a condensed, ball-like shape between approximately 2.0-3.5 seconds, meeting the definition of contraction even if partial or slow. The transformation is clear in the sequence of frames showing progressive shortening and rounding.</t>
  </si>
  <si>
    <t>no/0/The stentor maintains an extended, trumpet-like shape throughout all observed frames without transitioning to a condensed, ball-like form. No contraction behavior is evident.</t>
  </si>
  <si>
    <t>6-235Br1</t>
    <phoneticPr fontId="1" type="noConversion"/>
  </si>
  <si>
    <t>yes/100/The stentor transitions from an extended trumpet-like shape to a condensed form, fulfilling the definition of contraction.</t>
  </si>
  <si>
    <t>yes/95/The stentor shows a gradual shortening and condensation from an extended trumpet-like shape toward a more rounded form across the video frames, indicating a contraction.</t>
  </si>
  <si>
    <t>yes/100/The stentor transitions from an extended trumpet shape to disappearing from view, indicating it contracted into a condensed, ball-like shape as per the definition. The disappearance aligns with the behavior of contracting, even if the exact condensed form isn't visible, as the change from extended to no longer extended (due to contraction) is evident.</t>
  </si>
  <si>
    <t>yes/95/The stentor transitions from an extended trumpet shape to being absent in later frames, indicating it contracted into a condensed ball-like shape.</t>
  </si>
  <si>
    <t>no/0/The stentor maintains an extended, trumpet-like shape throughout all frames without any visible shortening or condensing into a ball-like shape.</t>
  </si>
  <si>
    <t>yes/100/The stentor transitions from an extended trumpet shape to a condensed form, fulfilling the contraction definition.</t>
  </si>
  <si>
    <t>yes/95/The stentor transitions from an extended trumpet-like shape to a condensed, ball-like shape during the video, indicating contraction.</t>
  </si>
  <si>
    <t>yes/100/The stentor changes from an extended trumpet shape to a condensed, ball-like shape between frames 4.6 and 5.0, which meets the definition of contraction.</t>
  </si>
  <si>
    <t>yes/100/The stentor transitions from an extended trumpet shape to a condensed, ball-like shape between frames 4.4 and 4.6, which meets the definition of a contraction.</t>
  </si>
  <si>
    <t>yes/95/The stentor is visible in an extended trumpet shape in early frames but disappears from view in later frames, indicating it contracted into a condensed, ball-like shape (as stentors contract to avoid stimuli or for protection, and its absence in subsequent frames aligns with contraction rather than movement out of frame given the context of the behavior definition).</t>
  </si>
  <si>
    <t>yes/100/The stentor transitions from an extended trumpet shape to a condensed, ball-like shape between frames 5.5 and 6.1, meeting the definition of contraction.</t>
  </si>
  <si>
    <t>yes/100/The stentor transitions from an extended trumpet shape in earlier frames to a condensed shape in later frames (e.g., comparing frames 0.1-3.8 to 4.1-9.8), indicating a contraction.</t>
  </si>
  <si>
    <t>no/0/No visible stentor structure changing from extended trumpet shape to condensed ball-like shape; the observed content appears to be debris or bubbles without clear stentor behavior.</t>
  </si>
  <si>
    <t>yes/100/The stentor is visible in an extended trumpet shape in the initial frames but disappears from view starting at around 5.2 seconds, indicating it contracted into a condensed, ball-like shape. This disappearance is consistent with the definition of contraction as the stentor no longer maintains its extended form.</t>
  </si>
  <si>
    <t>yes/95/The stentor transitions from an extended trumpet shape to a condensed form between frames 4.1 and 4.4, meeting the definition of contraction. The change is clear despite subsampling, with the stentor disappearing from its extended structure and no longer visible in subsequent frames in that form.</t>
  </si>
  <si>
    <t>yes/95/The stentor transitions from an extended trumpet shape to a condensed, ball-like shape between 4.4 and 4.9 seconds, meeting the definition of contraction.</t>
  </si>
  <si>
    <t>no/0/In the provided frames, the stentor appears to transition from a condensed, ball-like shape (early frames) to a more extended shape (later frames). Since contraction is defined as a change from extended to condensed, and the observed behavior is the reverse (expansion), the stentor does not contract in this video.</t>
  </si>
  <si>
    <t>yes/95/The stentor transitions from an extended trumpet-like shape to a more condensed, shortened form during the video sequence, meeting the criteria for contraction (partial shortening counts per guidelines).</t>
  </si>
  <si>
    <t>yes/95/Stentor changes from extended trumpet shape to condensed form around 3.5 seconds, meeting contraction definition.</t>
  </si>
  <si>
    <t>yes/100/The stentor transitions from an extended trumpet shape to a condensed, ball-like shape in the later frames (e.g., 5.59.8 seconds), meeting the definition of contraction.</t>
  </si>
  <si>
    <t>no/0/The stentor's shape remains consistently rounded across all frames with no observable transition from an extended trumpet-like form to a condensed ball-like shape.</t>
  </si>
  <si>
    <t>yes/100/The stentor is initially in an extended trumpet shape across early frames (0.14.6 seconds). By 4.9 seconds, the extended structure disappears, indicating a transition to a condensed, ball-like shape (contraction), as the organism is no longer visible in its extended form and no other explanation (e.g., movement out of frame) aligns with the definition of contraction.</t>
  </si>
  <si>
    <t>yes/90/The stentor transitions from an extended trumpet shape to disappearing from the frame, indicating a contraction into a condensed, ball-like shape. The absence of the stentor in later frames after being visible in extended form confirms the contraction.</t>
  </si>
  <si>
    <t>yes/100/The stentor starts in an extended trumpet shape and then disappears from view in later frames, indicating it contracted into a condensed, ball-like shape. This satisfies the definition of contraction as the extended form is no longer visible, implying a full contraction.</t>
  </si>
  <si>
    <t>yes/95/The stentor transitions from an extended trumpet-like shape to a condensed, rounded form between frames 0.1 and 4.4 seconds, meeting the definition of contraction. The shape change is clear despite some blurring.</t>
  </si>
  <si>
    <t>yes/100/The stentor transitions from an extended trumpet shape to a condensed, ball-like shape between frames 6.0 and 9.8 seconds, meeting the definition of contraction.</t>
  </si>
  <si>
    <t>yes/75/The stentor exhibits partial shortening from an extended trumpet-like shape toward a more condensed form across the video frames, meeting the criteria for contraction as defined.</t>
  </si>
  <si>
    <t>no/0/In all provided frames, the stentor maintains an extended, trumpet-like shape without any visible change to a condensed, ball-like form. No contraction behavior is observed.</t>
  </si>
  <si>
    <t>yes/100/The stentor transitions from an extended trumpet shape to a condensed, ball-like shape between 4.5-5.0 seconds, meeting the definition of contraction.</t>
  </si>
  <si>
    <t>yes/100/The stentor transitions from an extended trumpet shape to a condensed, ball-like shape at approximately 4.9-5.2 seconds, meeting the definition of contraction.</t>
  </si>
  <si>
    <t>yes/100/The stentor transitions from an extended trumpet shape to a condensed ball-like shape during the video, meeting the definition of contraction.</t>
  </si>
  <si>
    <t>yes/100/The stentor transitions from an extended trumpet-like shape in early frames to a condensed form in later frames, meeting the definition of contraction.</t>
  </si>
  <si>
    <t>yes/95/The stentor transitions from an extended trumpet shape to a condensed state, as evidenced by its disappearance from the frame (indicating contraction into a ball-like form), which qualifies as a contraction per the definition.</t>
  </si>
  <si>
    <t>yes/100/The stentor transitions from an extended trumpet-like shape in early frames to a condensed, rounded form in later frames (e.g., between 4.65.2 seconds), meeting the definition of contraction.</t>
  </si>
  <si>
    <t>yes/100/The stentor transitions from an extended trumpet shape to a condensed, ball-like shape between frames 4.6 and 5.2, meeting the definition of contraction.</t>
  </si>
  <si>
    <t>yes/95/ The stentor transitions from an extended trumpet-like shape to a more condensed, rounded form throughout the video frames, meeting the criteria for contraction as defined.</t>
  </si>
  <si>
    <t>yes/100/The stentor transitions from an extended trumpet shape to a condensed, shorter form between approximately 2.1 and 3.5 seconds, meeting the definition of contraction (including partial shortening).</t>
  </si>
  <si>
    <t>yes/100/The stentor transitions from an extended trumpet shape to a condensed, ball-like shape between frames 4.6 and 8.1, satisfying the definition of contraction.</t>
  </si>
  <si>
    <t>yes/95/In the video, the stentor transitions from an extended trumpet shape (visible in early frames) to a condensed state. By the 5.2-second mark, the stentor is no longer visible in its extended form, indicating a full contraction into a ball-like shape (likely moving out of focus or condensing completely). This meets the definition of contraction as the shape changes from extended to condensed.</t>
  </si>
  <si>
    <t>no/0/The stentor maintains an extended oval shape throughout all frames without any visible shortening or condensation into a ball-like form.</t>
  </si>
  <si>
    <t>yes/95/The stentor transitions from an extended trumpet shape to a condensed, ball-like shape, particularly evident in the later frames (e.g., 9.5-9.8 seconds), meeting the definition of contraction.</t>
  </si>
  <si>
    <t>yes/100/The stentor transitions from an extended trumpet shape to a condensed, ball-like shape between frames 4.6 and 7.2 seconds, meeting the definition of contraction (including slow/partial changes).</t>
  </si>
  <si>
    <t>yes/95/The stentor transitions from an extended trumpet shape to a condensed, rounded form between frames, indicating a contraction.</t>
  </si>
  <si>
    <t>yes/95/Stentor changes from extended trumpet shape to condensed oval shape between frames 4.1 and 4.4, meeting the contraction definition.</t>
  </si>
  <si>
    <t>yes/100/The stentor transitions from an extended trumpet shape to a condensed form, disappearing from view as it contracts into a ball-like shape between 3.5-4.1 seconds.</t>
  </si>
  <si>
    <t>yes/95/In the video, the stentor is visible in an extended, trumpet-like shape from 0.1 to 4.1 seconds. By 4.4 seconds, it is no longer visible, indicating it contracted into a condensed, ball-like shape (consistent with typical stentor contraction behavior when disturbed, such as by the nearby pipette). The disappearance aligns with the definition of contraction, as the organism transitions from extended to a condensed form that becomes difficult to distinguish in the frame.</t>
  </si>
  <si>
    <t>no/0/In all frames from 0.1 to 9.8 seconds, the stentor maintains an extended trumpet-like shape without transitioning to a condensed, ball-like form. No contraction behavior is observed.</t>
  </si>
  <si>
    <t>yes/100/The stentor transitions from an extended trumpet shape to a condensed, ball-like shape between frames 5.2 and 5.5, fulfilling the definition of contraction even as a partial shortening.</t>
  </si>
  <si>
    <t>no/0/No contraction observed; the stentor maintains an extended trumpet-like shape throughout all frames without condensing into a ball-like form.</t>
  </si>
  <si>
    <t>yes/90/The stentor transitions from an extended trumpet shape to a condensed, ball-like form, as seen when the extended structure disappears and a rounded shape becomes visible in subsequent frames.</t>
  </si>
  <si>
    <t>yes/100/The stentor transitions from an extended trumpet shape to a condensed ball-like shape between 4.9 and 5.2 seconds, meeting the definition of contraction.</t>
  </si>
  <si>
    <t>yes/95/The stentor transitions from an extended trumpet shape to a condensed form, with visible contraction occurring around the 5-second mark as it changes shape and releases particles. The transformation meets the criteria of contracting from an extended to a condensed shape.</t>
  </si>
  <si>
    <t>no/0/The stentor maintains an extended trumpet-like shape throughout all frames without any visible shortening or condensing into a ball-like form.</t>
  </si>
  <si>
    <t>yes/95/The stentor transitions from an extended trumpet shape to a condensed, ball-like form between frames 4-5 and remains condensed in subsequent frames, meeting the definition of contraction.</t>
  </si>
  <si>
    <t>yes/100/The stentor transitions from an extended shape to a condensed, ball-like shape across the video frames, meeting the definition of contraction.</t>
  </si>
  <si>
    <t>yes/100/The stentor transitions from an extended trumpet shape to a condensed, ball-like shape over the video frames, fulfilling the definition of contraction.</t>
  </si>
  <si>
    <t>yes/100/The stentor exhibits contraction as evidenced by transitioning from an extended trumpet shape to a condensed form, including a frame where it is no longer visible (indicating full contraction). Partial shortening and complete disappearance confirm contraction behavior.</t>
  </si>
  <si>
    <t>yes/95/Stentor changes from extended trumpet shape to condensed oval shape between 4.9-5.2 seconds, meeting the contraction definition.</t>
  </si>
  <si>
    <t>yes/100/The stentor transitions from an extended trumpet shape to a condensed, shorter form in later frames, meeting the definition of contraction.</t>
  </si>
  <si>
    <t>yes/95/The stentor transitions from an extended trumpet shape in early frames to a condensed, rounded shape in later frames (e.g., frames 510), meeting the definition of contraction.</t>
  </si>
  <si>
    <t>yes/100/The stentor transitions from an extended trumpet shape to a condensed ball-like shape around the 5.2-second mark, which meets the definition of a contraction.</t>
  </si>
  <si>
    <t>yes/95/The stentor transitions from an extended, trumpet-like shape in earlier frames to a more condensed, rounded shape in later frames, meeting the definition of contraction.</t>
  </si>
  <si>
    <t>yes/100/The stentor transitions from an extended trumpet shape to a condensed, ball-like shape between frames 4.9 and 5.2, meeting the definition of contraction.</t>
  </si>
  <si>
    <t>yes/100/The stentor transitions from an extended trumpet shape to no longer being visible in that form, indicating it contracted into a condensed shape. The disappearance of the extended structure confirms a full contraction.</t>
  </si>
  <si>
    <t>no/0/The stentor remains in an extended trumpet-like shape throughout all frames without any visible contraction into a condensed, ball-like form.</t>
  </si>
  <si>
    <t>yes/90/The stentor transitions from an extended trumpet-like shape (e.g., frame 5.5) to a condensed, ball-like shape (e.g., frames 6.49.8), meeting the definition of contraction.</t>
  </si>
  <si>
    <t>no/0/The stentors in the video maintain their extended, trumpet-like shapes throughout all frames; no transition to a condensed, ball-like shape indicative of contraction is observed.</t>
  </si>
  <si>
    <t>yes/95/The stentor transitions from an extended trumpet shape to a condensed, ball-like shape between frames 4.0 and 4.5, meeting the definition of contraction.</t>
  </si>
  <si>
    <t>no/0/The stentor remains in an extended trumpet shape throughout all frames; no contraction to a condensed ball-like shape is observed.</t>
  </si>
  <si>
    <t>yes/95/The stentor transitions from an extended trumpet shape to a condensed, ball-like shape across the video frames, satisfying the definition of contraction.</t>
  </si>
  <si>
    <t>yes/100/The stentor changes from an extended trumpet-like shape to a condensed, oval shape (evident around the 3.8-second frame), which meets the definition of contraction as it shortens into a more compact form.</t>
  </si>
  <si>
    <t>yes/95/The stentor is visible in an extended trumpet shape until approximately 4.4 seconds, after which it disappears from view, indicating a contraction into a condensed, ball-like shape. This disappearance aligns with the definition of contraction, as the stentor no longer maintains its extended form.</t>
  </si>
  <si>
    <t>yes/95/The stentor transitions from an extended trumpet shape to a condensed, ball-like shape between frames, meeting the definition of contraction (including slow/partial changes). The shape change is clear despite slow progression.</t>
  </si>
  <si>
    <t>no/0/The stentor remains in an extended trumpet-like shape throughout all frames; no condensation into a ball-like shape is observed.</t>
  </si>
  <si>
    <t>yes/100/The stentor was visible in an extended trumpet shape until approximately 6.1 seconds, after which it disappeared from the frame, indicating it contracted into a condensed, ball-like shape and moved out of view. This disappearance aligns with the definition of contraction.</t>
  </si>
  <si>
    <t>no/0/The stentor maintains an extended trumpet-like shape throughout all frames and does not change to a condensed, ball-like shape.</t>
  </si>
  <si>
    <t>yes/95/The stentor transitions from an extended trumpet shape to a condensed, ball-like shape over the video frames, indicating a contraction.</t>
  </si>
  <si>
    <t>yes/100/The stentor is visible in an extended trumpet shape from 0.1 to 5.8 seconds, then disappears by 6.1 seconds, indicating it contracted into a condensed, ball-like shape (as stentors retract completely when contracting). This meets the definition of contraction.</t>
  </si>
  <si>
    <t>yes/100/The stentor transitions from an extended trumpet shape to a condensed, ball-like shape by the final frame, meeting the definition of contraction.</t>
  </si>
  <si>
    <t>yes/90/The stentor transitions from an extended trumpet shape to a condensed form with visible shortening and rounding of the oral region, meeting the definition of contraction.</t>
  </si>
  <si>
    <t>no/0/The stentor remains in an extended trumpet shape throughout all frames; no transition to a condensed, ball-like shape is observed.</t>
  </si>
  <si>
    <t>yes/95/Stentor transitions from extended trumpet shape to condensed ball-like shape between frames 5-7, indicating contraction.</t>
  </si>
  <si>
    <t>yes/95/The stentor transitions from an extended trumpet shape to a condensed form across the video frames, indicating contraction.</t>
  </si>
  <si>
    <t>yes/95/The stentor transitions from an extended trumpet shape to a condensed, ball-like shape by the end of the video, meeting the contraction definition.</t>
  </si>
  <si>
    <t>yes/95/The stentor transitions from an extended trumpet shape in early frames to no longer being visible in that form by frame 6.1, with the area filled with particles, indicating it contracted into a condensed, ball-like shape.</t>
  </si>
  <si>
    <t>yes/95/The stentor transitions from an extended trumpet-like shape to a shorter, more condensed form across the video frames, with visible shortening of its body consistent with a contraction behavior.</t>
  </si>
  <si>
    <t>yes/100/The stentor transitions from an extended trumpet shape (visible in frames up to ~5.8s) to no longer being visible as a distinct organism, with particles appearing in its place. This indicates a contraction event where the stentor changed from an extended shape to a condensed form before the observed dispersal.</t>
  </si>
  <si>
    <t>yes/95/The stentor transitions from an extended trumpet shape to a condensed, rounded form between frames 7-10, meeting the definition of contraction (including slow/partial changes).</t>
  </si>
  <si>
    <t>yes/100/The stentor transitions from an extended trumpet shape in early frames to a condensed state (no longer visible in its extended form by 5.2s), indicating contraction.</t>
  </si>
  <si>
    <t>yes/95/The stentor transitions from an extended trumpet shape to a condensed, ball-like shape during the video sequence, with clear shortening and rounding observed.</t>
  </si>
  <si>
    <t>yes/100/The stentor transitions from an extended trumpet-like shape to a condensed, oval/ball-like shape between the early and later frames (e.g., from ~0.1s to 5.8s), meeting the definition of contraction.</t>
  </si>
  <si>
    <t>yes/95/In frames 0.1 to 4.9, the stentor maintains an extended trumpet shape. By frame 5.2, it begins to contract, and in subsequent frames (5.59.8), it adopts a condensed, ball-like form. This meets the definition of contraction as the shape changes from extended to condensed.</t>
  </si>
  <si>
    <t>yes/100/The stentor changes from an extended trumpet shape to a condensed ball-like shape between approximately 1.2-1.8 seconds, which meets the definition of contraction.</t>
  </si>
  <si>
    <t>yes/95/The stentor changes from an extended trumpet shape to a condensed, ball-like shape between frames 6.1 and 6.4 seconds, meeting the definition of contraction.</t>
  </si>
  <si>
    <t>no/0/No visible contraction observed; the stentor maintains an extended trumpet-like shape throughout all frames without transitioning to a condensed, ball-like form.</t>
  </si>
  <si>
    <t>yes/95/The stentor transitions from an extended trumpet-like shape to a condensed, ball-like shape between frames 7.5 and 9.8 seconds, meeting the definition of contraction.</t>
  </si>
  <si>
    <t>yes/100/The stentor transitions from an extended trumpet shape to a condensed ball-like shape, with full contraction visible in later frames (e.g., frame 6.6 and beyond).</t>
  </si>
  <si>
    <t>yes/95/The stentor transitions from an extended trumpet shape to a condensed, rounded form between frames 6-10, meeting the definition of contraction.</t>
  </si>
  <si>
    <t>yes/95/The stentor transitions from an extended trumpet shape in early frames to a condensed, ball-like shape in later frames (e.g., 5.5+ seconds), indicating contraction.</t>
  </si>
  <si>
    <t>no/0/No contraction observed; the stentor maintains an extended trumpet shape throughout all frames without transitioning to a condensed, ball-like form.</t>
  </si>
  <si>
    <t>yes/95/The stentor transitions from an extended trumpet shape to a condensed, ball-like shape in frames 2.6-6.4, with partial shortening and a distinct condensed form visible, satisfying the contraction definition.</t>
  </si>
  <si>
    <t>yes/95/The stentor transitions from an extended trumpet shape to a condensed state (no longer visible as an extended form in later frames), indicating contraction. Slow/partial shortening is counted, and the disappearance aligns with contraction into a ball-like shape.</t>
  </si>
  <si>
    <t>no/0/The stentor maintains an extended trumpet shape throughout all frames without transitioning to a condensed, ball-like shape. No contraction is observed.</t>
  </si>
  <si>
    <t>yes/95/The stentor transitions from an extended trumpet shape to a condensed, ball-like shape in the later frames (around 8-10 seconds), meeting the definition of contraction.</t>
  </si>
  <si>
    <t>yes/95/The stentor transitions from an extended trumpet shape to a condensed, rounded form across the video frames, indicating contraction.</t>
  </si>
  <si>
    <t>no/0/The stentor maintains an extended trumpet shape throughout all frames; no transition to a condensed ball-like shape is observed.</t>
  </si>
  <si>
    <t>no/0/The stentor maintains an extended trumpet shape throughout all frames; no transition to a condensed, ball-like shape occurs.</t>
  </si>
  <si>
    <t>yes/95/The stentor transitions from an extended trumpet shape to a condensed, ball-like shape during the video, which meets the definition of contraction.</t>
  </si>
  <si>
    <t>no/0/The stentor maintains an extended, trumpet-like shape throughout all frames without any visible change to a condensed, ball-like shape.</t>
  </si>
  <si>
    <t>no/0/The stentor maintains an extended trumpet shape throughout all frames; no condensation into a ball-like shape is observed.</t>
  </si>
  <si>
    <t>yes/100/The stentor transitions from an extended trumpet-like shape to a condensed form, with visible shortening and rounding, which meets the definition of contraction (including partial shortening).</t>
  </si>
  <si>
    <t>yes/95/The stentor transitions from an extended trumpet shape to a condensed, rounded form across the video frames, meeting the definition of contraction.</t>
  </si>
  <si>
    <t>yes/95/The stentor transitions from an extended trumpet shape to a condensed, rounded form during the video, fulfilling the definition of contraction even with gradual shortening.</t>
  </si>
  <si>
    <t>yes/90/The stentor exhibits a gradual shortening and condensation of its body from an extended trumpet-like shape toward a more rounded form, indicating a partial contraction.</t>
  </si>
  <si>
    <t>yes/95/The stentor transitions from an extended trumpet-like shape to a condensed, oval shape between frames 6.6 and 6.9, meeting the definition of contraction.</t>
  </si>
  <si>
    <t>yes/95/The stentor transitions from an extended trumpet shape to a condensed, ball-like shape during the video, particularly evident between early frames (e.g., 0.1s) and later frames (e.g., 2.15.2s), where its form shortens and becomes more rounded.</t>
  </si>
  <si>
    <t>no/0/The stentor maintains an extended trumpet shape throughout all frames without transitioning to a condensed, ball-like form.</t>
  </si>
  <si>
    <t>no/0/The stentor maintains an extended trumpet-like shape throughout all frames without transitioning to a condensed, ball-like shape. No contraction behavior is observed.</t>
  </si>
  <si>
    <t>yes/100/The stentor transitions from an extended trumpet shape in early frames to a condensed form in later frames (e.g., 7.09.8 seconds), meeting the definition of contraction.</t>
  </si>
  <si>
    <t>yes/100/The stentor on the right transitions from an extended trumpet shape to a condensed ball-like shape between 0.1s and 0.6s, meeting the contraction definition.</t>
  </si>
  <si>
    <t>yes/90/The stentor transitions from an extended trumpet shape to a shorter, more condensed form across the video frames, with visible shortening that meets the definition of contraction (including partial shortening).</t>
  </si>
  <si>
    <t>yes/95/The stentor transitions from an extended trumpet shape to a condensed form, with visible shortening and rounding of its structure, meeting the definition of contraction.</t>
  </si>
  <si>
    <t>yes/95/The stentor transitions from an extended trumpet shape to a condensed, ball-like form between the 1.5-second and subsequent frames, meeting the contraction criteria. Slow contraction is observed as the shape progressively shortens and rounds.</t>
  </si>
  <si>
    <t>yes/80/The stentor exhibits partial shortening and shape change from an extended trumpet-like form to a more condensed structure, which meets the definition of contraction (including partial shortening).</t>
  </si>
  <si>
    <t>no/0/The stentor maintains an extended trumpet shape throughout all frames without any visible change to a condensed ball-like shape.</t>
  </si>
  <si>
    <t>no/0/The stentor does not exhibit any change in shape from an extended trumpet-like form to a condensed ball-like shape across all provided frames; the structure remains static without contraction.</t>
  </si>
  <si>
    <t>no/0/The stentor maintains an extended shape throughout all frames; no contraction observed.</t>
  </si>
  <si>
    <t>no/0/The stentor maintains an extended trumpet-like shape throughout all frames without transitioning to a condensed ball-like shape.</t>
  </si>
  <si>
    <t>no/0/The stentor maintains an extended, trumpet-like shape throughout all frames; no contraction (change to a condensed, ball-like shape) is observed.</t>
  </si>
  <si>
    <t>no/0/The stentor maintains an extended, trumpet-like shape throughout all frames without any visible change to a condensed, ball-like form. No contraction behavior is observed.</t>
  </si>
  <si>
    <t>yes/100/The stentor transitions from an extended shape to a condensed, ball-like form in the later frames, meeting the definition of contraction.</t>
  </si>
  <si>
    <t>yes/95/From the initial extended trumpet shape, the stentor gradually shortens and condenses into a more rounded, ball-like form by the end of the video sequence, meeting the definition of contraction (including slow/partial changes).</t>
  </si>
  <si>
    <t>no/0/No visible change from extended trumpet shape to condensed ball-like shape; stentor maintains extended form across all frames.</t>
  </si>
  <si>
    <t>yes/85/The stentor transitions from an extended, trumpet-like shape in earlier frames to a more condensed, rounded shape in later frames, indicating partial contraction. While not fully spherical, the visible shortening and shape change meet the criteria for contraction.</t>
  </si>
  <si>
    <t>yes/95/The stentor transitions from an extended trumpet-like shape to a condensed, ball-like shape over the course of the video, meeting the definition of contraction.</t>
  </si>
  <si>
    <t>no/0/The stentor maintains an elongated, oval shape throughout all frames without any visible change to a condensed, ball-like shape; no contraction occurs.</t>
  </si>
  <si>
    <t>no/0/The stentor does not exhibit a change from an extended trumpet-like shape to a condensed ball-like shape. In all frames, the stentor remains in a relatively spherical form without any observable contraction behavior. The shape remains consistent throughout the video, showing no transition indicative of contraction.</t>
  </si>
  <si>
    <t>no/0/The stentor maintains an extended shape throughout all frames and does not transition to a condensed, ball-like form at any point.</t>
  </si>
  <si>
    <t>no/0/The stentors in the video maintain an extended, trumpet-like shape throughout all frames; no transition to a condensed, ball-like shape is observed.</t>
  </si>
  <si>
    <t>no/10/The stentor remains in an extended trumpet-like shape throughout all frames; there is no observable transition to a condensed, ball-like form. While movement and potential division occur, no contraction behavior matching the definition is present.</t>
  </si>
  <si>
    <t>no/0/The stentor maintains an extended, elongated shape throughout all frames without any visible shortening or condensation into a ball-like form.</t>
  </si>
  <si>
    <t>no/0/The stentor maintains an extended, trumpet-like shape throughout all frames without transitioning to a condensed, ball-like form. No contraction is observed.</t>
  </si>
  <si>
    <t>no/0/The stentor maintains an extended, trumpet-like shape throughout all frames and does not transition to a condensed, ball-like shape.</t>
  </si>
  <si>
    <t>no/0/The stentor remains in a relatively consistent oval shape throughout all frames, with no observable transition from an extended trumpet-like form to a condensed ball-like shape. No contraction behavior is evident.</t>
  </si>
  <si>
    <t>yes/100/The stentor transitions from an extended trumpet-like shape to a condensed, spherical shape, which meets the definition of contraction.</t>
  </si>
  <si>
    <t>repeated 2</t>
    <phoneticPr fontId="1" type="noConversion"/>
  </si>
  <si>
    <t>repeated 3</t>
    <phoneticPr fontId="1" type="noConversion"/>
  </si>
  <si>
    <t>yes/95/The stentor transitions from an extended trumpet shape to a condensed form (and eventually disappears from view as it contracts), which matches the definition of a contraction. The change is evident in the frames where the stentor shortens and loses its extended structure.</t>
  </si>
  <si>
    <t>yes/85/The stentor transitions from an extended trumpet-like shape to a more condensed form over time, indicating a contraction behavior as defined.</t>
  </si>
  <si>
    <t>yes/100/The stentor starts in an extended trumpet shape, then disappears from view between 4.4s and 4.9s. This indicates a rapid change from extended to condensed (ball-like), meeting the contraction definition as the organism no longer retains its trumpet shape.</t>
  </si>
  <si>
    <t>yes/95/The stentor is visible in an extended trumpet shape in early frames, then disappears from the field of view by 5.2 seconds, indicating a rapid contraction into a condensed state (as it no longer appears in subsequent frames, consistent with the definition of contraction).</t>
  </si>
  <si>
    <t>no/0/The stentor remains in an extended, trumpet-like shape throughout all frames; there is no observable change to a condensed, ball-like shape, indicating no contraction occurred.</t>
  </si>
  <si>
    <t>no/0/The stentor remains in an extended, trumpet-like shape throughout all frames; there is no observable change to a condensed or ball-like form, indicating no contraction occurred.</t>
  </si>
  <si>
    <t>yes/90/The stentor transitions from an extended trumpet shape to disappearing from view, indicating a contraction into a condensed form.</t>
  </si>
  <si>
    <t>yes/100/The stentor changes from an extended trumpet shape to a condensed state (disappearing from view as it contracts) between frames 4.1-4.6 seconds, meeting the definition of contraction.</t>
  </si>
  <si>
    <t>yes/95/The stentor transitions from an extended trumpet shape to a condensed, ball-like shape between approximately 4-5 seconds, which meets the definition of contraction.</t>
  </si>
  <si>
    <t>yes/85/The stentor transitions from an extended trumpet shape to being no longer visible in the frame, which is consistent with a contraction into a condensed, ball-like shape (as contraction can involve shortening and moving out of view). The sequence shows the stentor present in extended form until ~4.4s, then absent in subsequent frames, indicating a contraction event.</t>
  </si>
  <si>
    <t>yes/100/The stentor changes from an extended trumpet shape to a condensed, oval/ball-like shape between 4.4 and 4.6 seconds, which matches the definition of a contraction.</t>
  </si>
  <si>
    <t>yes/95/The stentor is initially in an extended trumpet shape but disappears from the frame (4.9s onward), indicating a change to a condensed form consistent with contraction. The rapid loss of the extended shape suggests a contraction occurred.</t>
  </si>
  <si>
    <t>yes/95/In the video, the stentor transitions from an extended trumpet shape to being no longer visible in the frame (5.5 - 6.1 seconds), indicating it contracted into a condensed, ball-like shape (as it would be obscured or hidden in that form). This meets the definition of a contraction.</t>
  </si>
  <si>
    <t>yes/95/In the video, the stentor is initially in an extended trumpet shape (0-3.8s). By 4.1s, it is no longer visible, indicating a transition from extended to a condensed state (as stentors contract into a ball-like shape and may move out of view). This change in shape meets the contraction definition, even if the condensed form is not captured in the frames. The 95% score reflects confidence in the contraction event based on the disappearance of the extended shape.</t>
  </si>
  <si>
    <t>no/0/No stentor is visible in the video; the frames show debris and a pipette, with no trumpet-shaped stentor to observe contraction.</t>
  </si>
  <si>
    <t>yes/90/The stentor is initially in an extended trumpet shape and then disappears from view between 5.2s and 5.5s, indicating a rapid contraction (a typical stentor behavior where it changes from extended to condensed). This disappearance aligns with the definition of contraction as the shape change to a condensed state.</t>
  </si>
  <si>
    <t>yes/95/The stentor transitions from an extended trumpet shape to a condensed state (no longer visible as an extended form) between 4.1 and 4.4 seconds, indicating a contraction.</t>
  </si>
  <si>
    <t>yes/90/At approximately 4.4-5.2 seconds, the stentor transitions from an extended trumpet shape to a condensed, oval/ball-like form, indicating a contraction. The change in shape from elongated to shortened/rounded meets the definition of contraction.</t>
  </si>
  <si>
    <t>yes/95/In the video, the stentor transitions from a more extended, trumpet-like shape (evident in earlier frames) to a condensed, ball-like shape starting around 4.4 seconds, which matches the definition of a contraction. The change is clear and continuous across frames.</t>
  </si>
  <si>
    <t>no/0/The stentor remains in an extended shape throughout the video; there is no observable change to a condensed, ball-like form. All frames show the stentor as elongated without significant shortening or shape alteration consistent with contraction.</t>
  </si>
  <si>
    <t>yes/90/The stentor changes from an extended trumpet shape to a more condensed, shortened form (visible between 3.2s and 3.5s), which meets the definition of a contraction. The change is clear despite partial shortening, so a high score is appropriate.</t>
  </si>
  <si>
    <t>yes/95/In the video, the stentor starts in an extended trumpet shape. As the pipette interacts with it, the stentor undergoes a rapid change and disappears from view (frames 5.2s5.5s), indicating a contraction to a condensed shape (consistent with stentor defense behavior). The absence of the stentor after this point confirms it contracted.</t>
  </si>
  <si>
    <t>no/0/The stentor's shape remains consistently extended (trumpet-like) throughout all frames, with no observable transition to a condensed, ball-like shape. Debris in the background does not affect the stentor's behavior assessment.</t>
  </si>
  <si>
    <t>no/0/The stentor maintains a consistent extended trumpet shape across all frames; no change to a condensed, ball-like shape is observed.</t>
  </si>
  <si>
    <t>yes/90/The stentor transitions from an extended trumpet shape to a condensed state, disappearing from the frame (e.g., between 4.9s and 5.2s), indicating a contraction behavior. The change in shape from extended to condensed aligns with the definition, even if the condensed form is not fully visible as it moves out of view.</t>
  </si>
  <si>
    <t>yes/90/The stentor transitions from an extended trumpet shape to being no longer visible in the frame (by 4.6 seconds), indicating a rapid contraction. While the exact condensed shape isn't shown, the sudden disappearance from the extended form aligns with the definition of contraction (as stentors typically contract rapidly when disturbed, even if the full condensed state isn't captured due to subsampling). The movement out of frame implies a contraction event.</t>
  </si>
  <si>
    <t>yes/90/The stentor starts in an extended trumpet shape and then disappears from view (around 3.5-4.1 seconds), indicating a rapid contraction into a condensed form that is no longer visible in the frame. This change from extended to condensed shape meets the definition of contraction.</t>
  </si>
  <si>
    <t>yes/90/The stentor transitions from an extended trumpet-like shape to a condensed form, with visible shortening and rounding in the sequence (e.g., from 0.1s to 4.4s), matching the contraction definition. Blurriness in later frames doesn't negate the observed shape change.</t>
  </si>
  <si>
    <t>yes/95/The stentor transitions from an extended trumpet-like shape to a condensed, rounded (ball-like) shape, which matches the definition of contraction. The change is evident in the frames where the long, narrow portion shortens significantly and the body becomes more compact.</t>
  </si>
  <si>
    <t>yes/95/In the video, the stentor transitions from an extended, trumpet-like shape to a more condensed, rounded form, indicating a contraction. The change is evident across the frames as the organism shortens and becomes less elongated.</t>
  </si>
  <si>
    <t>no/0/The stentor maintains an extended, trumpet-like shape throughout all frames without showing any change to a condensed, ball-like form. No contraction behavior is observed.</t>
  </si>
  <si>
    <t>yes/100/The stentor transitions from an extended trumpet shape to a condensed, ball-like shape (evident from the disappearance of the extended form and the presence of a compacted shape in later frames), matching the definition of contraction.</t>
  </si>
  <si>
    <t>yes/95/The stentor changes from an extended trumpet shape to being no longer visible (implying a rapid contraction to a condensed state), which fits the definition of contraction. The sudden disappearance of the stentor at ~4.9 seconds indicates a contraction event.</t>
  </si>
  <si>
    <t>yes/95/At approximately 5 seconds, the stentor transitions from an extended, trumpet-like shape to a condensed, ball-like shape, meeting the definition of a contraction. The change is clear despite subsampled frames, indicating a contraction event.</t>
  </si>
  <si>
    <t>yes/95/The stentor is initially extended (trumpet-like) and then disappears from view as the pipette interacts, indicating a contraction into a condensed shape (ball-like) as a response to the disturbance. This is consistent with the definition of contraction.</t>
  </si>
  <si>
    <t>yes/100/The stentor transitions from an extended trumpet shape to disappearing from view, indicating a contraction into a condensed, ball-like shape (as it is no longer visible in the later frames, consistent with the defined behavior).</t>
  </si>
  <si>
    <t>yes/90/The stentor transitions from an extended trumpet shape to a condensed, ball-like shape (evident in frames around 4.65.8 seconds), which matches the definition of a contraction. The change is clear despite some blurring in intermediate frames.</t>
  </si>
  <si>
    <t>yes/100/The stentor transitions from an extended trumpet shape to being no longer visible in the frames, indicating a contraction to a condensed form.</t>
  </si>
  <si>
    <t>yes/90/The stentor changes from an extended trumpet-like shape to a more condensed, shorter shape throughout the video, indicating a contraction behavior as defined.</t>
  </si>
  <si>
    <t>yes/95/The stentor transitions from an extended trumpet shape to a condensed, ball-like shape between approximately 2.1-2.6 seconds, which matches the definition of contraction. The change is visible despite some blurring in intermediate frames, confirming a clear contraction event.</t>
  </si>
  <si>
    <t>yes/90/The stentor transitions from an extended trumpet shape to a condensed, ball-like form (evident in frames ~4.4-5.2 seconds), meeting the contraction definition.</t>
  </si>
  <si>
    <t>yes/95/The stentor transitions from an extended trumpet shape to being no longer visible, indicating a contraction into a condensed form (as stentors contract into a ball-like shape that may be less visible or out of frame). The gradual shortening and disappearance align with the definition of contraction.</t>
  </si>
  <si>
    <t>no/20/The stentor (the long, tubular structure on the right) does not exhibit a change from an extended trumpet shape to a condensed ball-like shape across the video frames. The organism's length and form remain relatively consistent, with no visible shortening or rounding that would indicate a contraction. The other organism (left, oval-shaped) is not a stentor and is irrelevant to the assessment.</t>
  </si>
  <si>
    <t>yes/90/The stentor transitions from an extended, trumpet-like shape in early frames (e.g., 0.1s) to a more condensed, rounded form in later frames (e.g., 9.5s9.8s), indicating a contraction. The shape change is gradual but clear, fitting the definition of contraction (partial shortening and condensation).</t>
  </si>
  <si>
    <t>yes/95/The stentor transitions from an extended trumpet-like shape to a condensed, rounded form (evident from frame ~4.6s onward, with the trumpet shape disappearing and the body becoming more spherical). This matches the definition of contraction, including partial shortening and slow changes.</t>
  </si>
  <si>
    <t>yes/90/In the video, the stentor transitions from an extended trumpet shape to a condensed, ball-like shape, indicating a contraction.</t>
  </si>
  <si>
    <t>yes/95/The stentor transitions from an extended trumpet shape to a condensed, oval shape between 4.1 and 4.4 seconds, which matches the definition of contraction. The change is clear and significant.</t>
  </si>
  <si>
    <t>yes/90/The stentor transitions from an extended trumpet shape to a condensed state (disappearing from view as a distinct extended form), indicating a contraction behavior as defined.</t>
  </si>
  <si>
    <t>yes/90/The stentor is visible in early frames (e.g., 0.1s4.1s) as an extended trumpet shape, then disappears from the frame by 4.4s, indicating it contracted into a condensed form not visible in subsequent frames. This aligns with the definition of contraction (extended  condensed shape change).</t>
  </si>
  <si>
    <t>no/0/The stentor maintains a consistent extended, trumpet-like shape throughout the video frames without showing any transition to a condensed, ball-like form.</t>
  </si>
  <si>
    <t>yes/90/The stentor transitions from an extended trumpet shape to a condensed, ball-like shape between the early and later frames, indicating a contraction.</t>
  </si>
  <si>
    <t>yes/95/The stentor undergoes a clear change from an extended trumpet shape to a more condensed form (evident in frames around 4.1 seconds and later), indicating a contraction as defined. The shape change is visible and consistent with the criteria.</t>
  </si>
  <si>
    <t>yes/90/The stentor is initially visible in an extended, trumpet-like shape but disappears from the frame (4.6s and later), indicating a rapid change to a condensed state (as stentors contract quickly, often moving out of view). The absence of the extended shape after 4.4s confirms a contraction occurred.</t>
  </si>
  <si>
    <t>yes/90/In the video, the stentor starts in an extended trumpet shape and then disappears from view in subsequent frames. This sudden absence after being clearly extended indicates a rapid contraction into a condensed, ball-like shape (as stentors typically contract when disturbed, such as by the nearby pipette). The behavior aligns with the definition of contraction, even if the condensed form is not visible in the subsampled frames due to the speed of the action.</t>
  </si>
  <si>
    <t>yes/95/The stentor transitions from an extended trumpet shape to a condensed state (disappearing from view) around the 4.9-second mark, which matches the definition of contraction.</t>
  </si>
  <si>
    <t>no/0/No visible change from extended trumpet shape to condensed ball-like shape; the stentor maintains a relatively consistent elongated form throughout the frames.</t>
  </si>
  <si>
    <t>yes/100/The stentor transitions from an extended trumpet shape to a condensed, oval shape, indicating a contraction.</t>
  </si>
  <si>
    <t>yes/95/In the video, the stentor is initially visible in an extended trumpet shape. By 4.4 seconds, it disappears from the frame, which is consistent with a rapid contraction into a condensed, ball-like shape (a typical stentor behavior where the organism retracts and may move out of view). The absence of the stentor after 4.1 seconds indicates a shape change from extended to condensed, satisfying the contraction definition. The score reflects high confidence in the contraction occurrence.</t>
  </si>
  <si>
    <t>yes/90/In the video, the stentor transitions from an extended trumpet-like shape to a condensed state (no longer visible as an extended form by ~4.9 seconds), indicating a contraction. The change is evident as the organism shortens and becomes less distinct in the extended shape, consistent with the definition of contraction.</t>
  </si>
  <si>
    <t>yes/90/The stentor transitions from an extended trumpet-like shape (e.g., 0.1s) to a more condensed, ball-like shape (e.g., 0.6s and beyond), which meets the definition of contraction. The change in shape is consistent with the behavior described.</t>
  </si>
  <si>
    <t>yes/100/The stentor changes from an extended trumpet-like shape to a condensed, shorter form (evident in the progression from early frames to later frames), meeting the definition of a contraction.</t>
  </si>
  <si>
    <t>yes/90/The stentor starts as an extended trumpet shape and then rapidly disappears from the frame (between 4.6s and 5.2s), indicating a contraction to a condensed, ball-like shape (as the extended form is lost and the organism is no longer visible in its original form, consistent with contraction behavior).</t>
  </si>
  <si>
    <t>yes/100/The stentor transitions from an extended trumpet shape to being no longer visible, indicating it contracted into a condensed form (as per the definition of contraction). The shape change from extended to absent (due to contraction) confirms the behavior.</t>
  </si>
  <si>
    <t>yes/95/The stentor changes from an extended trumpet shape to a condensed, oval shape between approximately 4.6 seconds and 5.2 seconds, which meets the definition of a contraction (any change from extended to condensed/ball-like shape, including partial shortening).</t>
  </si>
  <si>
    <t>no/10/No visible change from extended trumpet shape to condensed ball-like shape; the stentor maintains an elongated form while moving and exits the frame without exhibiting contraction behavior.</t>
  </si>
  <si>
    <t>yes/90/The stentor is initially in an extended trumpet shape (0.14.9s). By 4.9s, it disappears from view, and subsequent frames (5.29.8s) show a condensed, teardrop/ball-like shape. This transition from extended to condensed confirms a contraction. The condensed form is visible despite background debris, and the shape change meets the definition of contraction (even if partial/slow).</t>
  </si>
  <si>
    <t>yes/95/At approximately 5.2 seconds, the stentor transitions from an extended trumpet shape to a condensed, ball-like shape, which meets the definition of a contraction. The change is clear and significant in the subsampled frames.</t>
  </si>
  <si>
    <t>yes/100/The stentor changes from an extended, trumpet-like shape in the initial frames to a more condensed, rounded shape in later frames, indicating a contraction.</t>
  </si>
  <si>
    <t>yes/100/The stentor changes from an extended trumpet shape to a condensed, ball-like shape between 4.6-5.2 seconds, meeting the contraction definition.</t>
  </si>
  <si>
    <t>yes/90/The stentor changes from an extended trumpet shape to a more condensed, rounded shape (evident around 4.6-5.2 seconds), which qualifies as a contraction per the definition. The change is clear despite being partial.</t>
  </si>
  <si>
    <t>yes/95/The stentor starts in an extended, trumpet-like shape and then rapidly disappears from view (frames 4.4-4.6), indicating a contraction into a condensed, ball-like shape that is no longer visible in the field of view. This matches the definition of contraction.</t>
  </si>
  <si>
    <t>yes/90/The stentor transitions from an extended, trumpet-like shape to a significantly shortened, more condensed form across the frames, indicating a contraction. The change in length and shape is observable despite the subsampled frames, meeting the definition of contraction (even partial shortening counts).</t>
  </si>
  <si>
    <t>yes/85/The stentor changes from a visible shape (0.1-1.5s) to disappearing (1.5s), indicating a rapid contraction, and later reappears in a condensed teardrop shape (5.5s+), confirming a transition from extended to condensed form.</t>
  </si>
  <si>
    <t>yes/90/The right stentor transitions from an extended trumpet-like shape to a more condensed form, showing a partial shortening that qualifies as a contraction.</t>
  </si>
  <si>
    <t>yes/90/The stentor transitions from an extended trumpet shape to a condensed form (no longer visible as a distinct extended shape, indicating contraction) between the 4.1s and 4.6s frames, meeting the definition of contraction (even partial shortening counts).</t>
  </si>
  <si>
    <t>no/0/The stentor maintains an extended, trumpet-like shape throughout all frames with no observable change to a condensed, ball-like form.</t>
  </si>
  <si>
    <t>yes/100/The stentor transitions from an extended trumpet shape to being no longer visible (indicating a rapid contraction into a condensed, ball-like form) between 4.4s and 4.6s, which matches the definition of a contraction.</t>
  </si>
  <si>
    <t>32B_response</t>
  </si>
  <si>
    <t>yes/90/The stentor transitions from an extended, trumpet-like shape to a shorter, more condensed form over the video sequence, indicating a contraction behavior. The gradual shortening of the organisms body (from the elongated shape in early frames to a more compact shape in later frames) aligns with the definition of contraction, including partial shortening.</t>
  </si>
  <si>
    <t>yes/90/The stentor transitions from an extended trumpet shape to being no longer visible in the frame (by 6.4 seconds), which indicates a contraction to a condensed, ball-like shape (as stentors contract rapidly and may become small or out of view). This matches the definition of a contraction.</t>
  </si>
  <si>
    <t>no/0/No visible change from extended trumpet shape to condensed ball-like shape in any frame; stentor remains elongated throughout the video.</t>
  </si>
  <si>
    <t>yes/95/The stentor transitions from an extended trumpet shape to a more condensed, rounded form, which matches the definition of contraction. The change is clear across the frames, especially from the initial extended state to the final condensed shape.</t>
  </si>
  <si>
    <t>yes/95/At approximately 6.1 seconds, the stentor rapidly disappears from view, which corresponds to a contraction where it changes from an extended trumpet shape to a condensed, ball-like shape (no longer visible in the frame due to the condensed state). The transition from being clearly visible as extended to absent indicates a contraction event.</t>
  </si>
  <si>
    <t>yes/100/The stentor transitions from an extended trumpet shape to a condensed, shortened shape in the final frames, which qualifies as a contraction per the definition.</t>
  </si>
  <si>
    <t>no/0/The stentor remains in an extended, trumpet-like shape throughout all frames; there is no change to a condensed, ball-like form. The observed changes involve cilia movement at the top but not a contraction of the overall body shape.</t>
  </si>
  <si>
    <t>yes/90/The stentor transitions from an extended trumpet shape to a more condensed form, showing partial shortening over time, which meets the contraction definition.</t>
  </si>
  <si>
    <t>yes/90/In the video, the stentor starts in an extended trumpet shape and then rapidly changes to a condensed state (disappearing from view), which is consistent with the definition of contraction. The transition from extended to condensed occurs, indicating a contraction.</t>
  </si>
  <si>
    <t>no/0/The stentor maintains a consistently extended trumpet shape throughout all frames, with no observable change to a condensed, ball-like form.</t>
  </si>
  <si>
    <t>yes/100/stentor transitions from extended trumpet shape to being no longer visible (indicating contraction into a condensed state) between frames 0.6s and 0.9s, satisfying the contraction definition.</t>
  </si>
  <si>
    <t>yes/90/In the video, the stentor transitions from an extended trumpet shape to a condensed state (disappearing from view as it contracts into a ball-like shape) between approximately 6.0 and 7.2 seconds, meeting the definition of a contraction.</t>
  </si>
  <si>
    <t>yes/95/The stentor transitions from an extended trumpet shape to being no longer visible in the frame, indicating a contraction into a condensed, ball-like shape (as the object disappears from view, consistent with contraction behavior).</t>
  </si>
  <si>
    <t>no/0/The stentor maintains an extended trumpet-like shape throughout all frames, with no observable change to a condensed, ball-like form. There is no evidence of contraction as defined.</t>
  </si>
  <si>
    <t>yes/95/The stentor changes from an extended trumpet shape to a condensed state (disappearing from view as it contracts) around the 5.8-6.1 second mark, indicating a contraction. The subsequent frames show the absence of the extended stentor shape, consistent with a contraction behavior.</t>
  </si>
  <si>
    <t>yes/95/The stentor transitions from an extended trumpet shape to a significantly shortened and more condensed form (e.g., between 3.5s and 8.0s), indicating a contraction. The change in shape from elongated to shorter and rounded meets the definition of contraction, even if not fully ball-like.</t>
  </si>
  <si>
    <t>yes/95/In frame 4.9s, the stentor is in an extended trumpet shape; by 5.2s, it is no longer visible, indicating a rapid contraction to a condensed shape (as stentors contract defensively, often becoming too small/obscured to see in the frame). This matches the definition of contraction (shape change from extended to condensed).</t>
  </si>
  <si>
    <t>yes/95/The stentor changes from an extended trumpet-like shape to a condensed, ball-like shape (evident in frames 5-9 where the body shortens significantly), meeting the contraction definition.</t>
  </si>
  <si>
    <t>yes/95/The stentor transitions from an extended trumpet shape to a condensed, oval shape (evident between ~5.56.1 seconds), which qualifies as a contraction per the definition (any change from extended to condensed/ball-like, including partial shortening).</t>
  </si>
  <si>
    <t>yes/90/The stentors transition from an extended trumpet shape to disappearing from view (consistent with contracting into a condensed, ball-like shape), indicating a contraction.</t>
  </si>
  <si>
    <t>yes/95/In the video, the stentor on the right transitions from an extended, trumpet-like shape (e.g., 0.1-1.2 seconds) to a condensed, ball-like shape (e.g., 1.5-2.1 seconds), which matches the definition of contraction. The change is clear and meets the criteria.</t>
  </si>
  <si>
    <t>yes/95/The stentor transitions from an extended trumpet shape to being no longer visible in the frame (6.1s-6.4s), indicating a rapid contraction into a condensed form, consistent with the definition of contraction.</t>
  </si>
  <si>
    <t>yes/90/The stentor shows a clear shortening from its extended trumpet shape to a more condensed form between 4.0-5.0 seconds, which qualifies as a contraction under the given definition.</t>
  </si>
  <si>
    <t>yes/90/The stentor transitions from an extended trumpet shape to being no longer visible in the extended form (disappearing from view), indicating a contraction where it changes to a condensed state. The loss of the extended structure in later frames aligns with the definition of contraction.</t>
  </si>
  <si>
    <t>yes/90/The stentor transitions from an extended trumpet shape to a condensed, oval shape (evident around 7.5 seconds), meeting the definition of contraction.</t>
  </si>
  <si>
    <t>no/0/No visible change from an extended trumpet shape to a condensed, ball-like shape occurs in any frame; the stentor remains elongated throughout the video.</t>
  </si>
  <si>
    <t>yes/95/The stentor transitions from an extended trumpet shape to being no longer visible in that form (frames 6.6+), indicating a contraction to a condensed state.</t>
  </si>
  <si>
    <t>yes/90/The stentor transitions from an extended trumpet shape (e.g., visible in frames 3.5-5.5) to a condensed, ball-like shape (e.g., visible in frames 8.9-9.8), which matches the definition of a contraction.</t>
  </si>
  <si>
    <t>yes/95/The stentor transitions from an extended trumpet shape to a condensed state (disappearing from view, indicating contraction) between 4.9 and 5.5 seconds.</t>
  </si>
  <si>
    <t>no/0/The stentor remains in an extended trumpet-like shape throughout the video; there is no observable change to a condensed, ball-like shape.</t>
  </si>
  <si>
    <t>yes/90/ The stentor is visible as an extended trumpet shape in multiple frames (e.g., 0.1-2.1s, 3.2-4.4s, 6.6-9.8s), then disappears (2.4-2.6s, 4.6-4.9s), which is consistent with a contraction to a condensed, ball-like shape that is no longer visible in the trumpet form. It reappears in the extended shape later, confirming a contraction occurred.</t>
  </si>
  <si>
    <t>no/20/No visible change from extended trumpet shape to condensed ball-like shape; stentors move out of frame but maintain extended shape without contraction.</t>
  </si>
  <si>
    <t>no/0/No visible change from extended trumpet shape to condensed ball-like shape; the stentor maintains its elongated form throughout the video frames.</t>
  </si>
  <si>
    <t>no/20/The stentor remains in an extended trumpet-like shape throughout all visible frames (0.1s7.8s). There is no observable transition to a condensed, ball-like shape, even as it exits the frame at 8.1s. The shape change required for contraction is not evident in the provided video.</t>
  </si>
  <si>
    <t>yes/95/The stentor transitions from an extended trumpet shape to a more condensed, rounded form over the video sequence, indicating a contraction behavior. The change is gradual but clear, meeting the definition of a contraction (from extended to ball-like shape).</t>
  </si>
  <si>
    <t>yes/85/The stentor transitions from an extended trumpet shape to a more condensed form, particularly noticeable in the later frames (e.g., 9.59.8 seconds), indicating a contraction.</t>
  </si>
  <si>
    <t>no/0/The stentor maintains its extended trumpet-like shape throughout all frames; there is no observable change to a condensed, ball-like shape.</t>
  </si>
  <si>
    <t>no/20/The stentor maintains an extended, trumpet-like shape throughout the video without transitioning to a condensed, ball-like form. While there are minor positional shifts and internal movements, no significant shortening or contraction meeting the definition occurs.</t>
  </si>
  <si>
    <t>yes/95/The stentor transitions from an extended trumpet shape to a condensed, ball-like shape between approximately 5-7 seconds, which matches the definition of a contraction. The change is clear and meets the criteria (including slow/partial shortening).</t>
  </si>
  <si>
    <t>no/0/The stentor remains in an extended, trumpet-like shape throughout all frames; there is no visible change to a condensed, ball-like shape.</t>
  </si>
  <si>
    <t>no/10/No visible change from extended trumpet shape to condensed ball-like shape; stentor maintains consistent form throughout frames.</t>
  </si>
  <si>
    <t>yes/90/The stentor transitions from an extended trumpet shape to a more condensed form, showing progressive shortening over the frames, which satisfies the contraction definition.</t>
  </si>
  <si>
    <t>yes/90/The stentor transitions from an extended trumpet shape to a condensed form, with visible shortening and shape change consistent with contraction.</t>
  </si>
  <si>
    <t>yes/80/The stentor shows a gradual shortening of its extended trumpet shape over time, indicating a contraction behavior as defined (from extended to condensed form). The change is visible across multiple frames, though not a full ball-like shape, but partial shortening still counts.</t>
  </si>
  <si>
    <t>yes/95/The stentor transitions from an extended trumpet shape to a more condensed, elongated form (less trumpet-like) between approximately 6.6 and 7.2 seconds, indicating a contraction behavior as defined. The change in shape from extended to condensed qualifies, even if not fully ball-like, as partial shortening counts.</t>
  </si>
  <si>
    <t>no/0/No visible change from an extended trumpet shape to a condensed ball-like shape; the stentor maintains a consistent elongated form throughout the video frames.</t>
  </si>
  <si>
    <t>yes/95/The stentor on the left side of the video gradually shortens from an extended trumpet shape to a more condensed form before disappearing from the frame, indicating a contraction. The partial shortening observed (as per the definition) confirms the behavior.</t>
  </si>
  <si>
    <t>no/0/No visible change from extended trumpet shape to condensed ball-like shape in any frame; the stentor maintains a consistent elongated form throughout the video.</t>
  </si>
  <si>
    <t>no/0/The stentor remains in an extended trumpet shape throughout all frames, with no visible change to a condensed, ball-like shape. No contraction behavior is observed.</t>
  </si>
  <si>
    <t>no/0/The stentor remains in an extended trumpet-like shape throughout the video; there is no visible change to a condensed, ball-like form.</t>
  </si>
  <si>
    <t>yes/95/The stentor starts as an extended trumpet shape, then transitions to a condensed, ball-like shape in later frames (evident from the change in morphology after ~6.9 seconds, where the extended form disappears and a more rounded structure is visible). This matches the definition of contraction.</t>
  </si>
  <si>
    <t>yes/100/The stentor transitions from an extended trumpet shape to a condensed state and disappears from view, indicating a contraction.</t>
  </si>
  <si>
    <t>yes/100/The stentor transitions from an extended trumpet shape to a more condensed, shortened form, meeting the definition of a contraction.</t>
  </si>
  <si>
    <t>yes/100/The stentor changes from an extended trumpet shape to a shorter, more condensed form, demonstrating a contraction as defined.</t>
  </si>
  <si>
    <t>no/0/The stentor maintains an extended trumpet shape throughout all frames; there is no observable change to a condensed or ball-like form, even partially.</t>
  </si>
  <si>
    <t>yes/100/The stentor transitions from an extended trumpet shape to a condensed, ball-like shape (evident in frames 0.6s-1.2s), which matches the contraction definition.</t>
  </si>
  <si>
    <t>no/0/No visible change from extended trumpet shape to condensed ball-like shape; the stentor maintains a consistent elongated form throughout the video frames.</t>
  </si>
  <si>
    <t>no/0/The stentor maintains an extended trumpet-like shape throughout the video frames without transitioning to a condensed, ball-like form. No visible shortening or shape change meeting the contraction definition occurs.</t>
  </si>
  <si>
    <t>no/0/No visible change in the stentor's shape from an extended to a condensed form occurs across all frames; the structure remains static without any contraction behavior.</t>
  </si>
  <si>
    <t>no/0/No visible change from an extended trumpet shape to a condensed ball-like shape occurs in any frame; the stentor (if present) remains in a consistent elongated form throughout the video.</t>
  </si>
  <si>
    <t>yes/90/The stentor transitions from an extended trumpet-like shape to a more condensed form, showing a clear shortening of its body over the video frames, which meets the definition of contraction.</t>
  </si>
  <si>
    <t>no/0/The stentor remains in an extended, elongated shape throughout the video frames; there is no visible change to a condensed, ball-like shape.</t>
  </si>
  <si>
    <t>no/0/The stentor remains in an extended, trumpet-like shape throughout the video without transitioning to a condensed, ball-like form. No significant shortening or contraction behavior is observed.</t>
  </si>
  <si>
    <t>no/0/No visible change in the stentor's shape from an extended trumpet form to a condensed ball-like form across all frames; the organism maintains a consistent elongated structure throughout the video.</t>
  </si>
  <si>
    <t>yes/100/The stentor transitions from an extended, trumpet-like shape to a condensed, ball-like shape, which matches the definition of contraction. The shape change is evident across the frames, confirming contraction.</t>
  </si>
  <si>
    <t>no/0/No change in the stentor's shape from an extended trumpet-like form to a condensed ball-like shape is observed across all frames; the stentor maintains a consistent elongated shape throughout the video.</t>
  </si>
  <si>
    <t>yes/95/The stentor transitions from an extended, trumpet-like shape to a condensed, ball-like shape over the video frames, meeting the definition of a contraction.</t>
  </si>
  <si>
    <t>yes/95/The stentor transitions from an extended trumpet shape to a condensed, ball-like shape over the course of the video (evident from ~6 seconds onward as the organism shortens and rounds). This matches the definition of contraction.</t>
  </si>
  <si>
    <t>yes/90/The stentor on the right changes from an extended, trumpet-like shape to a more condensed, oval shape over the video frames, indicating a contraction.</t>
  </si>
  <si>
    <t>no/0/The stentor maintains an elongated shape throughout the video without changing to a condensed, ball-like form; there is no evidence of the defined contraction behavior.</t>
  </si>
  <si>
    <t>yes/90/The stentor transitions from an extended, trumpet-like shape to a more condensed, ball-like form during the video, which matches the definition of contraction. The change is visible across multiple frames, indicating a clear shortening and condensation.</t>
  </si>
  <si>
    <t>yes/95/The stentor shows a progressive shortening of its body over time, transitioning from an extended shape to a more condensed form, which meets the definition of contraction (including slow and partial shortening).</t>
  </si>
  <si>
    <t>no/0/The stentor maintains an extended shape throughout the video frames; there is no observable change to a condensed, ball-like shape.</t>
  </si>
  <si>
    <t>no/0/No visible change from an extended trumpet shape to a condensed ball-like shape occurs in the video; the stentor's shape remains consistent without exhibiting contraction behavior.</t>
  </si>
  <si>
    <t>no/0/The stentor maintains an extended, trumpet-like shape throughout all frames; there is no observable change to a condensed, ball-like shape.</t>
  </si>
  <si>
    <t>no/20/The stentor (left organism) maintains an extended, trumpet-like shape throughout all frames without transitioning to a condensed, ball-like form. While there is slight movement, no observable contraction (shortening to a condensed shape) occurs. The right organism appears to be a different ciliate (e.g., paramecium) and is not a stentor.</t>
  </si>
  <si>
    <t>no/0/No change from extended trumpet to condensed ball-like shape observed in any frame. The stentor remains in an elongated form throughout the video, with no evidence of shortening into a ball-like shape.</t>
  </si>
  <si>
    <t>no/0/The stentor maintains a consistent elongated shape throughout all frames, showing no change from an extended form to a condensed, ball-like shape. There is no visible shortening or contraction behavior as defined.</t>
  </si>
  <si>
    <t>no/0/The stentor maintains an extended, trumpet-like shape throughout all frames; there is no visible change to a condensed, ball-like shape.</t>
  </si>
  <si>
    <t>yes/85/The stentor shows a clear reduction in length and a shift from an extended trumpet shape to a more compact form between the early and middle frames, indicating a contraction. The change is gradual but meets the definition of contraction (partial shortening counts).</t>
  </si>
  <si>
    <t>yes/95/The stentor shows a clear transition from a more elongated, trumpet-like shape to a condensed, ball-like shape over the video frames, indicating contraction.</t>
  </si>
  <si>
    <t>Q3-VL 32B via API</t>
    <phoneticPr fontId="1" type="noConversion"/>
  </si>
  <si>
    <t>32B API</t>
    <phoneticPr fontId="1" type="noConversion"/>
  </si>
  <si>
    <t>ollama32B_judge</t>
  </si>
  <si>
    <t>32B_ollama_p</t>
  </si>
  <si>
    <t>32B_ollama_p</t>
    <phoneticPr fontId="1" type="noConversion"/>
  </si>
  <si>
    <t>yes/85/At 4.4-5.2 seconds, the stentor rapidly changes from an extended trumpet shape to a condensed state (no longer visible in extended form), indicating a contraction. The body length shortens measurably, and the shape transitions from extended to condensed, meeting the definition of contraction.</t>
  </si>
  <si>
    <t>yes/95/The stentor on the left shows a clear shortening of its body length from an extended trumpet shape in early frames (e.g., 0.1 s) to a more condensed shape in later frames (e.g., 9.8 s), indicating a partial contraction as defined.</t>
  </si>
  <si>
    <t>yes/85/The stentor is visible in an extended trumpet shape up to approximately 4.6 seconds. By 4.9 seconds, it is no longer visible in the field of view, indicating a rapid transition from extended to a condensed state (as the organism would not move out of view without contracting, given the context of stentor behavior). This rapid change aligns with the definition of a contraction, even if the condensed shape is not directly observed in the subsampled frames due to the speed of the behavior.</t>
  </si>
  <si>
    <t>yes/100/At 5.2 seconds, the stentor abruptly disappears from view, indicating a rapid contraction from its extended trumpet shape to a condensed state (as it is no longer visible in subsequent frames, consistent with a quick contraction behavior). Therefore, contraction occurs.</t>
  </si>
  <si>
    <t>no/0/The stentor maintains a consistent elongated trumpet-like shape throughout all frames, with no observable shortening of body length or transition to a condensed, ball-like form. Therefore, no contraction occurs.</t>
  </si>
  <si>
    <t>no/10/The stentor maintains an extended, trumpet-like shape throughout all frames, with no observable shortening of body length or transition to a condensed, ball-like form. Therefore, no contraction occurs.</t>
  </si>
  <si>
    <t>yes/95/The stentor is visible in the initial frames (0.1-0.6 s) in an extended trumpet shape, then disappears by 0.9 s. This sudden loss of the extended form indicates a rapid contraction (as stentors contract quickly, often in one frame), consistent with the definition of changing from extended to condensed. The absence of the stentor in subsequent frames supports that a contraction occurred.</t>
  </si>
  <si>
    <t>yes/95/The stentor is initially in an extended trumpet shape. Between 4.4 s and 4.6 s, the stentor rapidly disappears from view, indicating a contraction (as it changes from an extended shape to a condensed state that is no longer visible in subsequent frames). This rapid change aligns with the definition of contraction, even if the fully condensed state is not explicitly shown due to the speed of the behavior.</t>
  </si>
  <si>
    <t>yes/95/At approximately 3.8-4.4 seconds, the stentor transitions from an extended trumpet shape to a condensed, ball-like form, with a noticeable reduction in body length and change in morphology, meeting the criteria for a contraction.</t>
  </si>
  <si>
    <t>yes/100/At approximately 4.4-4.6 seconds, the stentor transitions from an extended trumpet shape to a condensed, oval-like shape, indicating a clear shortening of body length and change to a non-trumpet form. This satisfies the definition of a contraction.</t>
  </si>
  <si>
    <t>yes/95/At 4.4 seconds, the stentor is in an extended trumpet shape; by 4.6 seconds, it has rapidly changed to a condensed, oval shape (no longer trumpet-like), indicating a clear contraction. The transition occurs within subsampled frames, meeting the definition of a contraction (change from extended to condensed shape).</t>
  </si>
  <si>
    <t>no/30/The stentor remains in an extended trumpet shape throughout all frames where it is visible (0.1s to 4.6s). It then disappears from the field of view at 4.9s without showing any measurable shortening or transition to a condensed ball-like shape in the subsampled frames. The absence of visible shape change (e.g., no shortening of body length or spherical form) indicates no contraction occurred. The 30% score reflects uncertainty about whether rapid movement out of frame versus contraction caused the disappearance, but no visual evidence of shape change supports a contraction.</t>
  </si>
  <si>
    <t>yes/95/At approximately 5.5-6.1 seconds, the stentor transitions from a clearly visible extended trumpet shape to being no longer visible in the subsequent frames, indicating a rapid contraction into a condensed state (likely ball-like or significantly shortened, as it is no longer observable in the field of view). This matches the definition of a contraction.</t>
  </si>
  <si>
    <t>yes/95/At 4.1 seconds, the stentor (trumpet-shaped organism) is no longer visible, indicating a rapid contraction from its extended shape to a condensed form. The abrupt disappearance of the extended stentor between frames confirms a contraction event.</t>
  </si>
  <si>
    <t>no/0/The video shows a cluster of small particles (debris) and a metal object, but no clear stentor is visible. There is no evidence of a shape change from an extended trumpet-like form to a condensed ball-like shape, as the primary visual elements do not exhibit the required morphological transition. Therefore, no contraction occurs.</t>
  </si>
  <si>
    <t>yes/95/At 5.2 s, the stentor disappears from the extended trumpet shape and is no longer visible in the field, indicating a rapid contraction to a condensed state. This matches the definition of a contraction as a change from extended to condensed shape, even if the condensed form is not fully visible in subsequent frames.</t>
  </si>
  <si>
    <t>yes/95/At 4.1 s, the stentor begins to contract, and by 4.4 s, it is no longer visible in its extended form, indicating a rapid change to a condensed state. Contraction occurs.</t>
  </si>
  <si>
    <t>yes/98/At 4.4 s, the stentor is in an extended trumpet shape; by 4.6 s, it has contracted into a condensed, oval-shaped form with a noticeable shortening of body length. This change from an extended to a condensed shape meets the contraction definition.</t>
  </si>
  <si>
    <t>no/100/The stentor remains in a condensed, ball-like shape throughout the video (0.1s to 3.8s) and then transitions to a more elongated, extended shape (4.1s onward). Since the video shows the stentor extending (from condensed to extended) rather than contracting (from extended to condensed), no contraction occurs. The behavior observed is the opposite of a contraction as defined.</t>
  </si>
  <si>
    <t>yes/90/At 4.6 seconds, the stentor begins a clear shortening of its body length, transitioning from an extended trumpet shape to a more condensed form by 7.5 seconds. The distance between the "head" and "tail" decreases noticeably, satisfying the definition of a contraction even if not fully spherical. This change occurs over multiple frames, confirming a contraction.</t>
  </si>
  <si>
    <t>yes/95/At approximately 3.2-3.5 seconds, the stentor transitions from an extended trumpet shape to a significantly shortened and condensed form, with a clear measurable decrease in body length (distance between head and tail) without fully becoming spherical. This partial shortening meets the definition of a contraction as per the task guidelines.</t>
  </si>
  <si>
    <t>yes/87/The stentor's body length shortens noticeably from 0.1 s to 5.2 s (e.g., the distance between the head and tail decreases), indicating a partial contraction. By 5.5 s, the stentor is no longer visible, consistent with a contraction event.</t>
  </si>
  <si>
    <t>no/0/The stentor remains in a consistent rounded shape throughout all frames without any observable change from an extended trumpet-like form to a condensed ball-like shape or measurable shortening of body length. No contraction behavior is evident.</t>
  </si>
  <si>
    <t>no/15/The stentor maintains a consistent trumpet-like shape throughout all frames, with no measurable shortening of body length or transition to a condensed, ball-like form. The slight variations in appearance are likely due to movement of surrounding particles or focus changes, not contraction behavior.</t>
  </si>
  <si>
    <t>yes/95/The stentor is extended (trumpet-shaped) in frames up to 4.6 seconds, then disappears from view in subsequent frames (4.9s+). This abrupt absence, combined with the known rapid contraction behavior of stentors, indicates a contraction from the extended shape to a condensed state (which may not be visible due to speed or movement out of frame). The change in shape from extended to condensed qualifies as a contraction.</t>
  </si>
  <si>
    <t>yes/95/The stentor is extended (trumpet-shaped) until approximately 4.4 s, after which it is no longer visible in subsequent frames. This abrupt disappearance indicates a rapid contraction to a condensed shape, as stentors typically contract in response to stimuli (e.g., the nearby pipette), which would cause it to change from an extended to a ball-like form and possibly move out of the field of view. Therefore, contraction occurs.</t>
  </si>
  <si>
    <t>yes/95/The stentor is visible as an extended trumpet shape up to 3.5 seconds, then disappears in subsequent frames (3.8 s and later), indicating a rapid contraction that likely occurred between 3.5 and 3.8 seconds. This fits the definition of a contraction as a change from extended to condensed shape.</t>
  </si>
  <si>
    <t>yes/87/At 4.1 s, the stentor begins to shorten from its extended trumpet shape, and by 4.4 s-4.6 s, it becomes a condensed, blurred form with significantly reduced body length. This measurable shortening (even if not fully spherical) meets the definition of a contraction.</t>
  </si>
  <si>
    <t>yes/95/At approximately 6.0-6.4 seconds, the stentor transitions from an extended trumpet shape to a condensed, nearly spherical form, with a clear and measurable shortening of body length. This change meets the definition of a contraction (from extended to condensed shape), even if not fully ball-like. The transformation is distinct and observable across subsampled frames.</t>
  </si>
  <si>
    <t>yes/90/At 0.1 s, the stentor is extended with a long tail; by 0.4 s, the body length shortens noticeably (distance between head and tail decreases) while not becoming fully spherical, indicating a partial contraction. This shortening continues in subsequent frames, confirming a contraction.</t>
  </si>
  <si>
    <t>no/10/In all provided frames, the stentor maintains an extended, trumpet-like shape without any noticeable shortening of body length or transition to a condensed, ball-like form. The organisms overall morphology remains consistent across the subsampled frames, indicating no contraction occurred.</t>
  </si>
  <si>
    <t>yes/95/The stentor is clearly in an extended trumpet shape at 4.4 s, then rapidly changes to a condensed, ball-like shape by 4.6 s and remains in this state through the end of the video. This represents a clear transition from extended to condensed, meeting the definition of a contraction.</t>
  </si>
  <si>
    <t>yes/90/At approximately 4.6 seconds, the stentor transitions from a visible extended trumpet shape to being absent from the frame, indicating a rapid contraction into a condensed (ball-like) state. This change aligns with the definition of contraction, as the organism shifts from an extended form to a condensed form (even if the condensed state is not directly visible in subsequent frames, the disappearance of the extended shape implies contraction). The transition occurs quickly, consistent with the behavior of a stentor contracting.</t>
  </si>
  <si>
    <t>yes/95/At approximately 4.9 seconds, the stentor transitions from an extended trumpet shape to a condensed, ball-like shape (evident as a dark spherical form from 5.2 seconds onward), meeting the definition of a contraction.</t>
  </si>
  <si>
    <t>yes/95/At 4.1 s, the stentor is no longer visible, indicating a contraction from its extended shape to a condensed state (ball-like) that is not detectable in the frame. This is a typical response to disturbance, confirming contraction.</t>
  </si>
  <si>
    <t>yes/90/The stentor is initially in an extended trumpet shape (0.1 s) and becomes undetectable by 4.4 s, indicating a rapid change from extended to condensed (ball-like) state, consistent with a contraction.</t>
  </si>
  <si>
    <t>yes/90/At approximately 4.6 seconds, the stentor transitions from an extended trumpet-like shape to a condensed form, as evidenced by the loss of its elongated structure and visible shortening. This change meets the definition of a contraction, even if not fully spherical. The subsequent frames confirm the altered, more compact shape, indicating contraction occurred.</t>
  </si>
  <si>
    <t>yes/95/At 4.4 s, the stentor is fully extended in a trumpet shape; by 4.6 s, it is no longer visible, indicating a rapid transition to a condensed state (as the organism would contract into a ball-like or highly reduced form, which is consistent with contraction behavior even if the condensed shape is not visible in the next frame due to speed). Therefore, contraction occurs.</t>
  </si>
  <si>
    <t>yes/92/The stentor transitions from an extended trumpet-like shape (e.g., at 0.1 s) to a more condensed, shorter oval shape (e.g., at 9.8 s), showing a measurable decrease in body length between the "head" and "tail" regions. This shortening qualifies as a contraction per the definition, which includes partial shortening even if not fully ball-like. The change is consistent across multiple frames, indicating a clear contraction event.</t>
  </si>
  <si>
    <t>yes/95/The stentor transitions from an extended trumpet shape (0.1 s) to a condensed, less defined shape (2.6 s3.5 s), with a noticeable shortening of body length, meeting the definition of a contraction. It then re-extends, confirming the contraction event.</t>
  </si>
  <si>
    <t>yes/95/The stentor transitions from an extended trumpet shape (visible in frames up to ~4.4 seconds) to a condensed, ball-like shape (evident from ~4.6 seconds onward), with a clear shortening of its body length and loss of the extended form. This change meets the definition of a contraction.</t>
  </si>
  <si>
    <t>yes/95/The stentor starts in an extended trumpet shape and progressively shortens over the frames, disappearing from view by 5.2 s, indicating a clear transition to a condensed state (consistent with contraction as defined). Therefore, contraction occurs.</t>
  </si>
  <si>
    <t>no/15/The stentor maintains a relatively consistent elongated shape throughout all frames, with no observable shortening of body length or transition to a condensed, ball-like form. The changes in the surrounding particles and background do not affect the stentor's shape, and no contraction behavior (as defined) is evident.</t>
  </si>
  <si>
    <t>yes/95/At 0.1 s, the stentor is in an extended trumpet shape. By 9.8 s, it has shortened significantly, with the distance between the "head" and "tail" markedly reduced and the body becoming more rounded (though not fully spherical). This clear shortening of body length from an extended to a condensed state meets the definition of a contraction.</t>
  </si>
  <si>
    <t>yes/90/At 4.4-5.0 seconds, the stentor transitions from an extended trumpet shape to a condensed, rounded form. The body shortens significantly, with the trumpet-like structure disappearing and the organism becoming more spherical, meeting the definition of a contraction. This change is visible across multiple frames, confirming the behavior.</t>
  </si>
  <si>
    <t>yes/90/At approximately 3.5-4.1 seconds, the stentor transitions from an extended trumpet shape to a condensed form, showing a clear shortening of body length (reduced distance between head and tail) without fully becoming spherical. This partial contraction meets the definition of a contraction.</t>
  </si>
  <si>
    <t>yes/95/At approximately 4.1-4.4 seconds, the stentor transitions from an extended trumpet shape to a significantly shortened, condensed form. The distance between the "head" and "tail" decreases noticeably, indicating a clear contraction even if not fully spherical. This change is evident across consecutive frames, meeting the definition of contraction.</t>
  </si>
  <si>
    <t>yes/90/At 3.5 seconds, the stentor is visible in an extended trumpet shape, but by 3.8 seconds, it is no longer visible as an extended form and instead appears to have rapidly contracted (or disappeared from view due to the quick contraction), consistent with a change from extended to condensed shape. This rapid transition between frames indicates a contraction event.</t>
  </si>
  <si>
    <t>yes/80/At 4.1 s, the stentor is visible in an extended trumpet-like shape, but by 4.4 s it is no longer visible, indicating a rapid contraction to a condensed shape that is not captured in the subsequent frames.</t>
  </si>
  <si>
    <t>no/15/The stentor maintains a consistently extended trumpet-like shape throughout all frames, with no observable shortening of body length or transition to a condensed/ball-like form. Minor movements of cilia and internal structures do not constitute a contraction as defined.</t>
  </si>
  <si>
    <t>yes/95/At approximately 5.2 seconds, the stentor transitions from an extended trumpet - like shape to a condensed, non - trumpet form, indicating a clear change in body length and shape consistent with contraction. Therefore, contraction occurs.</t>
  </si>
  <si>
    <t>yes/87/At approximately 2.6-3.2 seconds, the stentor's body length decreases noticeably from its extended trumpet shape to a more condensed form, indicating a contraction. This shortening is measurable and meets the criteria for a contraction even if not fully spherical.</t>
  </si>
  <si>
    <t>yes/95/The stentor is visible in an extended trumpet shape until approximately 4.4 seconds, after which it disappears from the frame at 4.6 seconds. This abrupt disappearance indicates a rapid contraction (occurring within one subsampled frame), consistent with the definition of a contraction where the stentor changes from an extended to a condensed shape. The absence of the stentor in subsequent frames confirms the contraction occurred.</t>
  </si>
  <si>
    <t>yes/95/The stentor is visible in an extended trumpet shape until approximately 5.2 seconds, after which it disappears from view, indicating a rapid contraction into a condensed form. This abrupt change from an extended to a non-visible (implying condensed) state meets the definition of a contraction.</t>
  </si>
  <si>
    <t>yes/95/The stentor transitions from an extended trumpet shape (visible in frames up to ~4.6 s) to being no longer visible (from ~4.9 s onward), indicating a rapid contraction where it condensed into a form not captured in the subsampled frames. This abrupt change in shape (from extended to condensed) aligns with the definition of contraction, as rapid contractions often occur within a single frame and may not show the full ball-like shape due to speed.</t>
  </si>
  <si>
    <t>yes/90/At approximately 3.8 seconds, the stentor transitions from an extended trumpet-like shape to a condensed, oval form with a noticeably shorter body length. This measurable shortening of the distance between the head and tail, even without a fully spherical shape, meets the definition of a contraction.</t>
  </si>
  <si>
    <t>yes/95/At approximately 4.14.4 seconds, the stentor transitions from an extended trumpet shape to being no longer visible as a distinct, extended form, indicating a rapid contraction where the body shortens significantly (consistent with the definition of contraction as a change from extended to condensed shape, even if not fully spherical). The stentors absence in subsequent frames after this transition confirms the contraction occurred.</t>
  </si>
  <si>
    <t>yes/95/At 4.4 s, the stentor is visible in an extended trumpet shape; by 4.6 s, it has rapidly contracted and is no longer visible, indicating a clear change from extended to condensed state. Therefore, contraction occurs.</t>
  </si>
  <si>
    <t>yes/90/At 0.1 seconds, the stentor is in an extended trumpet shape; by 0.4 seconds, it has visibly shortened into a more condensed, rounded form, indicating a contraction. The change in body length from head to tail is noticeable, meeting the definition of a contraction.</t>
  </si>
  <si>
    <t>yes/90/At approximately 4.1 seconds, the stentor transitions from an extended trumpet-like shape to a more condensed, shorter form, which constitutes a contraction as per the definition (a measurable shortening of body length without requiring a fully spherical shape). This change is evident across consecutive frames, confirming the contraction event.</t>
  </si>
  <si>
    <t>yes/95/The stentor is visible in an extended trumpet shape in earlier frames (e.g., 0.14.6 s), then disappears by 5.2 s, indicating a rapid contraction from an extended to a condensed state. The absence in subsequent frames confirms the organism contracted, as it no longer maintains the extended shape. This aligns with the definition of contraction (any change from extended to condensed, even if the condensed shape is not fully visible due to speed).</t>
  </si>
  <si>
    <t>yes/95/At 4.4 s, the stentor is visible in an extended trumpet shape, but by 4.6 s it is no longer visible, indicating a rapid contraction. The transition from a clearly extended form to absence (consistent with a condensed state) occurs within subsampled frames, satisfying the definition of contraction (even if the full ball-like shape is not captured due to rapidity). The stentor's body length decreases measurably prior to disappearance, confirming contraction.</t>
  </si>
  <si>
    <t>yes/95/Between 4.6 s and 5.2 s, the stentor transitions from an extended trumpet shape to a condensed, oval-shaped form, showing a clear and measurable shortening of body length (distance between head and tail decreases noticeably). This partial contraction meets the definition of a contraction.</t>
  </si>
  <si>
    <t>yes/90/The stentor's body length (from the trumpet-shaped head to the tail) decreases noticeably over time (e.g., from 0.1 s to 5.5 s), indicating a contraction. Even though it may not reach a fully ball-like shape, the measurable shortening of the body qualifies as a contraction under the given definition.</t>
  </si>
  <si>
    <t>yes/95/At 4.9 seconds, the stentor is in an extended trumpet-like shape; by 5.2 seconds, it is no longer visible in the field of view, indicating a rapid contraction (a common quick behavior where the stentor condenses into a ball-like shape too fast to capture in subsampled frames). This transition from extended to condensed state meets the contraction definition.</t>
  </si>
  <si>
    <t>yes/90/At approximately 5.2 seconds, the stentor transitions from an extended trumpet shape to a condensed, circular form, indicating a clear shortening of body length and a shift toward a ball-like shape. This change meets the definition of contraction.</t>
  </si>
  <si>
    <t>yes/95/From 0.1s to 9.8s, the stentor transitions from an extended trumpet shape to a condensed, ball-like form. The body length shortens noticeably (e.g., at 0.1s it is elongated, while by 9.8s it is significantly rounded and compact). This measurable shortening qualifies as a contraction per the definition.</t>
  </si>
  <si>
    <t>yes/100/The stentor transitions from an extended trumpet shape to a condensed, ball-like shape between 4.6 and 5.2 seconds, clearly changing from its extended form to a condensed state as defined. Therefore, contraction occurs.</t>
  </si>
  <si>
    <t>yes/90/The stentor changes from an extended trumpet shape to a more condensed form between 4.6 and 5.2 seconds, showing a noticeable shortening of its body length (distance between "head" and "tail" decreases) without reaching a fully spherical shape, which still qualifies as a contraction per the definition.</t>
  </si>
  <si>
    <t>yes/85/The stentor is visible as an extended, trumpet-shaped organism in frames up to ~4.4 seconds. By 4.6 seconds, it is no longer visible in the field of view, indicating a rapid contraction (consistent with the definition of a contraction, which can occur in a single subsampled frame). The abrupt disappearance aligns with the stentor changing from an extended shape to a condensed state, even if the condensed form is not directly visible due to the speed of the behavior.</t>
  </si>
  <si>
    <t>yes/100/At 0.1 s, the stentor is in an extended trumpet shape. By 2.1 s, the stentors body length has noticeably decreased, indicating a contraction. This shortening is clear and measurable, meeting the criteria for a contraction.</t>
  </si>
  <si>
    <t>yes/95/At 1.2 s, the stentor is clearly extended in a trumpet shape; by 1.5 s, it is no longer visible, indicating a rapid contraction to a condensed state. Additionally, from 5.5 s to 9.8 s, the stentor appears in a condensed teardrop shape, confirming a contraction occurred.</t>
  </si>
  <si>
    <t>yes/90/At approximately 3.2-3.5 seconds, the right stentor shortens significantly from an extended trumpet shape to a more condensed form, with a noticeable decrease in the distance between its head and tail, meeting the definition of a contraction.</t>
  </si>
  <si>
    <t>yes/95/At 4.4 s, the stentor transitions from an extended trumpet shape to a condensed state (no longer visible as the extended form), indicating a contraction. The change is clear and measurable, with the organism shortening from its initial shape.</t>
  </si>
  <si>
    <t>no/0/The stentor maintains a consistent elongated, trumpet-like shape throughout all frames (0.1 to 9.8 seconds). There is no measurable shortening of body length, change to a condensed/ball-like form, or any other indication of contraction as defined. All observed changes in the background (e.g., small particles) are unrelated to the stentor's behavior.</t>
  </si>
  <si>
    <t>yes/95/At 4.4 seconds, the stentor transitions from an extended trumpet shape to being no longer visible, indicating a rapid contraction where the organism condensed into a ball-like shape (too fast for the subsampled frames to capture the intermediate ball state, but the disappearance confirms the contraction behavior).</t>
  </si>
  <si>
    <t>no/0/The stentor maintains an extended trumpet-like shape throughout all frames, with no observable shortening of body length or transition to a condensed, ball-like form. The movement appears to be related to ciliary motion or positioning rather than a contraction.</t>
  </si>
  <si>
    <t>yes/95/The stentor is visible in an extended trumpet shape in frames up to approximately 6.1 seconds. By 6.4 seconds, the stentor is no longer visible in the field of view, indicating a rapid contraction (as defined by the change from extended to condensed shape, even if the condensed state is not fully observed due to speed). This sudden disappearance aligns with the definition of a contraction, as stentors can contract quickly (often in one subsampled frame) and the transition from extended to absent in the frame confirms the behavior.</t>
  </si>
  <si>
    <t>no/10/The stentor maintains an extended trumpet-like shape throughout all frames, with no observable shortening of body length or transition to a condensed, ball-like form. The internal structures and overall morphology remain consistent without evidence of contraction.</t>
  </si>
  <si>
    <t>yes/95/At approximately 8.1-8.4 seconds, the stentor transitions from an extended trumpet shape to a condensed, ball-like shape with a noticeable decrease in body length between the head and tail. This change meets the definition of a contraction as it involves a clear shortening of the organisms body.</t>
  </si>
  <si>
    <t>yes/95/The stentor is clearly visible as an extended trumpet-shaped organism in frames up to 5.8 seconds, then vanishes completely in the next frame (6.1 seconds). This sudden disappearance indicates a rapid contraction (a common behavior where the stentor retracts into a condensed shape, often too fast to capture intermediate frames in subsampled video). Since the definition includes any change from extended to condensed (even if the condensed state is not visible due to subsampling), this qualifies as a contraction. The high score reflects the clear presence of the extended form followed by its complete absence, which is characteristic of a contraction event.</t>
  </si>
  <si>
    <t>yes/95/At 9.8 s, the stentor transitions from an extended trumpet shape to a condensed form, showing a clear shortening of its body length. This change meets the definition of contraction as a measurable shortening from the extended state.</t>
  </si>
  <si>
    <t>no/10/The stentor maintains an extended trumpet shape throughout all frames, with no observable shortening of body length or transition to a condensed/ball-like form. The cilia movement and minor positional shifts do not constitute a contraction as defined.</t>
  </si>
  <si>
    <t>yes/95/The stentor's body length decreases noticeably from an extended trumpet shape to a shorter form over the video frames (e.g., from 0.1 s to 9.8 s), with a clear measurable shortening of the distance between the "head" and "tail" without requiring a fully spherical shape. This meets the definition of a contraction.</t>
  </si>
  <si>
    <t>yes/90/The stentor is visible in an extended trumpet shape from 0.1s to 5.8s. By 6.1s, it is no longer visible, indicating a rapid change from extended to condensed (ball-like) shape, consistent with a contraction. The sudden disappearance aligns with typical stentor contraction behavior (quick, often one frame), so contraction occurs.</t>
  </si>
  <si>
    <t>no/10/The stentor maintains an extended trumpet shape throughout all frames, with no observable shortening of body length or transition to a condensed, ball-like form. Therefore, no contraction occurs.</t>
  </si>
  <si>
    <t>yes/95/The stentor is visible as an extended trumpet shape at 0.1s, then gradually shortens and disappears from view by 0.9s. The rapid loss of the extended shape (evident in the transition from 0.6s to 0.9s) indicates a contraction, as the organism shifts from its typical extended form to a condensed state (even if not fully spherical in the visible frames, the absence of the extended shape confirms the contraction occurred).</t>
  </si>
  <si>
    <t>yes/95/The stentor transitions from an extended trumpet shape (e.g., 0.1s) to a condensed form with visible shortening of body length (e.g., 5.8-7.2s) and eventually disappears from the frame, indicating a contraction to a ball-like shape.</t>
  </si>
  <si>
    <t>yes/95/The stentor, initially in an extended trumpet shape, disappears from view between 5.5 and 6.1 seconds, indicating a rapid contraction into a condensed form (likely ball-like or too small to resolve in the frame). This fits the definition of a contraction as a change from extended to condensed shape. The sudden absence of the stentor in subsequent frames confirms the contraction event.</t>
  </si>
  <si>
    <t>no/10/The stentor maintains an extended trumpet-like shape throughout all frames, with no observable shortening of body length or transition to a condensed, ball-like form. Therefore, contraction does not occur.</t>
  </si>
  <si>
    <t>yes/90/At approximately 5.8 seconds, the stentor transitions from an extended trumpet shape to being no longer visible in the frame, indicating a rapid contraction where it condensed into a form not captured in subsequent frames. This aligns with the definition of contraction as a change from extended to condensed shape.</t>
  </si>
  <si>
    <t>yes/90/From 7.2s to 9.8s, the stentor transitions from an extended trumpet shape to a more condensed, rounded form, indicating a measurable shortening of its body length. This change meets the criteria for contraction as defined.</t>
  </si>
  <si>
    <t>yes/90/At approximately 5.2 seconds, the stentor's extended trumpet shape is no longer visible, indicating a rapid change to a condensed state (likely a contraction) as it disappears from view. This aligns with the definition of contraction (change from extended to condensed shape), even if the condensed form is not fully visible due to the quick nature of the behavior.</t>
  </si>
  <si>
    <t>yes/90/At approximately 5.0-7.5 seconds, the stentor transitions from an extended trumpet shape to a significantly condensed, more spherical form, with a clear shortening of the body length. This change meets the definition of a contraction, as it involves a measurable reduction in the distance between the "head" and "tail" regions. The process is observable across multiple frames, confirming the contraction.</t>
  </si>
  <si>
    <t>yes/90/At approximately 5.8 seconds, the stentor transitions from an extended trumpet shape to a significantly shortened, condensed oval shape, with a clear and measurable decrease in body length (distance between head and tail) while remaining non-spherical. This partial shortening meets the definition of a contraction.</t>
  </si>
  <si>
    <t>yes/90/At 5.2 s, the stentor is clearly in an extended trumpet shape; by 5.5 s, it is no longer visible. This abrupt transition from an extended state to absence implies a rapid contraction (as stentors do not typically move out of view without a shape change). The absence of the stentor in subsequent frames, following its visible extended form, aligns with the definition of a contraction (a change from extended to condensed shape), even if the condensed state is not captured in a frame due to subsampling. Therefore, contraction occurs.</t>
  </si>
  <si>
    <t>yes/95/At 0.1 s, the stentor on the right is in an extended trumpet shape; by 1.5 s, it has changed to a condensed, ball-like shape, indicating a contraction. This change meets the definition of contraction (from extended trumpet to condensed shape), and the transition is clear across the subsampled frames.</t>
  </si>
  <si>
    <t>yes/95/The stentor is visible in an extended trumpet shape until approximately 6.1 seconds, after which it disappears from view in the subsequent frames. Given that contractions can be rapid (often occurring within one subsampled frame) and the organism's absence in later frames indicates a transition from an extended to a condensed state (as the condensed shape is not visible in the video due to the quick nature of the contraction), this constitutes a contraction event. The absence of the stentor after 6.1 seconds is consistent with a contraction where the organism retracts into a non-observable (ball-like or condensed) form.</t>
  </si>
  <si>
    <t>yes/90/At approximately 4.14.9 seconds, the stentor undergoes a clear shortening of its body length, transitioning from an extended trumpet shape to a more condensed form (evident by reduced distance between the "head" and "tail" regions). This measurable change in shape meets the definition of a contraction, even if not fully spherical.</t>
  </si>
  <si>
    <t>yes/95/At approximately 7.2 seconds, the stentor is fully extended in a trumpet shape; by 7.5 seconds, it is no longer visible, indicating a rapid transition to a condensed, ball - like shape. This change from extended to condensed meets the definition of a contraction.</t>
  </si>
  <si>
    <t>yes/95/At 7.5 s, the stentor transitions from an extended trumpet shape to a condensed, oval-like shape (evident by 7.8 s), which meets the definition of a contraction (change from extended to condensed form). The transformation is clear and observable across consecutive frames, indicating a contraction event.</t>
  </si>
  <si>
    <t>no/0/In all frames, the stentor maintains an extended trumpet-like shape with no measurable shortening of body length or transition to a condensed, ball-like form. The distance between the head and tail remains constant, and there is no evidence of the shape change required for a contraction.</t>
  </si>
  <si>
    <t>yes/95/At approximately 6.4-6.6 seconds, the stentor rapidly transitions from its extended trumpet shape to a condensed, ball-like form (evident by its disappearance from the extended morphology and the subsequent presence of a condensed shape in later frames). This rapid shortening and shape change meets the definition of a contraction, even though the full contraction is brief and occurs between frames. The clear shift in morphology confirms contraction.</t>
  </si>
  <si>
    <t>yes/90/The stentor transitions from an extended trumpet shape (e.g., at 7.2 s) to a more condensed, rounded shape (e.g., at 8.9 s), with a measurable shortening of body length between frames. This partial contraction aligns with the definition, as even incomplete shortening qualifies.</t>
  </si>
  <si>
    <t>yes/95/The stentor is visible in an extended trumpet shape until 5.2 seconds, then disappears by 5.5 seconds, indicating a rapid contraction (consistent with quick contractions that may take only one subsampled frame). The sudden absence of the extended shape confirms a contraction occurred.</t>
  </si>
  <si>
    <t>no/15/The stentor remains in an extended trumpet-like shape throughout all frames; there is no observable change to a condensed or ball-like form, and no measurable shortening of body length that would indicate a contraction. The organism's morphology is consistent across the subsampled frames.</t>
  </si>
  <si>
    <t>yes/85/The stentor was visible in an extended trumpet shape at 0.1s and 2.4s, then disappeared from view at 2.6s (no stentor visible) and reappeared in an extended shape at 3.2s. This disappearance and reappearance indicates a rapid contraction (to a condensed state) followed by re-extension, consistent with the definition of a contraction. The absence of the stentor in the intervening frames is typical of a quick contraction event.</t>
  </si>
  <si>
    <t>no/30/The stentor remains in an extended trumpet shape throughout all visible frames (0.1s to 5.8s). At 6.1s, the stentor is no longer in the frame, but there is no evidence of a shape change (e.g., shortening or condensation into a ball-like form) in any subsampled frame. The disappearance is likely due to movement out of the field of view rather than a contraction, as the shape remains extended in all observed frames.</t>
  </si>
  <si>
    <t>no/0/Throughout the video, the stentor maintains an extended trumpet-like shape with no observable change to a condensed or ball-like form, and no measurable shortening of body length. Therefore, no contraction occurs.</t>
  </si>
  <si>
    <t>no/0/The stentor remains in an extended trumpet-like shape throughout all visible frames (0.17.8 seconds). There is no measurable shortening of body length, no transition to a condensed or ball-like shape, and the organism does not exhibit any contraction behavior as defined. The stentor exits the frame at 7.8 seconds without showing contraction prior to disappearance.</t>
  </si>
  <si>
    <t>yes/95/The stentor transitions from an extended trumpet shape to a condensed form with a noticeably reduced body length (e.g., from 7.2 s to 9.8 s, the distance between the "head" and "tail" decreases significantly). This measurable shortening, even if not fully spherical, meets the contraction definition.</t>
  </si>
  <si>
    <t>yes/90/At 9.5 s, the stentor begins to shorten significantly from its extended trumpet shape, and by 9.8 s, it is markedly condensed with reduced body length, indicating a contraction (even if not fully spherical, the measurable shortening meets the definition).</t>
  </si>
  <si>
    <t>no/10/The stentor maintains a consistent extended trumpet shape throughout all frames, with no observable shortening of body length or transition to a condensed, ball-like form. Therefore, contraction does not occur.</t>
  </si>
  <si>
    <t>no/10/The stentor maintains an extended trumpet-like shape throughout the video, with no observable change to a condensed or ball-like form. The body length between the "head" and "tail" remains consistent, and there is no measurable shortening of the organism's body that would indicate a contraction. Therefore, no contraction occurs.</t>
  </si>
  <si>
    <t>yes/95/At approximately 5.5 seconds, the stentor transitions from an extended trumpet shape to a condensed, ball-like form, with the distance between head and tail decreasing significantly and the structure becoming more rounded. This change is clear across multiple frames (5.57.5 seconds) and matches the definition of a contraction, including the partial shortening and shape change criteria.</t>
  </si>
  <si>
    <t>no/15/The stentor maintains an extended, trumpet-like shape throughout all frames without any observable shortening of body length or transition to a condensed/ball-like form. No measurable change in morphology consistent with contraction is evident.</t>
  </si>
  <si>
    <t>no/0/The stentor maintains an extended trumpet-like shape throughout all frames; there is no observable shortening of body length or transition to a condensed, ball-like form in any frame.</t>
  </si>
  <si>
    <t>yes/100/The stentor transitions from an extended trumpet shape to a condensed form with a noticeable decrease in body length (distance between head and tail) across the video frames, which constitutes a contraction as defined (partial shortening is sufficient).</t>
  </si>
  <si>
    <t>yes/85/From 0.1s to 3.5s, the stentor is extended; by 3.8s-6.1s, it shows a clear shortening of body length (reduced distance between head and tail) and moves toward a condensed shape, meeting the partial contraction criteria.</t>
  </si>
  <si>
    <t>yes/95/The stentor transitions from an extended trumpet shape to a more condensed form, with a noticeable shortening of body length between the head and tail regions across multiple frames (e.g., from 0.1 s to 9.8 s). This measurable reduction in body length constitutes a partial contraction, meeting the defined criteria.</t>
  </si>
  <si>
    <t>yes/95/At approximately 6.67.2 seconds, the stentor transitions from an extended trumpet shape to a significantly shortened, condensed oval shape, indicating a clear shortening of body length (a partial contraction). This change meets the definition of contraction as the distance between the "head" and "tail" decreases noticeably.</t>
  </si>
  <si>
    <t>no/0/The stentor maintains a consistent extended trumpet-like shape across all frames; there is no observable shortening of body length, change to a ball-like shape, or any measurable contraction behavior in the provided video.</t>
  </si>
  <si>
    <t>no/15/The stentor remains in an extended trumpet shape throughout the visible frames; there is no observable change to a condensed or ball-like shape. The stentor appears to move out of the field of view (e.g., by 5.2 s it is no longer visible), but this movement does not constitute a contraction as defined (a shape change from extended to condensed). The lack of measurable shortening or spherical transformation in any frame leads to this conclusion.</t>
  </si>
  <si>
    <t>no/0/The stentor remains in an extended trumpet shape throughout all frames, with no observable change to a condensed or partially shortened form. Therefore, no contraction occurs.</t>
  </si>
  <si>
    <t>no/10/The stentor maintains a consistent extended trumpet-like shape across all frames (0.1s to 9.8s) with no measurable shortening of body length or transition to a condensed/ball-like form. No contraction behavior is observed.</t>
  </si>
  <si>
    <t>no/0/The stentor maintains an extended trumpet shape throughout all frames; there is no measurable shortening of body length, no transition to a condensed or ball-like shape, and no indication of the shape change required for contraction as defined.</t>
  </si>
  <si>
    <t>yes/100/At approximately 7.0 seconds, the stentor transitions from an extended trumpet shape to a condensed, rounded form, which is characteristic of a contraction. The shift from the long, trumpet-like structure to the spherical/condensed shape confirms the behavior.</t>
  </si>
  <si>
    <t>yes/95/From 5.2 to 6.1 seconds, the stentor transitions from an extended trumpet shape to a condensed form, disappearing from view as it contracts. This indicates a clear and rapid change from extended to condensed, meeting the definition of contraction.</t>
  </si>
  <si>
    <t>yes/90/The stentor transitions from an extended trumpet shape (0.1 s) to a condensed form with a clearly shorter body length (1.5 s and beyond), indicating a measurable shortening of the distance between its head and tail, which meets the definition of a contraction.</t>
  </si>
  <si>
    <t>no/0/Throughout all frames, the stentor maintains an extended trumpet shape with no measurable shortening of its body length or transition to a condensed, ball-like form. The organism's overall morphology remains consistent, indicating no contraction behavior.</t>
  </si>
  <si>
    <t>no/0/The stentor maintains a consistently extended trumpet-like shape throughout all frames, with no observable shortening of body length or transition to a condensed, ball-like form. The slight movements or positioning changes do not meet the definition of a contraction as defined.</t>
  </si>
  <si>
    <t>yes/95/At 0.1 s, the stentor is in an extended trumpet shape; by 0.6 s, it has changed to a condensed, ball-like shape with a noticeable decrease in body length. This transition meets the definition of contraction.</t>
  </si>
  <si>
    <t>no/0/The stentor maintains an extended trumpet-like shape throughout all frames; there is no observable change to a condensed or ball-like shape, nor any measurable shortening of the body length. Therefore, contraction does not occur.</t>
  </si>
  <si>
    <t>yes/90/The stentor (left organism) shows a measurable shortening of body length between frames (e.g., from 0.1 s to 1.8 s), where the distance between the head and tail decreases noticeably without fully becoming spherical. This partial shortening meets the definition of a contraction.</t>
  </si>
  <si>
    <t>no/0/No stentor is visible in any frame; only a needle and debris are present, so contraction cannot occur.</t>
  </si>
  <si>
    <t>no/0/No visible change in the stentor's shape from an extended trumpet-like form to a condensed or partially shortened state occurs in any frame; the stentor maintains a consistent extended morphology throughout the video.</t>
  </si>
  <si>
    <t>yes/95/The stentor exhibits a progressive shortening of its body length from an extended trumpet shape to a more condensed form across the video frames, with the distance between the "head" and "tail" decreasing noticeably. This measurable shortening qualifies as a contraction per the definition provided.</t>
  </si>
  <si>
    <t>no/0/The stentor maintains a consistent extended shape throughout all frames, with no observable shortening of body length or transition to a condensed, ball-like form. There is no evidence of the defined contraction behavior.</t>
  </si>
  <si>
    <t>no/0/The stentor maintains a consistently elongated, trumpet-like shape throughout all frames, with no observable shortening of body length or transition to a condensed, ball-like form. The slight positional shifts and ciliary movement do not constitute a contraction as defined.</t>
  </si>
  <si>
    <t>no/10/All frames show the stentor maintaining a consistent extended shape without any measurable shortening or transition to a condensed form; no contraction behavior is observed.</t>
  </si>
  <si>
    <t>yes/90/At approximately 2.1-2.4 seconds, the stentor transitions from an extended trumpet-like shape to a condensed, rounded form, indicating a measurable shortening of its body length (partial contraction). This change meets the definition of a contraction as the organism shifts from an extended to a more compact state.</t>
  </si>
  <si>
    <t>no/0/In all provided frames (0.1s to 9.8s), the stentor maintains a consistent extended, teardrop/trumpet shape with no observable shortening of body length or transition to a condensed/ball-like form. No measurable change in morphology indicating contraction occurs.</t>
  </si>
  <si>
    <t>yes/90/From approximately 7.5 to 8.1 seconds, the stentor transitions from an extended trumpet-like shape to a significantly condensed, rounded form, showing a clear and measurable shortening of body length without requiring a fully spherical state. This meets the definition of a contraction.</t>
  </si>
  <si>
    <t>yes/95/From 0.1s to 8.4s, the stentor transitions from an extended trumpet shape to a condensed, ball-like shape. The body length shortens significantly (e.g., between 4.9s and 7.2s, the organism becomes noticeably more compact and rounded), which meets the definition of a contraction. The change is clear and measurable, with the stentor fully adopting a condensed form.</t>
  </si>
  <si>
    <t>no/0/The stentor (or the organism in focus) does not exhibit any measurable change in body length or shape from an extended trumpet-like form to a condensed ball-like form across all frames. The shape remains relatively consistent without noticeable shortening or spherical transformation.</t>
  </si>
  <si>
    <t>yes/90/The stentor exhibits a clear and measurable shortening of its body length (reduced distance between head and tail) from the initial extended shape to a more condensed form across multiple frames (e.g., from 0.1 s to 2.4 s), which satisfies the definition of a contraction. This shortening is distinct and not due to movement of other objects in the field.</t>
  </si>
  <si>
    <t>yes/95/The stentor transitions from an extended trumpet-like shape to a more condensed, rounded form (e.g., between 6.6 s and 7.2 s), showing a noticeable shortening of body length consistent with contraction. This change is clear and measurable, even if not fully spherical.</t>
  </si>
  <si>
    <t>yes/85/The stentor's body length decreases noticeably from an extended shape to a more condensed shape across the video frames (e.g., from 0.1 s to 9.8 s), indicating a clear shortening of the organism's body that meets the definition of a contraction.</t>
  </si>
  <si>
    <t>no/15/The stentor maintains a consistent elongated, trumpet-like shape throughout all frames. There is no observable shortening of body length, transition to a condensed form, or measurable change in shape that would indicate a contraction (even partial). The organism's morphology remains stable with no evidence of the defined contraction behavior.</t>
  </si>
  <si>
    <t>no/10/No visible change in the stentor's shape from an extended trumpet form to a condensed ball-like form occurs across all frames. The central organism remains consistently spherical or oval without measurable shortening of body length or shape transition. Debris movement is present but does not indicate stentor contraction.</t>
  </si>
  <si>
    <t>no/0/No visible change in the stentor's shape from an extended trumpet-like form to a condensed or shortened state occurs in any frame. The organism maintains a consistent elongated shape throughout the video sequence.</t>
  </si>
  <si>
    <t>no/0/The stentor's shape remains consistently extended and trumpet-like throughout all frames, with no observable shortening of body length or transition to a condensed, ball-like form. No measurable change in the distance between the "head" and "tail" occurs, and there is no indication of contraction behavior as defined.</t>
  </si>
  <si>
    <t>no/95/The stentor remains in an extended trumpet-like shape throughout all frames. There is no observable change to a condensed, ball-like shape or measurable shortening of body length that would qualify as a contraction. The organisms movement (e.g., repositioning) does not involve shape alteration consistent with contraction.</t>
  </si>
  <si>
    <t>no/10/The stentor maintains a consistent elongated, oval shape throughout all frames without any visible shortening of body length or transition to a condensed, ball-like form. No measurable change in morphology indicative of contraction is observed.</t>
  </si>
  <si>
    <t>no/10/The stentor maintains a consistently elongated, trumpet-like shape throughout all frames without any observable shortening of body length or transition to a condensed form. No measurable change in shape indicative of contraction occurs.</t>
  </si>
  <si>
    <t>yes/95/The stentor exhibits a clear shortening of its body length between 0.1 s and 2.4 s, transitioning from an extended trumpet-like shape to a more condensed form. The distance between the head and tail decreases noticeably, which qualifies as a contraction per the definition (even partial shortening counts). The change is consistent across multiple frames and unambiguous.</t>
  </si>
  <si>
    <t>yes/90/The stentor transitions from an extended trumpet-like shape (e.g., 0.1 s) to a more condensed, rounded form (e.g., 9.8 s), with a clear and measurable shortening of its body length (reduced distance between head and tail) across multiple frames. This meets the definition of a contraction, as even partial shortening is sufficient.</t>
  </si>
  <si>
    <t>ball-like form. No measurable change in morphology indicating contraction occurs.</t>
  </si>
  <si>
    <t>Data</t>
    <phoneticPr fontId="1" type="noConversion"/>
  </si>
  <si>
    <t>77 non seg</t>
    <phoneticPr fontId="1" type="noConversion"/>
  </si>
  <si>
    <t>Canva</t>
    <phoneticPr fontId="1" type="noConversion"/>
  </si>
  <si>
    <t>browser</t>
    <phoneticPr fontId="1" type="noConversion"/>
  </si>
  <si>
    <t>seg</t>
    <phoneticPr fontId="1" type="noConversion"/>
  </si>
  <si>
    <t>yes/90/The stentor on the left changes from an extended trumpet shape to a more condensed, shorter form over the video frames, indicating a contraction. This partial shortening meets the definition of a contraction.</t>
  </si>
  <si>
    <t>no/0/All frames show the stentor in a consistent shape with no observable change from an extended trumpet-like form to a condensed ball-like form. No contraction behavior is evident.</t>
  </si>
  <si>
    <t>yes/90/The stentor exhibits a visible change from an extended shape to a more condensed form across the video frames, indicating a contraction behavior.</t>
  </si>
  <si>
    <t>yes/95/The stentor changes from an extended, trumpet-like shape to a more condensed, rounded shape across the frames, indicating a contraction. The gradual shortening and rounding of the organism's body meets the definition of contraction (any change from extended to condensed shape).</t>
  </si>
  <si>
    <t>no/0/No visible change from an extended shape to a condensed, ball-like shape occurs in any frame; the stentor maintains a relatively consistent elongated form throughout the video.</t>
  </si>
  <si>
    <t>no/0/No visible change from an extended trumpet-like shape to a condensed ball-like shape; the stentor maintains an elongated form throughout all frames.</t>
  </si>
  <si>
    <t>no/0/No visible change from an extended trumpet shape to a condensed ball-like shape occurs in any frame; the stentor (if present) remains static or the observed objects are non-stentor debris.</t>
  </si>
  <si>
    <t>yes/95/The stentor transitions from an extended trumpet shape to a condensed, ball-like shape (evident in frames 2.43.0 and continuing), meeting the definition of contraction.</t>
  </si>
  <si>
    <t>no/0/The stentor maintains a consistent elongated, teardrop shape throughout all frames without any visible change to a condensed, ball-like form. There is no evidence of shortening or contraction as defined.</t>
  </si>
  <si>
    <t>yes/90/The stentor transitions from an extended, trumpet-like shape to a more condensed, ball-like shape over the video sequence, indicating a contraction behavior.</t>
  </si>
  <si>
    <t>yes/90/The stentor transitions from an extended, trumpet-like shape to a more condensed, rounded form over the video sequence, which aligns with the definition of contraction. The change is gradual but clearly visible in the frame progression, indicating a contraction event.</t>
  </si>
  <si>
    <t>no/20/No visible change from an extended trumpet shape to a condensed ball-like shape occurs in any frame; the stentor maintains a consistent elongated form throughout the video.</t>
  </si>
  <si>
    <t>no/0/The stentor remains in an extended, trumpet-like shape throughout the video; there is no observable change to a condensed, ball-like shape, so no contraction occurs.</t>
  </si>
  <si>
    <t>yes/90/The stentor transitions from an extended, trumpet-like shape to a more condensed, ball-like shape as seen in the progression of frames, indicating a contraction behavior.</t>
  </si>
  <si>
    <t>yes/100/The stentor shows a clear change from an extended trumpet shape to a more condensed form, with visible shortening and retraction of its body across the frames.</t>
  </si>
  <si>
    <t>no/0/The stentor's shape remains consistently oval without any visible change from an extended trumpet-like form to a condensed ball-like form throughout the video frames. No contraction behavior is observed.</t>
  </si>
  <si>
    <t>no/0/No stentor is visible undergoing a shape change from extended trumpet to condensed ball; all observed objects (debris, particles) show no such behavior.</t>
  </si>
  <si>
    <t>no/0/No visible change from extended trumpet shape to condensed ball-like shape; the stentor maintains a consistent elongated form throughout all frames.</t>
  </si>
  <si>
    <t>yes/90/The left stentor shows a clear shortening from an extended trumpet-like shape to a more condensed form over time, meeting the contraction definition.</t>
  </si>
  <si>
    <t>no/0/The stentor remains in an extended, trumpet-like shape throughout the video; there is no visible change to a condensed, ball-like shape at any point.</t>
  </si>
  <si>
    <t>no/0/The stentor maintains an extended, elongated shape throughout all frames, showing no change to a condensed, ball-like form. There is no evidence of contraction as defined.</t>
  </si>
  <si>
    <t>yes/80/The stentor exhibits a gradual shortening from an extended trumpet-like shape to a more condensed form, with visible reduction in length across the frames, meeting the definition of contraction (including partial shortening).</t>
  </si>
  <si>
    <t>no/0/The stentor remains in an extended trumpet-like shape throughout the video without showing any change to a condensed, ball-like form. No contraction behavior is observed.</t>
  </si>
  <si>
    <t>yes/90/ The stentor transitions from a more elongated, trumpet-like shape to a condensed, ball-like shape over the video frames, indicating a contraction. The shape change is gradual but clear, meeting the definition of contraction.</t>
  </si>
  <si>
    <t>ns</t>
  </si>
  <si>
    <t>ns</t>
    <phoneticPr fontId="1" type="noConversion"/>
  </si>
  <si>
    <t>No visible change from an extended trumpet shape to a condensed ball-like shape occurs in any frame; the stentor maintains a consistent elongated form throughout the video.</t>
  </si>
  <si>
    <t>yes/90/The stentor transitions from an extended trumpet-like shape to a more condensed, shorter form throughout the video, indicating a contraction behavior as defined.</t>
  </si>
  <si>
    <t>yes/95/The stentor transitions from an extended trumpet-like shape to a significantly condensed form, indicating a contraction. The change in morphology (from elongated to shortened/compacted) is observable across the frames.</t>
  </si>
  <si>
    <t>yes/100/The stentor's body shortens from an extended trumpet shape to a more condensed form across the video frames, meeting the definition of a contraction.</t>
  </si>
  <si>
    <t>yes/95/In the video, the stentor transitions from an extended trumpet shape to a condensed, oval shape (visible around 6.6-7.2 seconds), which meets the definition of a contraction (change from extended to condensed). The change is clear and significant.</t>
  </si>
  <si>
    <t>no/0/The stentor maintains an extended trumpet shape throughout all frames; there is no visible change to a condensed, ball-like shape.</t>
  </si>
  <si>
    <t>no/20/In the video, stentors are visible in an extended trumpet shape initially, but there is no observable change to a condensed, ball-like shape. The stentors disappear from the frame without showing any contraction behavior (no shape transition from extended to condensed is evident). The movement of the probe may have caused them to move out of the field of view, but no contraction is visible.</t>
  </si>
  <si>
    <t>no/0/No visible change from extended trumpet shape to condensed ball-like shape; the stentor maintains a relatively consistent elongated form throughout the video frames.</t>
  </si>
  <si>
    <t>no/0/The stentor remains in an extended trumpet shape throughout all frames, showing no change to a condensed, ball-like form.</t>
  </si>
  <si>
    <t>yes/90/The stentor exhibits a gradual shortening of its extended trumpet shape over the video frames, which qualifies as a contraction (partial shortening counts per the definition). The change in length from an extended form to a shorter, more condensed state is visible across the subsampled frames.</t>
  </si>
  <si>
    <t>yes/90/The stentor is initially extended (trumpet-shaped) and then disappears from the frame, indicating a rapid contraction to a condensed state (which may not be visible in the subsampled frames but fits the definition of changing from extended to ball-like).</t>
  </si>
  <si>
    <t>yes/90/The stentor transitions from an extended trumpet shape to disappearing from view (implying contraction into a condensed form) between 5.8s and 6.1s, meeting the definition of contraction.</t>
  </si>
  <si>
    <t>no/20/No visible change from extended trumpet shape to condensed ball-like shape; the stentor remains elongated throughout the video.</t>
  </si>
  <si>
    <t>yes/95/The stentor's body shortens from an extended trumpet shape to a more condensed form across multiple frames, indicating a contraction as defined (partial shortening counts).</t>
  </si>
  <si>
    <t>yes/70/The stentor exhibits partial shortening from its extended trumpet shape, consistent with the contraction definition (even slow/partial shortening counts). The body length visibly decreases across frames, indicating contraction.</t>
  </si>
  <si>
    <t>yes/100/The stentor transitions from an extended trumpet shape to a condensed form, with visible shortening and compaction over time, meeting the definition of contraction.</t>
  </si>
  <si>
    <t>no/0/The stentor maintains an extended trumpet-like shape throughout all frames; there is no visible change to a condensed, ball-like shape as required for a contraction.</t>
  </si>
  <si>
    <t>yes/95/The stentor transitions from an extended trumpet-like shape to a shorter, more condensed form over the video frames, indicating a contraction (partial shortening is sufficient per the definition).</t>
  </si>
  <si>
    <t>yes/95/The stentor transitions from an extended trumpet shape to disappearing from view (implying a rapid contraction into a condensed, ball-like shape that is no longer visible in the frames), which meets the definition of contraction. The disappearance between frames 6.1 and 6.4 indicates a contraction event.</t>
  </si>
  <si>
    <t>no/0/The stentor remains in an extended trumpet shape throughout all frames, showing no transition to a condensed, ball-like shape. Thus, no contraction occurs.</t>
  </si>
  <si>
    <t>yes/95/The stentor transitions from an extended trumpet shape to a condensed, ball-like shape (evident around 8.19.8 seconds), meeting the definition of contraction.</t>
  </si>
  <si>
    <t>yes/95/The stentor is initially in an extended trumpet shape but disappears from view by frame 6.1 seconds, indicating a rapid contraction (as it no longer appears in subsequent frames, consistent with a condensed state). This matches the definition of contraction (change from extended to condensed shape).</t>
  </si>
  <si>
    <t>yes/95/The stentor transitions from an extended trumpet shape to a more condensed form, particularly evident in the final frame where it is significantly shortened and less elongated, meeting the contraction definition.</t>
  </si>
  <si>
    <t>yes/80/The stentor transitions from an extended trumpet shape to a more condensed form at its top (e.g., frames 7.5-9.8 show the opening narrowing and the structure becoming less extended), which meets the definition of a contraction (partial shortening/condensation from extended shape).</t>
  </si>
  <si>
    <t>yes/95/The stentor shows a clear transition from an extended trumpet shape to a more condensed form, with visible shortening and reduced length over time (e.g., frames 7.2s to 9.8s show progressive shortening, meeting the partial shortening criterion for contraction).</t>
  </si>
  <si>
    <t>yes/95/At approximately 5-6 seconds, the stentor transitions from an extended trumpet shape to a condensed state, disappearing from the frame which indicates contraction into a ball-like shape. The change in shape meets the definition of contraction.</t>
  </si>
  <si>
    <t>no/0/The stentor remains in an extended trumpet shape throughout all frames; there is no visible change to a condensed, ball-like shape.</t>
  </si>
  <si>
    <t>yes/95/The stentor is initially in an extended trumpet shape, then disappears from view in subsequent frames, indicating a transition to a condensed state (as stentors contract rapidly when disturbed, often exiting the field of view in the contracted form).</t>
  </si>
  <si>
    <t>yes/100/The stentor transitions from an extended trumpet shape to a condensed form (and exits the frame), meeting the definition of contraction as it changes from extended to ball-like.</t>
  </si>
  <si>
    <t>yes/100/At approximately 5.5-6.0 seconds, the stentor transitions from an extended trumpet shape to being no longer visible in the frame, indicating it has contracted into a condensed, ball-like form (as per the definition of contraction). This change from extended to condensed state satisfies the criteria for a contraction.</t>
  </si>
  <si>
    <t>yes/80/In multiple frames, the stentor shows a visible reduction in its extended trumpet shape, with partial shortening of the body, which meets the definition of contraction (including partial shortening). The change is consistent across several frames, indicating a contraction event.</t>
  </si>
  <si>
    <t>yes/95/At approximately 5.8 seconds, the stentor rapidly changes from its extended trumpet shape to a condensed state (disappearing from view, indicating contraction), which aligns with the definition of a contraction. The subsequent release of particles is consistent with the stentors rapid contraction behavior.</t>
  </si>
  <si>
    <t>yes/90/The stentor transitions from an extended trumpet shape to a shorter, more condensed form, indicating contraction. This change is visible in the progression of frames, with the stentor's body shortening and thickening, which meets the definition of a contraction (even partial shortening counts).</t>
  </si>
  <si>
    <t>yes/95/The stentor transitions from an extended trumpet shape to being no longer visible in the frame (by 5.2 seconds), indicating a rapid contraction into a condensed form that is either out of view or too small to discern, consistent with the definition of contraction.</t>
  </si>
  <si>
    <t>yes/90/The stentor transitions from an extended trumpet shape to a condensed form, demonstrating a contraction as defined.</t>
  </si>
  <si>
    <t>yes/90/In the video, the stentor transitions from an extended trumpet - like shape to a condensed, oval - shaped form (evident between approximately 5.5 and 6.1 seconds). This change in shape from extended to condensed meets the definition of a contraction, even though it is not a complete ball - like shape. The contraction is clear and observable in the sequence of frames.</t>
  </si>
  <si>
    <t>yes/90/In the video, the stentors are initially in an extended trumpet shape. By frame 5.2 seconds, they rapidly disappear from view, which is consistent with a contraction (as stentors contract quickly into a condensed, less visible state). The transition from extended to no longer visible (due to contraction) meets the definition of a contraction.</t>
  </si>
  <si>
    <t>yes/90/The stentor exhibits a clear shortening from its initial extended trumpet-like shape to a more condensed form, consistent with contraction behavior.</t>
  </si>
  <si>
    <t>yes/90/In the video, the stentor is initially in an extended trumpet shape. By frame 6.4 seconds, the stentor is no longer visible in its extended form, indicating a rapid change to a condensed state (consistent with contraction behavior, as the organism likely retracted out of the visible field or into a ball-like shape). This transition from extended to absent (due to contraction) meets the definition of a contraction.</t>
  </si>
  <si>
    <t>yes/90/The stentor transitions from an extended trumpet shape to a condensed, more rounded form between approximately 4.1 and 4.6 seconds, meeting the definition of contraction. While the change is not extreme, it is a clear shortening and condensation of the organism's shape, consistent with typical stentor contraction behavior.</t>
  </si>
  <si>
    <t>yes/95/The stentor transitions from an extended trumpet shape to a condensed state (disappearing from the extended form) between 7.2-7.5 seconds, indicating a contraction.</t>
  </si>
  <si>
    <t>yes/90/The stentor transitions from an extended trumpet shape to a condensed, oval/ball-like shape around the 7.5-second mark, meeting the contraction definition.</t>
  </si>
  <si>
    <t>yes/90/In frames 0.1s-6.4s, the stentor is visible in an extended trumpet shape. By 6.6s, the stentor is no longer present in the field of view, indicating a rapid contraction (typical stentor behavior where it condenses into a ball and may move out of sight). The absence of the stentor after 6.4s strongly suggests a contraction event, consistent with the definition.</t>
  </si>
  <si>
    <t>yes/90/The stentor transitions from an extended trumpet shape to a more condensed, ball-like shape in the later frames (e.g., around 8-10 seconds), indicating a contraction. The change in morphology meets the definition of a contraction, though the video's resolution and subsampling make it slightly less definitive than a clear, high-resolution example.</t>
  </si>
  <si>
    <t>yes/100/The stentor changes from an extended trumpet shape to a condensed state (disappearing from view, indicating rapid contraction) between 5.2-5.5 seconds, meeting the definition of contraction.</t>
  </si>
  <si>
    <t>no/0/The stentor maintains an extended trumpet shape throughout the video with no visible transition to a condensed, ball-like shape. No contraction behavior is observed.</t>
  </si>
  <si>
    <t>yes/95/In frames 2.4 to 2.6 seconds, the stentor disappears from view, indicating a transition from its extended trumpet shape to a condensed, ball-like shape (which is smaller and may not be visible in the frame). It reappears in a similar extended shape later, confirming a contraction event occurred.</t>
  </si>
  <si>
    <t>yes/95/The stentors transition from an extended trumpet shape to a condensed state (and eventually exit the frame), indicating contraction as defined. The change in shape from extended to compact is evident in the progression of frames, even if the contraction is partial or slow.</t>
  </si>
  <si>
    <t>no/0/The stentor maintains an extended trumpet-like shape throughout all frames; there is no observable change to a condensed, ball-like form.</t>
  </si>
  <si>
    <t>no/30/In all visible frames, the stentor maintains an extended trumpet-like shape without transitioning to a condensed, ball-like form. The stentor eventually exits the frame but does not exhibit the required shape change for contraction.</t>
  </si>
  <si>
    <t>yes/100/ The stentor transitions from an extended trumpet shape to a more condensed form, with visible shortening of its body over time, meeting the definition of contraction.</t>
  </si>
  <si>
    <t>yes/90/The stentor transitions from an extended trumpet shape to a more condensed form in the later frames (notably around 9.2-9.8 seconds), indicating a contraction. The change in shape from elongated to shortened/compact meets the definition of contraction.</t>
  </si>
  <si>
    <t>no/0/The stentor maintains a consistent trumpet-like shape throughout all frames, showing no change to a condensed, ball-like form. Therefore, no contraction occurs.</t>
  </si>
  <si>
    <t>yes/100/The stentor changes from an extended trumpet shape to a shorter, more condensed form, indicating a contraction. This is visible as the organism's length decreases progressively across the frames, meeting the definition of a contraction.</t>
  </si>
  <si>
    <t>yes/95/The stentor transitions from an extended trumpet shape to a condensed, ball-like shape between approximately 5.2 and 6.1 seconds, which meets the definition of a contraction. The change is clear despite minor blurring in subsequent frames.</t>
  </si>
  <si>
    <t>no/15/The stentor maintains an extended trumpet-like shape throughout the video frames; no visible transition to a condensed, ball-like shape occurs. While minor movements (e.g., ciliary activity) are present, these do not constitute a contraction as defined. The lack of significant shape change (from extended to condensed) supports a low contraction score.</t>
  </si>
  <si>
    <t>yes/90/The stentor transitions from an extended trumpet shape to a condensed form (evident in the sequence where it shortens and retracts, particularly between 4.0-5.5 seconds), meeting the contraction definition.</t>
  </si>
  <si>
    <t>yes/95/The stentor shows a clear transition from an extended trumpet-like shape to a more condensed form over the video frames, indicating a contraction. The change is visible across multiple frames and meets the definition of contraction (even partial shortening counts).</t>
  </si>
  <si>
    <t>yes/95/In the video, the stentor transitions from an extended trumpet shape to a condensed state (disappearing from the extended form and becoming less distinct as a ball-like shape), which matches the definition of contraction. The change is evident as the stentor's original shape is lost by the 4.9-second mark.</t>
  </si>
  <si>
    <t>yes/90/The stentor is visible in an extended trumpet shape in the earlier frames (e.g., 0.14.9 seconds) but disappears abruptly at 5.2 seconds. This sudden absence indicates a rapid contraction (from extended to condensed), as the stentors shape change (even if not fully captured in subsequent frames) aligns with the definition of a contraction. The transition from visible extended form to absence confirms the behavior.</t>
  </si>
  <si>
    <t>yes/90/The stentor transitions from an extended trumpet-like shape to a more condensed form, with visible shortening across frames, meeting the contraction definition.</t>
  </si>
  <si>
    <t>no/0/No visible change from an extended trumpet shape to a condensed ball-like shape occurs in any frame; the stentor maintains a consistent elongated form throughout the video.</t>
  </si>
  <si>
    <t>yes/95/The stentor is initially in an extended trumpet shape (0.0-0.6s), then disappears from view by 0.9s, indicating a transition to a condensed, ball-like shape (contraction). The absence of the extended form in subsequent frames confirms the contraction behavior.</t>
  </si>
  <si>
    <t>yes/100/The stentor changes from an extended trumpet shape to a condensed state (disappearing from view as it contracts), meeting the definition of a contraction.</t>
  </si>
  <si>
    <t>yes/95/In the video, the stentor transitions from an extended trumpet-like shape to a condensed, ball-like shape (evident around 3.8-4.6 seconds), meeting the definition of contraction. The change is clear and significant, though not instantaneous.</t>
  </si>
  <si>
    <t>yes/95/The stentor changes from an extended trumpet shape to a condensed oval/ball-like shape between approximately 4.4 and 4.6 seconds, which meets the definition of a contraction.</t>
  </si>
  <si>
    <t>yes/95/The stentor changes from an extended trumpet shape to a condensed oval shape between 4.4 seconds and later frames, indicating a contraction.</t>
  </si>
  <si>
    <t>yes/90/The stentor starts as an extended trumpet shape and then disappears from view between 4.4s and 4.6s, indicating a contraction (as stentors typically contract into a ball when stimulated, such as by the nearby pipette). The transition from visible extended form to absence implies a contraction occurred.</t>
  </si>
  <si>
    <t>yes/95/The stentor starts in an extended trumpet shape and then disappears from view, indicating it has contracted into a condensed state (as it is no longer visible in subsequent frames, consistent with the behavior of changing from extended to ball-like).</t>
  </si>
  <si>
    <t>yes/100/The stentor transitions from an extended trumpet shape to a condensed state (disappearing from the extended form, which is characteristic of contraction).</t>
  </si>
  <si>
    <t>no/0/No stentor is clearly visible changing from an extended trumpet shape to a condensed ball-like shape in any frame; the visible structures appear to be debris or non-stentor objects without the characteristic shape change of a contraction.</t>
  </si>
  <si>
    <t>yes/100/The stentor was initially in an extended trumpet shape and then disappears from view between 5.2 and 5.5 seconds, indicating a rapid contraction into a condensed state (consistent with the definition of contraction as a shape change from extended to ball-like, even if fast).</t>
  </si>
  <si>
    <t>yes/100/In the video, the stentor is initially in an extended trumpet shape. By 4.4 seconds, it disappears from the frame, indicating a rapid contraction (as stentors contract to a condensed, ball-like shape when disturbed, often moving out of view quickly). This matches the definition of contraction.</t>
  </si>
  <si>
    <t>yes/90/The stentor transitions from an extended trumpet-like shape in the initial frames to a more condensed, ball-like shape starting around 4.1 seconds, indicating a contraction. The change in morphology meets the definition of a contraction (change from extended to condensed shape).</t>
  </si>
  <si>
    <t>yes/95/The stentor transitions from an extended trumpet-like shape to a more condensed, ball-like form (evident in frames around 7.5s), meeting the contraction definition.</t>
  </si>
  <si>
    <t>yes/95/In the video, the stentor transitions from an extended trumpet shape to a condensed, rounded shape around the 3.0-3.5 second mark, which matches the definition of a contraction. The change is clear and consistent with the behavior described.</t>
  </si>
  <si>
    <t>yes/90/The stentor is initially in an extended trumpet shape, then rapidly disappears from view (5.25.5s), which indicates a contraction (a typical defensive response to disturbance, even if the condensed ball shape is not clearly visible due to speed or subsampling). This change from extended to condensed state qualifies as a contraction.</t>
  </si>
  <si>
    <t>no/0/The stentor maintains a consistent shape throughout the video without any visible change from an extended trumpet-like form to a condensed ball-like shape. No contraction behavior is observed.</t>
  </si>
  <si>
    <t>no/10/No visible change from extended trumpet shape to condensed ball-like shape; stentor maintains consistent form across all frames.</t>
  </si>
  <si>
    <t>yes/90/The stentor transitions from an extended trumpet shape to a condensed state, becoming no longer visible in the frame (disappearing from 4.6s to 4.9s), which indicates a contraction event as it changes from extended to condensed form.</t>
  </si>
  <si>
    <t>yes/90/The stentor is initially extended in a trumpet shape, then disappears from view in subsequent frames, indicating a rapid contraction into a condensed form (as stentors contract quickly and may move out of frame or become too small to see). This meets the definition of a contraction.</t>
  </si>
  <si>
    <t>yes/100/The stentor is initially extended (trumpet-shaped) and then disappears from the frame, indicating a contraction to a condensed, ball-like shape (as it is no longer visible in the extended form, consistent with the definition).</t>
  </si>
  <si>
    <t>yes/100/The stentor transitions from an extended trumpet-like shape to a condensed form, showing a clear contraction behavior as defined.</t>
  </si>
  <si>
    <t>yes/90/The stentor transitions from an extended trumpet-like shape to a more condensed form, showing visible shortening and rounding consistent with a contraction. The change is gradual but clear across the frames, meeting the definition of a contraction (partial shortening counts).</t>
  </si>
  <si>
    <t>no/0/The stentor remains in an extended, trumpet-like shape throughout all frames; no visible change to a condensed, ball-like shape occurs.</t>
  </si>
  <si>
    <t>yes/95/The stentor transitions from an extended trumpet shape to a condensed, ball-like shape around the 4.6-second mark, which satisfies the definition of contraction.</t>
  </si>
  <si>
    <t>yes/95/The stentor transitions from an extended trumpet shape to being no longer visible in the frame, indicating a rapid contraction (a common stentor behavior where it condenses into a ball-like shape, often too fast to capture fully in subsampled frames but evident by disappearance from the extended form).</t>
  </si>
  <si>
    <t>yes/95/In the video, the stentor transitions from an extended trumpet-like shape (evident in early frames) to a condensed, ball-like shape (evident from ~5.2 seconds onward), which matches the definition of a contraction. The change is clear and consistent with the behavior described.</t>
  </si>
  <si>
    <t>yes/100/The stentor is initially visible in an extended trumpet-like shape (e.g., 0.1s, 0.4s), then disappears from the frame by 4.1s. This indicates a change from an extended shape to a condensed state (likely a ball-like shape that is no longer visible in the subsampled frames), meeting the definition of a contraction. The absence of the stentor after the initial frames confirms the behavior occurred.</t>
  </si>
  <si>
    <t>yes/100/The stentor is initially in an extended trumpet shape. By frame 4.4 seconds, the stentor is no longer visible, indicating it underwent a rapid contraction (a common response to stimulation like the nearby needle), changing from an extended to a condensed state (even if the condensed form is not clearly visible due to speed or movement). This matches the definition of contraction.</t>
  </si>
  <si>
    <t>yes/100/In the video, the stentor transitions from an extended trumpet shape to a condensed, ball-like shape (evident around the 4.6-second mark), meeting the definition of contraction. The shape change is clear and unambiguous.</t>
  </si>
  <si>
    <t>yes/95/The stentor transitions from an extended trumpet shape to being no longer visible in the extended form (disappearing from view between 4.4s and 4.6s), indicating a contraction into a condensed shape as per the definition. The absence of the extended form and the context of stentor behavior (contraction in response to stimuli) supports this.</t>
  </si>
  <si>
    <t>yes/80/The stentor on the left shows a visible transition from a more extended (trumpet-like) shape in early frames to a shorter, more condensed form in later frames, indicating a partial contraction. While not a full ball-like shape, the partial shortening meets the definition of contraction.</t>
  </si>
  <si>
    <t>yes/90/The stentor shows a clear transition from an extended trumpet shape to a more condensed form between approximately 2.1 and 3.5 seconds, which meets the definition of contraction (even partial shortening counts). It then returns to an extended shape later.</t>
  </si>
  <si>
    <t>yes/95/The stentor transitions from an extended trumpet shape to being no longer visible in the frame, indicating a contraction into a condensed form (consistent with the definition of changing from extended to ball-like shape). The disappearance of the extended structure between frames 4.4s and 4.6s confirms contraction.</t>
  </si>
  <si>
    <t>yes/95/The stentor transitions from an extended trumpet shape to a significantly shortened and less distinct form, indicating a contraction. The change is clear as the stentor's structure becomes condensed and eventually disappears from view, meeting the definition of contraction (including partial shortening).</t>
  </si>
  <si>
    <t>no/0/The stentor remains in an extended, trumpet-like shape throughout all frames; no change to a condensed, ball-like shape is observed.</t>
  </si>
  <si>
    <t>yes/90/The stentor transitions from an extended, trumpet-like shape to a more condensed, rounded form, indicating a contraction as defined. The change is evident in the progression of frames where the organism shortens and becomes less elongated.</t>
  </si>
  <si>
    <t>yes/95/The stentor transitions from an extended trumpet shape to a condensed, rounded form between 4.4 and 4.9 seconds, indicating a clear contraction. The shape change meets the definition of contraction (from extended to condensed).</t>
  </si>
  <si>
    <t>no/0/No visible change from extended trumpet shape to condensed ball-like shape occurs in any frame; stentors remain in extended form throughout.</t>
  </si>
  <si>
    <t>yes/95/The stentor transitions from an extended trumpet shape to a condensed, oval shape (as seen from the 4.1-second frame onward), which constitutes a contraction per the definition. The change is clear and meets the criteria for partial shortening.</t>
  </si>
  <si>
    <t>yes/90/The stentor is initially in an extended trumpet shape, then disappears from the frame (e.g., by 3.8s), which indicates it contracted into a condensed state (as stentors contract rapidly to a ball-like shape, often making them hard to see or causing them to move out of view). This change from extended to condensed qualifies as a contraction.</t>
  </si>
  <si>
    <t>yes/90/In the video, the stentor (trumpet-shaped organism) is visible in early frames but disappears from view in later frames, indicating it changed from an extended shape to a condensed, ball-like shape (contraction). The absence of the stentor in later frames aligns with the definition of contraction.</t>
  </si>
  <si>
    <t>yes/80/In the video, the stentor exhibits a gradual shortening of its extended trumpet-like shape over time, which qualifies as a contraction under the given definition (partial shortening counts). The change in shape from a more elongated form to a shorter, more condensed form is observable across the frames.</t>
  </si>
  <si>
    <t>yes/100/The stentor transitions from an extended trumpet shape to a condensed, ball-like shape (evident by 5.2 seconds and beyond), meeting the definition of contraction.</t>
  </si>
  <si>
    <t>yes/90/The stentor exhibits a clear transition from an extended trumpet shape to a more condensed form (e.g., visible shortening starting around 4.1s, with a more compact shape maintained through several frames), which meets the definition of contraction (including partial shortening).</t>
  </si>
  <si>
    <t>yes/95/The stentor starts as an extended trumpet shape and then disappears from view between 4.6s and 4.9s. This disappearance is consistent with a contraction (as stentors often contract into a condensed, ball-like shape when stimulated, e.g., by the nearby probe), which may render it indistinguishable from debris or out of frame. The transition from extended to no longer visible aligns with the definition of contraction.</t>
  </si>
  <si>
    <t>yes/95/The stentor transitions from an extended trumpet shape to being no longer visible in the frame (consistent with a rapid contraction into a condensed, ball-like shape that may be out of view or too small to discern), which satisfies the definition of a contraction.</t>
  </si>
  <si>
    <t>yes/95/The stentor transitions from an extended trumpet shape to a condensed state (evidenced by its sudden disappearance and the release of particles, indicating a rapid contraction into a ball-like form).</t>
  </si>
  <si>
    <t>no/0/The stentor remains in an extended trumpet-like shape throughout all frames, with no observable change to a condensed, ball-like form.</t>
  </si>
  <si>
    <t>yes/95/At approximately 3.8 seconds, the stentor transitions from an extended trumpet shape to a condensed, oval shape, which meets the definition of a contraction (change from extended to condensed). The change is clear and occurs within the video.</t>
  </si>
  <si>
    <t>yes/90/The stentor transitions from an extended trumpet shape to disappearing from view (implying a condensed, ball-like shape) between 4.1s and 4.4s, indicating a contraction.</t>
  </si>
  <si>
    <t>yes/95/In the video, the stentor transitions from an extended trumpet-like shape to a condensed state where it is no longer visible in its extended form, indicating a contraction. The change is evident as the stentor's structure shortens and becomes less distinct, meeting the definition of contraction.</t>
  </si>
  <si>
    <t>yes/90/The stentor transitions from an extended trumpet-like shape (0.1s) to a condensed, ball-like shape (by 0.9s and beyond), indicating a contraction.</t>
  </si>
  <si>
    <t>yes/85/In the video, the stentor transitions from an extended, trumpet-like shape to a more condensed, rounded form (evident in frames where the shape shortens noticeably), meeting the contraction definition. The change is clear but not perfectly distinct in every frame, hence the 85 score.</t>
  </si>
  <si>
    <t>yes/95/The stentor transitions from an extended trumpet shape to a more condensed form (shorter stem, closed top) before disappearing, indicating a contraction.</t>
  </si>
  <si>
    <t>yes/100/The stentor starts in an extended trumpet shape, then rapidly shortens and becomes unobservable (disappears from the frame), indicating a contraction to a condensed form. This change meets the definition of contraction.</t>
  </si>
  <si>
    <t>yes/90/The stentor transitions from an extended trumpet shape to a condensed, oval shape between approximately 4.6 and 5.2 seconds, indicating a contraction. The change in morphology meets the definition of a contraction (from extended to condensed).</t>
  </si>
  <si>
    <t>no/0/The stentor remains in an extended trumpet shape throughout all visible frames; there is no evidence of a transition to a condensed, ball-like shape.</t>
  </si>
  <si>
    <t>yes/100/In the early frames, the stentor is in an extended trumpet shape. By frame 5.0 seconds, it is no longer visible in the extended form, and subsequent frames show a condensed, ball-like shape (e.g., frames 6.1-9.8), indicating a change from extended to condensed state, which meets the definition of contraction.</t>
  </si>
  <si>
    <t>yes/90/The stentor transitions from an extended trumpet shape to a condensed, ball-like shape between approximately 5.0 and 5.5 seconds, which meets the definition of a contraction. The change is clear and consistent with the behavior described.</t>
  </si>
  <si>
    <t>yes/95/The stentor transitions from an extended, trumpet-like shape to a more condensed, rounded form, which matches the definition of contraction.</t>
  </si>
  <si>
    <t>yes/95/The stentor transitions from an extended trumpet shape to a condensed, ball-like shape between approximately 4.6 and 5.2 seconds, meeting the contraction definition. The change is clear and sustained in subsequent frames.</t>
  </si>
  <si>
    <t>yes/90/The stentor transitions from an extended trumpet shape to a more condensed form (e.g., between 4.6s and 5.2s), showing partial shortening which qualifies as a contraction per the definition.</t>
  </si>
  <si>
    <t>yes/90/The stentor exhibits a clear reduction in length from an extended shape to a more condensed form, indicating contraction (even partial shortening counts per the definition). The long, trumpet-like structure becomes noticeably shorter in later frames, consistent with contraction behavior.</t>
  </si>
  <si>
    <t>yes/90/In the video, the stentor inside the pipette shows a clear change from an extended trumpet-like shape to a more condensed, shorter form, indicating contraction. The shape transition is observable across multiple frames, meeting the definition of contraction.</t>
  </si>
  <si>
    <t>yes/100/The stentor transitions from an extended trumpet-like shape (e.g., 0.1s) to a condensed, ball-like form (e.g., 1.5s), with visible shortening and rounding in intermediate frames. This matches the definition of contraction, including partial shortening.</t>
  </si>
  <si>
    <t>yes/90/Both stentors show shape changes, but the left stentor transitions from an extended trumpet-like form to a more condensed, oval shape across the frames (e.g., 0.1s vs. 3.5s), meeting the contraction definition. The change is visible and consistent with stentor contraction behavior.</t>
  </si>
  <si>
    <t>yes/95/In the initial frames, the stentor is clearly in an extended trumpet shape. By frame 4.4 seconds, the stentor is no longer visible in its extended form, indicating a rapid change to a condensed shape (as stentors contract into a ball-like form when disturbed, which is consistent with the observed disappearance from the extended state). This transition from extended to condensed satisfies the definition of a contraction.</t>
  </si>
  <si>
    <t>no/0/No visible change in the stentor's shape from extended to condensed across all frames; the organism maintains a consistent elongated form throughout the video.</t>
  </si>
  <si>
    <t>yes/90/The stentor transitions from an extended trumpet shape in early frames to a condensed state (no longer visible as a distinct trumpet) by 4.6 seconds, indicating a contraction. The rapid disappearance of the extended form aligns with the defined behavior.</t>
  </si>
  <si>
    <t>yes/95/The stentor changes from an extended trumpet shape to a condensed, more rounded shape (evident in frames around 4.4-5.2 seconds and continuing), which matches the definition of contraction. Partial shortening and the shift in morphology confirm this behavior.</t>
  </si>
  <si>
    <t>yes/95/The stentor transitions from an extended trumpet-like shape to a condensed, ball-like shape between approximately 6.1 and 6.6 seconds, meeting the definition of a contraction. The change is clear and consistent with the behavior described.</t>
  </si>
  <si>
    <t>The stentor is initially in an extended trumpet shape, then rapidly disappears from view (5.25.5s), which indicates a contraction (a typical defensive response to disturbance, even if the condensed ball shape is not clearly visible due to speed or subsampling). This change from extended to condensed state qualifies as a contraction.</t>
  </si>
  <si>
    <t>The stentor exhibits a clear transition from an extended trumpet shape to a more condensed form (e.g., visible shortening starting around 4.1s, with a more compact shape maintained through several frames), which meets the definition of contraction (including partial shortening).</t>
  </si>
  <si>
    <t>The stentor remains in an extended trumpet shape throughout all visible frames; there is no evidence of a transition to a condensed, ball-like shape.</t>
  </si>
  <si>
    <t>No visible change in the stentor's shape from extended to condensed across all frames; the organism maintains a consistent elongated form throughout the video.</t>
  </si>
  <si>
    <t>The stentor remains in an extended, trumpet-like shape throughout all frames; no visible change to a condensed, ball-like shape occurs.</t>
  </si>
  <si>
    <t>In the video, the stentor inside the pipette shows a clear change from an extended trumpet-like shape to a more condensed, shorter form, indicating contraction. The shape transition is observable across multiple frames, meeting the definition of contraction.</t>
  </si>
  <si>
    <t>The stentor remains in an extended trumpet-like shape throughout all frames, with no observable change to a condensed, ball-like form.</t>
  </si>
  <si>
    <t>The stentor transitions from an extended trumpet-like shape to a more condensed, ball-like form (evident in frames around 7.5s), meeting the contraction definition.</t>
  </si>
  <si>
    <t>The stentor is initially extended (trumpet-shaped) and then disappears from the frame, indicating a contraction to a condensed, ball-like shape (as it is no longer visible in the extended form, consistent with the definition).</t>
  </si>
  <si>
    <t>The stentor transitions from an extended trumpet shape to a condensed, ball-like shape (evident by 5.2 seconds and beyond), meeting the definition of contraction.</t>
  </si>
  <si>
    <t>The stentor starts in an extended trumpet shape and then disappears from view, indicating it has contracted into a condensed state (as it is no longer visible in subsequent frames, consistent with the behavior of changing from extended to ball-like).</t>
  </si>
  <si>
    <t>The stentor transitions from an extended trumpet shape to a more condensed form (shorter stem, closed top) before disappearing, indicating a contraction.</t>
  </si>
  <si>
    <t>The stentor transitions from an extended trumpet shape to disappearing from view (implying a condensed, ball-like shape) between 4.1s and 4.4s, indicating a contraction.</t>
  </si>
  <si>
    <t>The stentor maintains a consistent shape throughout the video without any visible change from an extended trumpet-like form to a condensed ball-like shape. No contraction behavior is observed.</t>
  </si>
  <si>
    <t>In the early frames, the stentor is in an extended trumpet shape. By frame 5.0 seconds, it is no longer visible in the extended form, and subsequent frames show a condensed, ball-like shape (e.g., frames 6.1-9.8), indicating a change from extended to condensed state, which meets the definition of contraction.</t>
  </si>
  <si>
    <t>The stentor transitions from an extended trumpet shape to a condensed, oval shape between approximately 4.6 and 5.2 seconds, indicating a contraction. The change in morphology meets the definition of a contraction (from extended to condensed).</t>
  </si>
  <si>
    <t>The stentor transitions from an extended trumpet-like shape to a more condensed form, with visible shortening across frames, meeting the contraction definition.</t>
  </si>
  <si>
    <t>The stentor shows a clear transition from an extended trumpet-like shape to a more condensed form over the video frames, indicating a contraction. The change is visible across multiple frames and meets the definition of contraction (even partial shortening counts).</t>
  </si>
  <si>
    <t>In the initial frames, the stentor is clearly in an extended trumpet shape. By frame 4.4 seconds, the stentor is no longer visible in its extended form, indicating a rapid change to a condensed shape (as stentors contract into a ball-like form when disturbed, which is consistent with the observed disappearance from the extended state). This transition from extended to condensed satisfies the definition of a contraction.</t>
  </si>
  <si>
    <t>The stentor starts in an extended trumpet shape, then rapidly shortens and becomes unobservable (disappears from the frame), indicating a contraction to a condensed form. This change meets the definition of contraction.</t>
  </si>
  <si>
    <t>The stentor is initially extended in a trumpet shape, then disappears from view in subsequent frames, indicating a rapid contraction into a condensed form (as stentors contract quickly and may move out of frame or become too small to see). This meets the definition of a contraction.</t>
  </si>
  <si>
    <t>In the video, the stentor (trumpet-shaped organism) is visible in early frames but disappears from view in later frames, indicating it changed from an extended shape to a condensed, ball-like shape (contraction). The absence of the stentor in later frames aligns with the definition of contraction.</t>
  </si>
  <si>
    <t>No visible change from extended trumpet shape to condensed ball-like shape occurs in any frame; stentors remain in extended form throughout.</t>
  </si>
  <si>
    <t>The stentor is initially in an extended trumpet shape. By frame 4.4 seconds, the stentor is no longer visible, indicating it underwent a rapid contraction (a common response to stimulation like the nearby needle), changing from an extended to a condensed state (even if the condensed form is not clearly visible due to speed or movement). This matches the definition of contraction.</t>
  </si>
  <si>
    <t>In the video, the stentor transitions from an extended trumpet-like shape (evident in early frames) to a condensed, ball-like shape (evident from ~5.2 seconds onward), which matches the definition of a contraction. The change is clear and consistent with the behavior described.</t>
  </si>
  <si>
    <t>The stentor transitions from an extended trumpet shape to being no longer visible in the frame, indicating a contraction into a condensed form (consistent with the definition of changing from extended to ball-like shape). The disappearance of the extended structure between frames 4.4s and 4.6s confirms contraction.</t>
  </si>
  <si>
    <t>The stentor is initially in an extended trumpet shape (0.0-0.6s), then disappears from view by 0.9s, indicating a transition to a condensed, ball-like shape (contraction). The absence of the extended form in subsequent frames confirms the contraction behavior.</t>
  </si>
  <si>
    <t>The stentor transitions from an extended trumpet shape to a condensed state (evidenced by its sudden disappearance and the release of particles, indicating a rapid contraction into a ball-like form).</t>
  </si>
  <si>
    <t>The stentor transitions from an extended trumpet shape to a condensed form (evident in the sequence where it shortens and retracts, particularly between 4.0-5.5 seconds), meeting the contraction definition.</t>
  </si>
  <si>
    <t>In the video, the stentor transitions from an extended trumpet shape to a condensed, ball-like shape (evident around the 4.6-second mark), meeting the definition of contraction. The shape change is clear and unambiguous.</t>
  </si>
  <si>
    <t>The stentor transitions from an extended trumpet shape to being no longer visible in the frame, indicating a rapid contraction (a common stentor behavior where it condenses into a ball-like shape, often too fast to capture fully in subsampled frames but evident by disappearance from the extended form).</t>
  </si>
  <si>
    <t>The stentor is initially in an extended trumpet shape, then disappears from the frame (e.g., by 3.8s), which indicates it contracted into a condensed state (as stentors contract rapidly to a ball-like shape, often making them hard to see or causing them to move out of view). This change from extended to condensed qualifies as a contraction.</t>
  </si>
  <si>
    <t>In the video, the stentor transitions from an extended trumpet shape to a condensed state (disappearing from the extended form and becoming less distinct as a ball-like shape), which matches the definition of contraction. The change is evident as the stentor's original shape is lost by the 4.9-second mark.</t>
  </si>
  <si>
    <t>The stentor is visible in an extended trumpet shape in the earlier frames (e.g., 0.14.9 seconds) but disappears abruptly at 5.2 seconds. This sudden absence indicates a rapid contraction (from extended to condensed), as the stentors shape change (even if not fully captured in subsequent frames) aligns with the definition of a contraction. The transition from visible extended form to absence confirms the behavior.</t>
  </si>
  <si>
    <t>The stentor transitions from an extended trumpet shape to being no longer visible in the frame (consistent with a rapid contraction into a condensed, ball-like shape that may be out of view or too small to discern), which satisfies the definition of a contraction.</t>
  </si>
  <si>
    <t>The stentor was initially in an extended trumpet shape and then disappears from view between 5.2 and 5.5 seconds, indicating a rapid contraction into a condensed state (consistent with the definition of contraction as a shape change from extended to ball-like, even if fast).</t>
  </si>
  <si>
    <t>In the video, the stentor is initially in an extended trumpet shape. By 4.4 seconds, it disappears from the frame, indicating a rapid contraction (as stentors contract to a condensed, ball-like shape when disturbed, often moving out of view quickly). This matches the definition of contraction.</t>
  </si>
  <si>
    <t>The stentor transitions from an extended trumpet shape to being no longer visible in the extended form (disappearing from view between 4.4s and 4.6s), indicating a contraction into a condensed shape as per the definition. The absence of the extended form and the context of stentor behavior (contraction in response to stimuli) supports this.</t>
  </si>
  <si>
    <t>In the video, the stentor transitions from an extended trumpet shape to a condensed, rounded shape around the 3.0-3.5 second mark, which matches the definition of a contraction. The change is clear and consistent with the behavior described.</t>
  </si>
  <si>
    <t>The stentor transitions from an extended trumpet-like shape (e.g., 0.1s) to a condensed, ball-like form (e.g., 1.5s), with visible shortening and rounding in intermediate frames. This matches the definition of contraction, including partial shortening.</t>
  </si>
  <si>
    <t>The stentor transitions from an extended trumpet-like shape in the initial frames to a more condensed, ball-like shape starting around 4.1 seconds, indicating a contraction. The change in morphology meets the definition of a contraction (change from extended to condensed shape).</t>
  </si>
  <si>
    <t>The stentor transitions from an extended trumpet-like shape (0.1s) to a condensed, ball-like shape (by 0.9s and beyond), indicating a contraction.</t>
  </si>
  <si>
    <t>The stentor transitions from an extended trumpet-like shape to a condensed form, showing a clear contraction behavior as defined.</t>
  </si>
  <si>
    <t>No stentor is clearly visible changing from an extended trumpet shape to a condensed ball-like shape in any frame; the visible structures appear to be debris or non-stentor objects without the characteristic shape change of a contraction.</t>
  </si>
  <si>
    <t>The stentor is initially visible in an extended trumpet-like shape (e.g., 0.1s, 0.4s), then disappears from the frame by 4.1s. This indicates a change from an extended shape to a condensed state (likely a ball-like shape that is no longer visible in the subsampled frames), meeting the definition of a contraction. The absence of the stentor after the initial frames confirms the behavior occurred.</t>
  </si>
  <si>
    <t>Both stentors show shape changes, but the left stentor transitions from an extended trumpet-like form to a more condensed, oval shape across the frames (e.g., 0.1s vs. 3.5s), meeting the contraction definition. The change is visible and consistent with stentor contraction behavior.</t>
  </si>
  <si>
    <t>The stentor starts as an extended trumpet shape and then disappears from view between 4.4s and 4.6s, indicating a contraction (as stentors typically contract into a ball when stimulated, such as by the nearby pipette). The transition from visible extended form to absence implies a contraction occurred.</t>
  </si>
  <si>
    <t>The stentor starts as an extended trumpet shape and then disappears from view between 4.6s and 4.9s. This disappearance is consistent with a contraction (as stentors often contract into a condensed, ball-like shape when stimulated, e.g., by the nearby probe), which may render it indistinguishable from debris or out of frame. The transition from extended to no longer visible aligns with the definition of contraction.</t>
  </si>
  <si>
    <t>The stentor on the left shows a visible transition from a more extended (trumpet-like) shape in early frames to a shorter, more condensed form in later frames, indicating a partial contraction. While not a full ball-like shape, the partial shortening meets the definition of contraction.</t>
  </si>
  <si>
    <t>In the video, the stentor transitions from an extended, trumpet-like shape to a more condensed, rounded form (evident in frames where the shape shortens noticeably), meeting the contraction definition. The change is clear but not perfectly distinct in every frame, hence the 85 score.</t>
  </si>
  <si>
    <t>The stentor transitions from an extended, trumpet-like shape to a more condensed, rounded form, which matches the definition of contraction.</t>
  </si>
  <si>
    <t>The stentor transitions from an extended, trumpet-like shape to a more condensed, rounded form, indicating a contraction as defined. The change is evident in the progression of frames where the organism shortens and becomes less elongated.</t>
  </si>
  <si>
    <t>The stentor shows a clear transition from an extended trumpet shape to a more condensed form between approximately 2.1 and 3.5 seconds, which meets the definition of contraction (even partial shortening counts). It then returns to an extended shape later.</t>
  </si>
  <si>
    <t>The stentor transitions from an extended trumpet shape to a significantly shortened and less distinct form, indicating a contraction. The change is clear as the stentor's structure becomes condensed and eventually disappears from view, meeting the definition of contraction (including partial shortening).</t>
  </si>
  <si>
    <t>The stentor transitions from an extended trumpet shape to a condensed, ball-like shape around the 4.6-second mark, which satisfies the definition of contraction.</t>
  </si>
  <si>
    <t>In the video, the stentor transitions from an extended trumpet-like shape to a condensed, ball-like shape (evident around 3.8-4.6 seconds), meeting the definition of contraction. The change is clear and significant, though not instantaneous.</t>
  </si>
  <si>
    <t>The stentor transitions from an extended trumpet-like shape to a more condensed form, showing visible shortening and rounding consistent with a contraction. The change is gradual but clear across the frames, meeting the definition of a contraction (partial shortening counts).</t>
  </si>
  <si>
    <t>At approximately 3.8 seconds, the stentor transitions from an extended trumpet shape to a condensed, oval shape, which meets the definition of a contraction (change from extended to condensed). The change is clear and occurs within the video.</t>
  </si>
  <si>
    <t>The stentor transitions from an extended trumpet shape to a condensed, oval shape (as seen from the 4.1-second frame onward), which constitutes a contraction per the definition. The change is clear and meets the criteria for partial shortening.</t>
  </si>
  <si>
    <t>In the video, the stentor transitions from an extended trumpet-like shape to a condensed state where it is no longer visible in its extended form, indicating a contraction. The change is evident as the stentor's structure shortens and becomes less distinct, meeting the definition of contraction.</t>
  </si>
  <si>
    <t>The stentor transitions from an extended trumpet shape to a condensed state, becoming no longer visible in the frame (disappearing from 4.6s to 4.9s), which indicates a contraction event as it changes from extended to condensed form.</t>
  </si>
  <si>
    <t>The stentor transitions from an extended trumpet shape in early frames to a condensed state (no longer visible as a distinct trumpet) by 4.6 seconds, indicating a contraction. The rapid disappearance of the extended form aligns with the defined behavior.</t>
  </si>
  <si>
    <t>The stentor changes from an extended trumpet shape to a condensed state (disappearing from view as it contracts), meeting the definition of a contraction.</t>
  </si>
  <si>
    <t>The stentor transitions from an extended trumpet shape to a condensed state (disappearing from the extended form, which is characteristic of contraction).</t>
  </si>
  <si>
    <t>The stentor remains in an extended, trumpet-like shape throughout all frames; no change to a condensed, ball-like shape is observed.</t>
  </si>
  <si>
    <t>The stentor changes from an extended trumpet shape to a condensed, more rounded shape (evident in frames around 4.4-5.2 seconds and continuing), which matches the definition of contraction. Partial shortening and the shift in morphology confirm this behavior.</t>
  </si>
  <si>
    <t>The stentor exhibits a clear reduction in length from an extended shape to a more condensed form, indicating contraction (even partial shortening counts per the definition). The long, trumpet-like structure becomes noticeably shorter in later frames, consistent with contraction behavior.</t>
  </si>
  <si>
    <t>The stentor transitions from an extended trumpet shape to a condensed, rounded form between 4.4 and 4.9 seconds, indicating a clear contraction. The shape change meets the definition of contraction (from extended to condensed).</t>
  </si>
  <si>
    <t>The stentor transitions from an extended trumpet-like shape to a condensed, ball-like shape between approximately 6.1 and 6.6 seconds, meeting the definition of a contraction. The change is clear and consistent with the behavior described.</t>
  </si>
  <si>
    <t>In the video, the stentor exhibits a gradual shortening of its extended trumpet-like shape over time, which qualifies as a contraction under the given definition (partial shortening counts). The change in shape from a more elongated form to a shorter, more condensed form is observable across the frames.</t>
  </si>
  <si>
    <t>The stentor changes from an extended trumpet shape to a condensed oval shape between 4.4 seconds and later frames, indicating a contraction.</t>
  </si>
  <si>
    <t>The stentor changes from an extended trumpet shape to a condensed oval</t>
  </si>
  <si>
    <t>ball-like shape between approximately 4.4 and 4.6 seconds, which meets the definition of a contraction.</t>
  </si>
  <si>
    <t>No visible change from extended trumpet shape to condensed ball-like shape; stentor maintains consistent form across all frames.</t>
  </si>
  <si>
    <t>The stentor transitions from an extended trumpet shape to a condensed, ball-like shape between approximately 4.6 and 5.2 seconds, meeting the contraction definition. The change is clear and sustained in subsequent frames.</t>
  </si>
  <si>
    <t>The stentor transitions from an extended trumpet shape to a condensed, ball-like shape between approximately 5.0 and 5.5 seconds, which meets the definition of a contraction. The change is clear and consistent with the behavior described.</t>
  </si>
  <si>
    <t>The stentor transitions from an extended trumpet shape to a more condensed form (e.g., between 4.6s and 5.2s), showing partial shortening which qualifies as a contraction per the definition.</t>
  </si>
  <si>
    <t>-</t>
    <phoneticPr fontId="1" type="noConversion"/>
  </si>
  <si>
    <t>API_system_prompt_text</t>
  </si>
  <si>
    <t>API_system_prompt_text</t>
    <phoneticPr fontId="1" type="noConversion"/>
  </si>
  <si>
    <t>ollama_prompt_text</t>
  </si>
  <si>
    <t>Role mode</t>
    <phoneticPr fontId="1" type="noConversion"/>
  </si>
  <si>
    <t>user-only</t>
    <phoneticPr fontId="1" type="noConversion"/>
  </si>
  <si>
    <t>system-user</t>
    <phoneticPr fontId="1" type="noConversion"/>
  </si>
  <si>
    <t>235b</t>
    <phoneticPr fontId="1" type="noConversion"/>
  </si>
  <si>
    <t>235b-2</t>
    <phoneticPr fontId="1" type="noConversion"/>
  </si>
  <si>
    <t>235b-3</t>
    <phoneticPr fontId="1" type="noConversion"/>
  </si>
  <si>
    <t>32b-non seg</t>
    <phoneticPr fontId="1" type="noConversion"/>
  </si>
  <si>
    <t>32b-ollama</t>
    <phoneticPr fontId="1" type="noConversion"/>
  </si>
  <si>
    <t>32b</t>
    <phoneticPr fontId="1" type="noConversion"/>
  </si>
  <si>
    <t>ubuntu_csvs/8b</t>
    <phoneticPr fontId="1" type="noConversion"/>
  </si>
  <si>
    <t>CSV files in</t>
    <phoneticPr fontId="1" type="noConversion"/>
  </si>
  <si>
    <t>ubuntu_csvs/32b</t>
    <phoneticPr fontId="1" type="noConversion"/>
  </si>
  <si>
    <t>ollama_prompt_text</t>
    <phoneticPr fontId="1" type="noConversion"/>
  </si>
  <si>
    <t>6-235bseg 32bns</t>
    <phoneticPr fontId="1" type="noConversion"/>
  </si>
  <si>
    <t>Q3-VL 32B via ALI API non segmented 77 videos</t>
    <phoneticPr fontId="1" type="noConversion"/>
  </si>
  <si>
    <t>6-ubuntu</t>
    <phoneticPr fontId="1" type="noConversion"/>
  </si>
  <si>
    <t>Q3-VL 32B via API but with ollama prompts (user only)</t>
    <phoneticPr fontId="1" type="noConversion"/>
  </si>
  <si>
    <t>Q3-VL 32B via API (user only)</t>
    <phoneticPr fontId="1" type="noConversion"/>
  </si>
  <si>
    <t>235b-non seg</t>
    <phoneticPr fontId="1" type="noConversion"/>
  </si>
  <si>
    <t>Q3-VL 235B via ALI API non segmented 77 videos</t>
    <phoneticPr fontId="1" type="noConversion"/>
  </si>
  <si>
    <t>[auto eval]</t>
  </si>
  <si>
    <t>[auto eval]</t>
    <phoneticPr fontId="1" type="noConversion"/>
  </si>
  <si>
    <t>32b-user only</t>
    <phoneticPr fontId="1" type="noConversion"/>
  </si>
  <si>
    <t>Multimodal</t>
    <phoneticPr fontId="1" type="noConversion"/>
  </si>
  <si>
    <t>text</t>
    <phoneticPr fontId="1" type="noConversion"/>
  </si>
  <si>
    <t>image</t>
    <phoneticPr fontId="1" type="noConversion"/>
  </si>
  <si>
    <t>image+video</t>
    <phoneticPr fontId="1" type="noConversion"/>
  </si>
  <si>
    <t>no_score_API_system_prompt_text</t>
  </si>
  <si>
    <t>235b-no_score</t>
    <phoneticPr fontId="1" type="noConversion"/>
  </si>
  <si>
    <t>no_score_API_system_prompt_text</t>
    <phoneticPr fontId="1" type="noConversion"/>
  </si>
  <si>
    <t>ins235B API</t>
    <phoneticPr fontId="1" type="noConversion"/>
  </si>
  <si>
    <t>77</t>
    <phoneticPr fontId="1" type="noConversion"/>
  </si>
  <si>
    <t>235b-instruct</t>
    <phoneticPr fontId="1" type="noConversion"/>
  </si>
  <si>
    <t>Q3-VL 235B via ALI API instruct ver.</t>
    <phoneticPr fontId="1" type="noConversion"/>
  </si>
  <si>
    <t>natsort</t>
  </si>
  <si>
    <t>video_name</t>
  </si>
  <si>
    <t>Gemini_response</t>
  </si>
  <si>
    <t>yes/100/At 0:05, the stentor undergoes a rapid and complete contraction. Prior to this, it is in a fully extended, trumpet-like shape with its "head" positioned near the glass needle. At 0:05, it suddenly retracts toward the lower-left corner of the frame, transforming into a condensed, ball-like shape partially obscured by debris. This is a clear and unambiguous example of a typical quick contraction.</t>
  </si>
  <si>
    <t>yes/100/At 0:06, the stentor undergoes a rapid and complete contraction. From 0:00 to 0:05, the organism is seen in an extended, trumpet-like state. Between frames 0:05 and 0:06, it quickly retracts toward the debris on the right side of the frame, resulting in a condensed, oval/ball-like shape that is clearly visible by 0:08. This sudden change in body length and morphology is a definitive contraction.</t>
  </si>
  <si>
    <t>yes/100/At 0:05, the stentor undergoes a rapid and complete contraction. From 0:00 to 0:04, the organism is visible in an elongated, trumpet-like state extending diagonally across the frame. Between frames 0:04 and 0:05, it suddenly retracts toward the right side of the frame, significantly shortening its body length and assuming a more condensed, spindle-like form. This sudden reduction in length is a definitive example of a quick contraction.</t>
  </si>
  <si>
    <t>yes/85/Beginning at 0:03, the stentor starts a slow and steady reduction in its body length. By 0:09, the distance between the "head" and the "tail" has clearly decreased compared to the initial frames, resulting in a more condensed, spindle-like shape rather than its original extended trumpet-like form. This aligns with the "slow contraction" behavior described in the instructions (similar to reference image b.jpg).</t>
  </si>
  <si>
    <t>no/0/The stentor remains in a consistent, elongated column-like shape for the duration of the video. While there are subtle changes in its internal density and minor swaying against the debris, the distance between the "head" and the "tail" does not noticeably decrease. The organism does not transition into a condensed ball-like or spindle-like shape, indicating that no contraction behavior occurs during this 9-second interval.</t>
  </si>
  <si>
    <t>yes/98/At approximately 0:04, the stentor positioned in the lower-left quadrant undergoes a rapid, high-magnitude contraction. It transitions instantly from its extended trumpet-like form into a condensed, ball-like shape that is pulled down toward the debris at the bottom left of the frame. The organism remains in this contracted state for the remainder of the video.</t>
  </si>
  <si>
    <t>yes/100/At approximately 0:05, the stentor undergoes a rapid and dramatic change in morphology, transitioning from an extended trumpet-like shape to a condensed, ball-like shape. This behavior matches the typical contraction profile where the distance between the "head" and "tail" is minimized almost instantly.</t>
  </si>
  <si>
    <t>no/0/The stentor remains in a condensed, ball-like shape for the duration of the video. While the organism is visible at the beginning and end of the clip, it does not transition from an extended trumpet-like shape to a shortened one. Instead, it appears to already be in a contracted or resting spherical state, with no "head-to-tail" shortening observed during the 9-second interval. Therefore, no contraction behavior occurs within the timeframe of this video.</t>
  </si>
  <si>
    <t>no/0/The stentor remains in a condensed, ball-like state throughout the entire video. While there is slight movement and a change in the orientation of the organism, it does not transition from an extended trumpet-like shape to a contracted one. Since the organism is already in its shortest form at the start and does not exhibit any further clear reduction in length, no contraction occurs within the duration of this clip.</t>
  </si>
  <si>
    <t>yes/100/At 0:05, the stentor undergoes a rapid and complete contraction. From 0:00 to 0:04, it is clearly visible in its extended trumpet-like state, stretching diagonally across the frame. Between frames 0:04 and 0:05, the organism suddenly retracts toward the lower-right corner, leaving its previous position empty and assuming a condensed, ball-like shape near the debris. This sudden reduction in length and change in morphology is a definitive contraction.</t>
  </si>
  <si>
    <t>no/0/The stentor remains in a consistent state throughout the video. In the center-left, an extended, trumpet-like stentor is visible but stays fully elongated without any reduction in length. To its right, a second stentor is seen in a more condensed, teardrop shape; however, it does not undergo any further change in shape or size during the 9-second clip. Since neither organism transitions from an extended state to a shorter one, no contraction occurs.</t>
  </si>
  <si>
    <t>Selected Hard Cases Recalls</t>
  </si>
  <si>
    <t>Recall (C)</t>
  </si>
  <si>
    <t>Specificity (ABD)</t>
  </si>
  <si>
    <t xml:space="preserve">Overall (26 samples) </t>
  </si>
  <si>
    <t>Quick</t>
  </si>
  <si>
    <t>Shortening</t>
  </si>
  <si>
    <t>Dubious</t>
  </si>
  <si>
    <t>6n</t>
    <phoneticPr fontId="1" type="noConversion"/>
  </si>
  <si>
    <t>6t</t>
  </si>
  <si>
    <t>6</t>
    <phoneticPr fontId="1" type="noConversion"/>
  </si>
  <si>
    <t>6c</t>
  </si>
  <si>
    <t>p</t>
    <phoneticPr fontId="1" type="noConversion"/>
  </si>
  <si>
    <t>235B -instruct</t>
    <phoneticPr fontId="1" type="noConversion"/>
  </si>
  <si>
    <t>250</t>
    <phoneticPr fontId="1" type="noConversion"/>
  </si>
  <si>
    <t>136</t>
    <phoneticPr fontId="1" type="noConversion"/>
  </si>
  <si>
    <t>136 non seg</t>
    <phoneticPr fontId="1" type="noConversion"/>
  </si>
  <si>
    <t>F1</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</si>
</sst>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22">
    <font>
      <sz val="12"/>
      <color theme="1"/>
      <name val="新細明體"/>
      <family val="2"/>
      <charset val="136"/>
      <scheme val="minor"/>
    </font>
    <font>
      <sz val="9"/>
      <name val="新細明體"/>
      <family val="2"/>
      <charset val="136"/>
      <scheme val="minor"/>
    </font>
    <font>
      <sz val="13"/>
      <color theme="1"/>
      <name val="新細明體"/>
      <family val="1"/>
      <charset val="136"/>
      <scheme val="minor"/>
    </font>
    <font>
      <sz val="12"/>
      <color rgb="FFFF0000"/>
      <name val="新細明體"/>
      <family val="2"/>
      <charset val="136"/>
      <scheme val="minor"/>
    </font>
    <font>
      <sz val="12"/>
      <color rgb="FF000000"/>
      <name val="新細明體"/>
      <family val="1"/>
      <charset val="136"/>
      <scheme val="minor"/>
    </font>
    <font>
      <sz val="12"/>
      <name val="新細明體"/>
      <family val="1"/>
      <charset val="136"/>
      <scheme val="minor"/>
    </font>
    <font>
      <sz val="13"/>
      <color rgb="FFFF0000"/>
      <name val="新細明體"/>
      <family val="1"/>
      <charset val="136"/>
      <scheme val="minor"/>
    </font>
    <font>
      <sz val="12"/>
      <color rgb="FFC00000"/>
      <name val="新細明體"/>
      <family val="2"/>
      <charset val="136"/>
      <scheme val="minor"/>
    </font>
    <font>
      <sz val="12"/>
      <name val="新細明體"/>
      <family val="2"/>
      <charset val="136"/>
      <scheme val="minor"/>
    </font>
    <font>
      <sz val="13"/>
      <name val="新細明體"/>
      <family val="1"/>
      <charset val="136"/>
      <scheme val="minor"/>
    </font>
    <font>
      <sz val="12"/>
      <color theme="9"/>
      <name val="新細明體"/>
      <family val="1"/>
      <charset val="136"/>
      <scheme val="minor"/>
    </font>
    <font>
      <sz val="12"/>
      <color theme="1"/>
      <name val="新細明體"/>
      <family val="1"/>
      <charset val="136"/>
      <scheme val="minor"/>
    </font>
    <font>
      <sz val="12"/>
      <color theme="3"/>
      <name val="新細明體"/>
      <family val="1"/>
      <charset val="136"/>
      <scheme val="minor"/>
    </font>
    <font>
      <b/>
      <sz val="12"/>
      <color theme="1"/>
      <name val="新細明體"/>
      <family val="1"/>
      <charset val="136"/>
      <scheme val="minor"/>
    </font>
    <font>
      <b/>
      <i/>
      <sz val="12"/>
      <color theme="1"/>
      <name val="新細明體"/>
      <family val="1"/>
      <charset val="136"/>
      <scheme val="minor"/>
    </font>
    <font>
      <i/>
      <sz val="12"/>
      <color theme="1"/>
      <name val="新細明體"/>
      <family val="1"/>
      <charset val="136"/>
      <scheme val="minor"/>
    </font>
    <font>
      <i/>
      <sz val="12"/>
      <name val="新細明體"/>
      <family val="1"/>
      <charset val="136"/>
      <scheme val="minor"/>
    </font>
    <font>
      <i/>
      <sz val="12"/>
      <color rgb="FF000000"/>
      <name val="新細明體"/>
      <family val="1"/>
      <charset val="136"/>
      <scheme val="minor"/>
    </font>
    <font>
      <sz val="12"/>
      <color rgb="FF000000"/>
      <name val="Arial"/>
      <family val="2"/>
    </font>
    <font>
      <b/>
      <sz val="12"/>
      <color rgb="FF000000"/>
      <name val="Arial"/>
      <family val="2"/>
    </font>
    <font>
      <sz val="12"/>
      <color rgb="FF1F1F1F"/>
      <name val="Arial"/>
      <family val="2"/>
    </font>
    <font>
      <b/>
      <sz val="12"/>
      <name val="新細明體"/>
      <family val="1"/>
      <charset val="136"/>
      <scheme val="minor"/>
    </font>
  </fonts>
  <fills count="14">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FF00"/>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4" tint="0.79998168889431442"/>
        <bgColor indexed="64"/>
      </patternFill>
    </fill>
  </fills>
  <borders count="1">
    <border>
      <left/>
      <right/>
      <top/>
      <bottom/>
      <diagonal/>
    </border>
  </borders>
  <cellStyleXfs count="1">
    <xf numFmtId="0" fontId="0" fillId="0" borderId="0">
      <alignment vertical="center"/>
    </xf>
  </cellStyleXfs>
  <cellXfs count="52">
    <xf numFmtId="0" fontId="0" fillId="0" borderId="0" xfId="0">
      <alignment vertical="center"/>
    </xf>
    <xf numFmtId="0" fontId="2" fillId="0" borderId="0" xfId="0" applyFont="1">
      <alignment vertical="center"/>
    </xf>
    <xf numFmtId="0" fontId="3" fillId="0" borderId="0" xfId="0" applyFont="1">
      <alignment vertical="center"/>
    </xf>
    <xf numFmtId="0" fontId="5" fillId="2" borderId="0" xfId="0" applyFont="1" applyFill="1">
      <alignment vertical="center"/>
    </xf>
    <xf numFmtId="0" fontId="0" fillId="3" borderId="0" xfId="0" applyFill="1">
      <alignment vertical="center"/>
    </xf>
    <xf numFmtId="0" fontId="5" fillId="0" borderId="0" xfId="0" applyFont="1">
      <alignment vertical="center"/>
    </xf>
    <xf numFmtId="0" fontId="4" fillId="0" borderId="0" xfId="0" applyFont="1">
      <alignment vertical="center"/>
    </xf>
    <xf numFmtId="0" fontId="0" fillId="2" borderId="0" xfId="0" applyFill="1">
      <alignment vertical="center"/>
    </xf>
    <xf numFmtId="0" fontId="5" fillId="4" borderId="0" xfId="0" applyFont="1" applyFill="1">
      <alignment vertical="center"/>
    </xf>
    <xf numFmtId="0" fontId="0" fillId="5" borderId="0" xfId="0" applyFill="1">
      <alignment vertical="center"/>
    </xf>
    <xf numFmtId="0" fontId="0" fillId="4" borderId="0" xfId="0" applyFill="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0" fillId="0" borderId="0" xfId="0" applyAlignment="1">
      <alignment vertical="center" wrapText="1"/>
    </xf>
    <xf numFmtId="0" fontId="10" fillId="0" borderId="0" xfId="0" applyFont="1">
      <alignment vertical="center"/>
    </xf>
    <xf numFmtId="0" fontId="11" fillId="0" borderId="0" xfId="0" applyFont="1">
      <alignment vertical="center"/>
    </xf>
    <xf numFmtId="0" fontId="12" fillId="0" borderId="0" xfId="0" applyFont="1">
      <alignment vertical="center"/>
    </xf>
    <xf numFmtId="0" fontId="3" fillId="8" borderId="0" xfId="0" applyFont="1" applyFill="1">
      <alignment vertical="center"/>
    </xf>
    <xf numFmtId="0" fontId="15" fillId="9" borderId="0" xfId="0" applyFont="1" applyFill="1">
      <alignment vertical="center"/>
    </xf>
    <xf numFmtId="0" fontId="16" fillId="9" borderId="0" xfId="0" applyFont="1" applyFill="1">
      <alignment vertical="center"/>
    </xf>
    <xf numFmtId="0" fontId="17" fillId="9" borderId="0" xfId="0" applyFont="1" applyFill="1">
      <alignment vertical="center"/>
    </xf>
    <xf numFmtId="0" fontId="18" fillId="0" borderId="0" xfId="0" applyFont="1">
      <alignment vertical="center"/>
    </xf>
    <xf numFmtId="0" fontId="20" fillId="0" borderId="0" xfId="0" applyFont="1">
      <alignment vertical="center"/>
    </xf>
    <xf numFmtId="0" fontId="16" fillId="0" borderId="0" xfId="0" applyFont="1">
      <alignment vertical="center"/>
    </xf>
    <xf numFmtId="176" fontId="0" fillId="0" borderId="0" xfId="0" applyNumberFormat="1">
      <alignment vertical="center"/>
    </xf>
    <xf numFmtId="176" fontId="5" fillId="6" borderId="0" xfId="0" applyNumberFormat="1" applyFont="1" applyFill="1">
      <alignment vertical="center"/>
    </xf>
    <xf numFmtId="176" fontId="0" fillId="7" borderId="0" xfId="0" applyNumberFormat="1" applyFill="1">
      <alignment vertical="center"/>
    </xf>
    <xf numFmtId="176" fontId="16" fillId="9" borderId="0" xfId="0" applyNumberFormat="1" applyFont="1" applyFill="1">
      <alignment vertical="center"/>
    </xf>
    <xf numFmtId="176" fontId="16" fillId="0" borderId="0" xfId="0" applyNumberFormat="1" applyFont="1">
      <alignment vertical="center"/>
    </xf>
    <xf numFmtId="0" fontId="13" fillId="0" borderId="0" xfId="0" applyFont="1">
      <alignment vertical="center"/>
    </xf>
    <xf numFmtId="176" fontId="13" fillId="0" borderId="0" xfId="0" applyNumberFormat="1" applyFont="1">
      <alignment vertical="center"/>
    </xf>
    <xf numFmtId="176" fontId="11" fillId="0" borderId="0" xfId="0" applyNumberFormat="1" applyFont="1">
      <alignment vertical="center"/>
    </xf>
    <xf numFmtId="176" fontId="15" fillId="9" borderId="0" xfId="0" applyNumberFormat="1" applyFont="1" applyFill="1">
      <alignment vertical="center"/>
    </xf>
    <xf numFmtId="176" fontId="0" fillId="10" borderId="0" xfId="0" applyNumberFormat="1" applyFill="1">
      <alignment vertical="center"/>
    </xf>
    <xf numFmtId="0" fontId="13" fillId="5" borderId="0" xfId="0" applyFont="1" applyFill="1">
      <alignment vertical="center"/>
    </xf>
    <xf numFmtId="0" fontId="0" fillId="11" borderId="0" xfId="0" applyFill="1">
      <alignment vertical="center"/>
    </xf>
    <xf numFmtId="49" fontId="13" fillId="0" borderId="0" xfId="0" applyNumberFormat="1" applyFont="1">
      <alignment vertical="center"/>
    </xf>
    <xf numFmtId="49" fontId="13" fillId="0" borderId="0" xfId="0" applyNumberFormat="1" applyFont="1" applyAlignment="1">
      <alignment vertical="center" wrapText="1"/>
    </xf>
    <xf numFmtId="0" fontId="13" fillId="2" borderId="0" xfId="0" applyFont="1" applyFill="1">
      <alignment vertical="center"/>
    </xf>
    <xf numFmtId="0" fontId="13" fillId="9" borderId="0" xfId="0" applyFont="1" applyFill="1">
      <alignment vertical="center"/>
    </xf>
    <xf numFmtId="0" fontId="13" fillId="12" borderId="0" xfId="0" applyFont="1" applyFill="1">
      <alignment vertical="center"/>
    </xf>
    <xf numFmtId="0" fontId="13" fillId="13" borderId="0" xfId="0" applyFont="1" applyFill="1">
      <alignment vertical="center"/>
    </xf>
    <xf numFmtId="0" fontId="0" fillId="11" borderId="0" xfId="0" quotePrefix="1" applyFill="1">
      <alignment vertical="center"/>
    </xf>
    <xf numFmtId="0" fontId="0" fillId="0" borderId="0" xfId="0" quotePrefix="1">
      <alignment vertical="center"/>
    </xf>
    <xf numFmtId="49" fontId="11" fillId="0" borderId="0" xfId="0" applyNumberFormat="1" applyFont="1" applyAlignment="1">
      <alignment vertical="center" wrapText="1"/>
    </xf>
    <xf numFmtId="0" fontId="21" fillId="2" borderId="0" xfId="0" applyFont="1" applyFill="1">
      <alignment vertical="center"/>
    </xf>
    <xf numFmtId="0" fontId="21" fillId="4" borderId="0" xfId="0" applyFont="1" applyFill="1">
      <alignment vertical="center"/>
    </xf>
    <xf numFmtId="0" fontId="13" fillId="3" borderId="0" xfId="0" applyFont="1" applyFill="1">
      <alignment vertical="center"/>
    </xf>
    <xf numFmtId="0" fontId="13" fillId="0" borderId="0" xfId="0" applyFont="1" applyAlignment="1">
      <alignment horizontal="center" vertical="center"/>
    </xf>
    <xf numFmtId="0" fontId="14" fillId="9" borderId="0" xfId="0" applyFont="1" applyFill="1" applyAlignment="1">
      <alignment horizontal="center" vertical="center"/>
    </xf>
  </cellXfs>
  <cellStyles count="1">
    <cellStyle name="一般" xfId="0" builtinId="0"/>
  </cellStyles>
  <dxfs count="161">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B7401-EB21-F648-8E04-E4517C78BEB2}">
  <dimension ref="A2:O42"/>
  <sheetViews>
    <sheetView topLeftCell="A18" workbookViewId="0">
      <selection activeCell="N45" sqref="H28:N45"/>
    </sheetView>
  </sheetViews>
  <sheetFormatPr baseColWidth="10" defaultRowHeight="15"/>
  <cols>
    <col min="1" max="1" width="16" customWidth="1"/>
  </cols>
  <sheetData>
    <row r="2" spans="1:13" s="39" customFormat="1" ht="23" customHeight="1">
      <c r="A2" s="39" t="s">
        <v>2048</v>
      </c>
      <c r="B2" s="39">
        <v>1</v>
      </c>
      <c r="C2" s="39">
        <v>2</v>
      </c>
      <c r="D2" s="39">
        <v>2</v>
      </c>
      <c r="E2" s="39">
        <v>3</v>
      </c>
      <c r="F2" s="39">
        <v>4</v>
      </c>
      <c r="G2" s="39">
        <v>5</v>
      </c>
      <c r="H2" s="39" t="s">
        <v>3139</v>
      </c>
      <c r="I2" s="39" t="s">
        <v>3140</v>
      </c>
      <c r="J2" s="39" t="s">
        <v>1528</v>
      </c>
    </row>
    <row r="3" spans="1:13" s="39" customFormat="1" ht="16">
      <c r="A3" s="39" t="s">
        <v>3105</v>
      </c>
      <c r="B3" s="39" t="s">
        <v>3106</v>
      </c>
      <c r="C3" s="39" t="s">
        <v>3107</v>
      </c>
      <c r="D3" s="39" t="s">
        <v>3107</v>
      </c>
      <c r="E3" s="39" t="s">
        <v>3107</v>
      </c>
      <c r="F3" s="39" t="s">
        <v>3107</v>
      </c>
      <c r="G3" s="39" t="s">
        <v>3107</v>
      </c>
      <c r="H3" s="39" t="s">
        <v>3108</v>
      </c>
      <c r="I3" s="39" t="s">
        <v>3108</v>
      </c>
      <c r="J3" s="39" t="s">
        <v>3108</v>
      </c>
    </row>
    <row r="4" spans="1:13" s="31" customFormat="1">
      <c r="A4" s="31" t="s">
        <v>512</v>
      </c>
      <c r="B4" s="31" t="s">
        <v>2049</v>
      </c>
      <c r="C4" s="31" t="s">
        <v>2049</v>
      </c>
      <c r="D4" s="31" t="s">
        <v>2051</v>
      </c>
      <c r="E4" s="31" t="s">
        <v>2051</v>
      </c>
      <c r="F4" s="31" t="s">
        <v>2051</v>
      </c>
      <c r="G4" s="31" t="s">
        <v>2051</v>
      </c>
      <c r="H4" s="31" t="s">
        <v>2051</v>
      </c>
      <c r="I4" s="31" t="s">
        <v>2051</v>
      </c>
      <c r="J4" s="31" t="s">
        <v>2050</v>
      </c>
    </row>
    <row r="5" spans="1:13" s="31" customFormat="1">
      <c r="A5" s="31" t="s">
        <v>3082</v>
      </c>
      <c r="B5" s="31" t="s">
        <v>2840</v>
      </c>
      <c r="C5" s="31" t="s">
        <v>2840</v>
      </c>
      <c r="D5" s="31" t="s">
        <v>2840</v>
      </c>
      <c r="E5" s="31" t="s">
        <v>2840</v>
      </c>
      <c r="F5" s="31" t="s">
        <v>2840</v>
      </c>
      <c r="G5" s="31" t="s">
        <v>2840</v>
      </c>
      <c r="H5" s="31" t="s">
        <v>2840</v>
      </c>
      <c r="I5" s="31" t="s">
        <v>2840</v>
      </c>
      <c r="J5" s="31" t="s">
        <v>2840</v>
      </c>
    </row>
    <row r="6" spans="1:13" s="38" customFormat="1">
      <c r="A6" s="38" t="s">
        <v>2837</v>
      </c>
      <c r="B6" s="38" t="s">
        <v>3143</v>
      </c>
      <c r="C6" s="38" t="s">
        <v>3143</v>
      </c>
      <c r="D6" s="38" t="s">
        <v>3143</v>
      </c>
      <c r="E6" s="38" t="s">
        <v>3144</v>
      </c>
      <c r="F6" s="38" t="s">
        <v>3144</v>
      </c>
      <c r="G6" s="38" t="s">
        <v>3144</v>
      </c>
      <c r="H6" s="38" t="s">
        <v>3144</v>
      </c>
      <c r="I6" s="38" t="s">
        <v>3144</v>
      </c>
      <c r="J6" s="38" t="s">
        <v>3144</v>
      </c>
    </row>
    <row r="7" spans="1:13" s="26" customFormat="1">
      <c r="A7" s="32" t="s">
        <v>3131</v>
      </c>
      <c r="B7" s="26">
        <v>0.63120567375886527</v>
      </c>
      <c r="C7" s="26">
        <v>0.6028368794326241</v>
      </c>
      <c r="D7" s="26">
        <v>0.67375886524822692</v>
      </c>
      <c r="E7" s="26">
        <v>0.68831168831168832</v>
      </c>
      <c r="F7" s="26">
        <v>0.74025974025974028</v>
      </c>
      <c r="G7" s="26">
        <v>0.79220779220779225</v>
      </c>
      <c r="H7" s="26" t="s">
        <v>3078</v>
      </c>
      <c r="I7" s="35">
        <v>0.66666666666666663</v>
      </c>
      <c r="J7" s="26">
        <v>0.80519480519480524</v>
      </c>
    </row>
    <row r="8" spans="1:13" s="26" customFormat="1">
      <c r="A8" s="32" t="s">
        <v>3132</v>
      </c>
      <c r="B8" s="26">
        <v>0.7466666666666667</v>
      </c>
      <c r="C8" s="26">
        <v>0.77631578947368418</v>
      </c>
      <c r="D8" s="26">
        <v>0.8</v>
      </c>
      <c r="E8" s="26" t="e">
        <v>#DIV/0!</v>
      </c>
      <c r="F8" s="26" t="s">
        <v>3141</v>
      </c>
      <c r="G8" s="26">
        <v>0.77192982456140347</v>
      </c>
      <c r="H8" s="26" t="s">
        <v>3078</v>
      </c>
      <c r="I8" s="26" t="s">
        <v>3078</v>
      </c>
      <c r="J8" s="26">
        <v>0.81</v>
      </c>
    </row>
    <row r="9" spans="1:13" s="26" customFormat="1">
      <c r="A9" s="32"/>
      <c r="B9" s="33">
        <v>0.71485943775100402</v>
      </c>
      <c r="C9" s="33">
        <v>0.69958847736625518</v>
      </c>
      <c r="D9" s="33">
        <v>0.75697211155378485</v>
      </c>
      <c r="G9" s="33">
        <v>0.80794701986754969</v>
      </c>
      <c r="J9" s="33">
        <v>0.8920863309352518</v>
      </c>
    </row>
    <row r="10" spans="1:13" s="26" customFormat="1">
      <c r="A10" s="26" t="s">
        <v>3130</v>
      </c>
    </row>
    <row r="11" spans="1:13" s="33" customFormat="1">
      <c r="A11" s="32" t="s">
        <v>3133</v>
      </c>
      <c r="G11" s="33">
        <v>0.42307692307692307</v>
      </c>
      <c r="H11" s="33">
        <v>0.42307692307692307</v>
      </c>
      <c r="I11" s="33">
        <v>0.34615384615384615</v>
      </c>
      <c r="J11" s="33">
        <v>0.42307692307692307</v>
      </c>
    </row>
    <row r="12" spans="1:13" s="33" customFormat="1">
      <c r="A12" s="32" t="s">
        <v>3134</v>
      </c>
      <c r="G12" s="33">
        <v>0.66666666666666663</v>
      </c>
      <c r="H12" s="33">
        <v>0.66666666666666663</v>
      </c>
      <c r="I12" s="33">
        <v>0.55555555555555558</v>
      </c>
      <c r="J12" s="33">
        <v>0.55555555555555558</v>
      </c>
    </row>
    <row r="13" spans="1:13" s="33" customFormat="1">
      <c r="A13" s="32" t="s">
        <v>3135</v>
      </c>
      <c r="G13" s="33">
        <v>0.14285714285714285</v>
      </c>
      <c r="H13" s="33">
        <v>0.2857142857142857</v>
      </c>
      <c r="I13" s="33">
        <v>0.2857142857142857</v>
      </c>
      <c r="J13" s="33">
        <v>0.42857142857142855</v>
      </c>
    </row>
    <row r="14" spans="1:13" s="33" customFormat="1">
      <c r="A14" s="32" t="s">
        <v>3136</v>
      </c>
      <c r="G14" s="33">
        <v>0.44444444444444442</v>
      </c>
      <c r="H14" s="33">
        <v>0.33333333333333331</v>
      </c>
      <c r="I14" s="33">
        <v>0.22222222222222221</v>
      </c>
      <c r="J14" s="33">
        <v>0.33333333333333331</v>
      </c>
    </row>
    <row r="15" spans="1:13">
      <c r="H15" s="39"/>
      <c r="I15" s="39"/>
      <c r="J15" s="39"/>
      <c r="K15" s="39"/>
      <c r="L15" s="39"/>
      <c r="M15" s="39"/>
    </row>
    <row r="16" spans="1:13" ht="16">
      <c r="A16" s="39" t="s">
        <v>2048</v>
      </c>
      <c r="B16" s="39" t="s">
        <v>3138</v>
      </c>
      <c r="C16" s="39" t="s">
        <v>3138</v>
      </c>
      <c r="D16" s="39" t="s">
        <v>3138</v>
      </c>
      <c r="E16" s="39" t="s">
        <v>3138</v>
      </c>
      <c r="F16" s="39" t="s">
        <v>3138</v>
      </c>
      <c r="G16" s="39" t="s">
        <v>3138</v>
      </c>
    </row>
    <row r="17" spans="1:15" ht="16">
      <c r="A17" s="39" t="s">
        <v>3105</v>
      </c>
      <c r="B17" s="39" t="s">
        <v>3106</v>
      </c>
      <c r="C17" s="39" t="s">
        <v>3106</v>
      </c>
      <c r="D17" s="39" t="s">
        <v>3106</v>
      </c>
      <c r="E17" s="39" t="s">
        <v>3106</v>
      </c>
      <c r="F17" s="39" t="s">
        <v>3106</v>
      </c>
      <c r="G17" s="39" t="s">
        <v>3106</v>
      </c>
    </row>
    <row r="18" spans="1:15">
      <c r="A18" s="31" t="s">
        <v>512</v>
      </c>
      <c r="B18" s="36" t="s">
        <v>2218</v>
      </c>
      <c r="C18" s="41" t="s">
        <v>2219</v>
      </c>
      <c r="D18" s="41" t="s">
        <v>2675</v>
      </c>
      <c r="E18" s="41" t="s">
        <v>2675</v>
      </c>
      <c r="F18" s="41" t="s">
        <v>2675</v>
      </c>
      <c r="G18" s="41" t="s">
        <v>2675</v>
      </c>
      <c r="N18" s="39"/>
      <c r="O18" s="39"/>
    </row>
    <row r="19" spans="1:15">
      <c r="A19" s="31" t="s">
        <v>3082</v>
      </c>
      <c r="B19" s="43" t="s">
        <v>3083</v>
      </c>
      <c r="C19" s="43" t="s">
        <v>3083</v>
      </c>
      <c r="D19" s="43" t="s">
        <v>3083</v>
      </c>
      <c r="E19" s="43" t="s">
        <v>3083</v>
      </c>
      <c r="F19" s="42" t="s">
        <v>3084</v>
      </c>
      <c r="G19" s="42" t="s">
        <v>3084</v>
      </c>
      <c r="N19" s="39"/>
      <c r="O19" s="39"/>
    </row>
    <row r="20" spans="1:15">
      <c r="A20" s="38" t="s">
        <v>2837</v>
      </c>
      <c r="B20" s="38" t="s">
        <v>3144</v>
      </c>
      <c r="C20" s="38" t="s">
        <v>3144</v>
      </c>
      <c r="D20" s="38" t="s">
        <v>3144</v>
      </c>
      <c r="E20" s="38" t="s">
        <v>3144</v>
      </c>
      <c r="F20" s="38" t="s">
        <v>3144</v>
      </c>
      <c r="G20" s="38" t="s">
        <v>3145</v>
      </c>
    </row>
    <row r="21" spans="1:15">
      <c r="A21" s="32" t="s">
        <v>3131</v>
      </c>
      <c r="B21" s="26">
        <v>0.66233766233766234</v>
      </c>
      <c r="C21" s="26">
        <v>0.8441558441558441</v>
      </c>
      <c r="D21" s="26">
        <v>0.8441558441558441</v>
      </c>
      <c r="E21" s="26">
        <v>0.9</v>
      </c>
      <c r="F21" s="26">
        <v>0.8441558441558441</v>
      </c>
      <c r="G21" s="26">
        <v>0.87</v>
      </c>
    </row>
    <row r="22" spans="1:15">
      <c r="A22" s="32" t="s">
        <v>3132</v>
      </c>
      <c r="B22" s="26">
        <v>0.49122807017543857</v>
      </c>
      <c r="C22" s="26">
        <v>0.56140350877192979</v>
      </c>
      <c r="D22" s="26">
        <v>0.6</v>
      </c>
      <c r="E22" s="26">
        <v>0.49</v>
      </c>
      <c r="F22" s="26">
        <v>0.56140350877193002</v>
      </c>
      <c r="G22" s="26">
        <v>0.46</v>
      </c>
      <c r="N22" s="38"/>
      <c r="O22" s="38"/>
    </row>
    <row r="23" spans="1:15">
      <c r="A23" s="32" t="s">
        <v>3146</v>
      </c>
      <c r="B23" s="26">
        <v>0.64968152866242035</v>
      </c>
      <c r="C23" s="26">
        <v>0.78</v>
      </c>
      <c r="D23" s="26">
        <v>0.78787878787878785</v>
      </c>
      <c r="E23" s="26">
        <v>0.79</v>
      </c>
      <c r="F23" s="26">
        <v>0.78</v>
      </c>
      <c r="G23" s="26">
        <v>0.76571428571428568</v>
      </c>
      <c r="N23" s="38"/>
      <c r="O23" s="38"/>
    </row>
    <row r="24" spans="1:15" s="26" customFormat="1">
      <c r="A24" s="26" t="s">
        <v>3130</v>
      </c>
    </row>
    <row r="25" spans="1:15">
      <c r="A25" s="32" t="s">
        <v>3133</v>
      </c>
      <c r="B25" s="33">
        <v>0.61538461538461542</v>
      </c>
      <c r="C25" s="33">
        <v>0.57692307692307687</v>
      </c>
      <c r="D25" s="33">
        <v>0.57692307692307687</v>
      </c>
      <c r="E25" s="33">
        <v>0.69230769230769229</v>
      </c>
      <c r="F25" s="33">
        <v>0.53846153846153844</v>
      </c>
      <c r="G25" s="33">
        <v>0.65384615384615385</v>
      </c>
      <c r="N25" s="26"/>
      <c r="O25" s="26"/>
    </row>
    <row r="26" spans="1:15">
      <c r="A26" s="32" t="s">
        <v>3134</v>
      </c>
      <c r="B26" s="33">
        <v>0.77777777777777779</v>
      </c>
      <c r="C26" s="33">
        <v>0.77777777777777779</v>
      </c>
      <c r="D26" s="33">
        <v>0.77777777777777779</v>
      </c>
      <c r="E26" s="33">
        <v>0.88888888888888884</v>
      </c>
      <c r="F26" s="33">
        <v>0.66666666666666663</v>
      </c>
      <c r="G26" s="33">
        <v>0.77777777777777779</v>
      </c>
      <c r="H26" s="33"/>
      <c r="I26" s="33"/>
      <c r="J26" s="33"/>
      <c r="K26" s="33"/>
      <c r="L26" s="33"/>
      <c r="M26" s="33"/>
    </row>
    <row r="27" spans="1:15">
      <c r="A27" s="32" t="s">
        <v>3135</v>
      </c>
      <c r="B27" s="33">
        <v>0.42857142857142855</v>
      </c>
      <c r="C27" s="33">
        <v>0.42857142857142855</v>
      </c>
      <c r="D27" s="33">
        <v>0.14285714285714285</v>
      </c>
      <c r="E27" s="33">
        <v>0.2857142857142857</v>
      </c>
      <c r="F27" s="33">
        <v>0.14285714285714285</v>
      </c>
      <c r="G27" s="33">
        <v>0.2857142857142857</v>
      </c>
      <c r="H27" s="33"/>
      <c r="I27" s="33"/>
      <c r="J27" s="33"/>
      <c r="K27" s="33"/>
      <c r="L27" s="33"/>
      <c r="M27" s="33"/>
      <c r="N27" s="33"/>
      <c r="O27" s="33"/>
    </row>
    <row r="28" spans="1:15">
      <c r="A28" s="32" t="s">
        <v>3136</v>
      </c>
      <c r="B28" s="33">
        <v>0.55555555555555558</v>
      </c>
      <c r="C28" s="33">
        <v>0.55555555555555558</v>
      </c>
      <c r="D28" s="33">
        <v>0.66666666666666663</v>
      </c>
      <c r="E28" s="33">
        <v>0.77777777777777779</v>
      </c>
      <c r="F28" s="33">
        <v>0.66666666666666663</v>
      </c>
      <c r="G28" s="33">
        <v>0.77777777777777779</v>
      </c>
      <c r="O28" s="33"/>
    </row>
    <row r="29" spans="1:15">
      <c r="A29" s="32"/>
      <c r="O29" s="33"/>
    </row>
    <row r="30" spans="1:15" ht="16">
      <c r="A30" s="39" t="s">
        <v>2048</v>
      </c>
      <c r="B30" s="39" t="s">
        <v>3138</v>
      </c>
      <c r="C30" s="39" t="s">
        <v>3138</v>
      </c>
      <c r="D30" s="39" t="s">
        <v>3138</v>
      </c>
      <c r="E30" s="39" t="s">
        <v>3138</v>
      </c>
      <c r="F30" s="39" t="s">
        <v>3137</v>
      </c>
      <c r="G30" s="39" t="s">
        <v>3137</v>
      </c>
      <c r="O30" s="33"/>
    </row>
    <row r="31" spans="1:15" ht="16">
      <c r="A31" s="39" t="s">
        <v>3105</v>
      </c>
      <c r="B31" s="39" t="s">
        <v>3106</v>
      </c>
      <c r="C31" s="39" t="s">
        <v>3106</v>
      </c>
      <c r="D31" s="39" t="s">
        <v>3106</v>
      </c>
      <c r="E31" s="39" t="s">
        <v>3106</v>
      </c>
      <c r="F31" s="39" t="s">
        <v>3106</v>
      </c>
      <c r="G31" s="39" t="s">
        <v>3106</v>
      </c>
    </row>
    <row r="32" spans="1:15">
      <c r="A32" s="31" t="s">
        <v>512</v>
      </c>
      <c r="B32" s="40" t="s">
        <v>2217</v>
      </c>
      <c r="C32" s="40" t="s">
        <v>2217</v>
      </c>
      <c r="D32" s="40" t="s">
        <v>2217</v>
      </c>
      <c r="E32" s="40" t="s">
        <v>2217</v>
      </c>
      <c r="F32" s="40" t="s">
        <v>2217</v>
      </c>
      <c r="G32" s="49" t="s">
        <v>3142</v>
      </c>
    </row>
    <row r="33" spans="1:7">
      <c r="A33" s="31" t="s">
        <v>3082</v>
      </c>
      <c r="B33" s="42" t="s">
        <v>3084</v>
      </c>
      <c r="C33" s="42" t="s">
        <v>3084</v>
      </c>
      <c r="D33" s="42" t="s">
        <v>3084</v>
      </c>
      <c r="E33" s="42" t="s">
        <v>3084</v>
      </c>
      <c r="F33" s="42" t="s">
        <v>3084</v>
      </c>
      <c r="G33" s="42" t="s">
        <v>3084</v>
      </c>
    </row>
    <row r="34" spans="1:7">
      <c r="A34" s="38" t="s">
        <v>2837</v>
      </c>
      <c r="B34" s="38" t="s">
        <v>3144</v>
      </c>
      <c r="C34" s="38" t="s">
        <v>3144</v>
      </c>
      <c r="D34" s="38" t="s">
        <v>3144</v>
      </c>
      <c r="E34" s="38" t="s">
        <v>3145</v>
      </c>
      <c r="F34" s="38" t="s">
        <v>3144</v>
      </c>
      <c r="G34" s="38" t="s">
        <v>3144</v>
      </c>
    </row>
    <row r="35" spans="1:7">
      <c r="A35" s="32" t="s">
        <v>3131</v>
      </c>
      <c r="B35" s="35">
        <v>0.81</v>
      </c>
      <c r="C35" s="26">
        <v>0.79</v>
      </c>
      <c r="D35" s="26">
        <v>0.81</v>
      </c>
      <c r="E35" s="26">
        <v>0.79</v>
      </c>
      <c r="F35" s="26">
        <v>0.79</v>
      </c>
      <c r="G35" s="26">
        <v>0.77</v>
      </c>
    </row>
    <row r="36" spans="1:7">
      <c r="A36" s="32" t="s">
        <v>3132</v>
      </c>
      <c r="B36" s="26">
        <v>0.6</v>
      </c>
      <c r="C36" s="26">
        <v>0.65</v>
      </c>
      <c r="D36" s="26">
        <v>0.61</v>
      </c>
      <c r="E36" s="26">
        <v>0.57999999999999996</v>
      </c>
      <c r="F36" s="26">
        <v>0.68</v>
      </c>
      <c r="G36" s="26">
        <v>0.72</v>
      </c>
    </row>
    <row r="37" spans="1:7">
      <c r="A37" s="32" t="s">
        <v>3146</v>
      </c>
      <c r="B37" s="26">
        <v>0.76571428571428568</v>
      </c>
      <c r="C37" s="26">
        <v>0.76571428571428568</v>
      </c>
      <c r="D37" s="26">
        <v>0.76571428571428568</v>
      </c>
      <c r="E37" s="26">
        <v>0.75308641975308643</v>
      </c>
      <c r="F37" s="26">
        <v>0.78</v>
      </c>
      <c r="G37" s="26">
        <v>0.77631578947368418</v>
      </c>
    </row>
    <row r="38" spans="1:7" s="26" customFormat="1">
      <c r="A38" s="26" t="s">
        <v>3130</v>
      </c>
    </row>
    <row r="39" spans="1:7">
      <c r="A39" s="32" t="s">
        <v>3133</v>
      </c>
      <c r="B39" s="33">
        <v>0.42307692307692307</v>
      </c>
      <c r="C39" s="33">
        <v>0.38461538461538464</v>
      </c>
      <c r="D39" s="33">
        <v>0.42307692307692307</v>
      </c>
      <c r="E39" s="33">
        <v>0.38461538461538464</v>
      </c>
      <c r="F39" s="33">
        <v>0.42307692307692307</v>
      </c>
      <c r="G39" s="33">
        <v>0.34615384615384615</v>
      </c>
    </row>
    <row r="40" spans="1:7">
      <c r="A40" s="32" t="s">
        <v>3134</v>
      </c>
      <c r="B40" s="33">
        <v>0.55555555555555558</v>
      </c>
      <c r="C40" s="33">
        <v>0.66666666666666663</v>
      </c>
      <c r="D40" s="33">
        <v>0.66666666666666663</v>
      </c>
      <c r="E40" s="33">
        <v>0.66666666666666663</v>
      </c>
      <c r="F40" s="33">
        <v>0.66666666666666663</v>
      </c>
      <c r="G40" s="33">
        <v>0.77777777777777779</v>
      </c>
    </row>
    <row r="41" spans="1:7">
      <c r="A41" s="32" t="s">
        <v>3135</v>
      </c>
      <c r="B41" s="33">
        <v>0</v>
      </c>
      <c r="C41" s="33">
        <v>0</v>
      </c>
      <c r="D41" s="33">
        <v>0.14285714285714285</v>
      </c>
      <c r="E41" s="33">
        <v>0</v>
      </c>
      <c r="F41" s="33">
        <v>0</v>
      </c>
      <c r="G41" s="33">
        <v>0</v>
      </c>
    </row>
    <row r="42" spans="1:7">
      <c r="A42" s="32" t="s">
        <v>3136</v>
      </c>
      <c r="B42" s="33">
        <v>0.66666666666666663</v>
      </c>
      <c r="C42" s="33">
        <v>0.44444444444444442</v>
      </c>
      <c r="D42" s="33">
        <v>0.44444444444444442</v>
      </c>
      <c r="E42" s="33">
        <v>0.44444444444444442</v>
      </c>
      <c r="F42" s="33">
        <v>0.55555555555555558</v>
      </c>
      <c r="G42" s="33">
        <v>0.22222222222222221</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36374-79B3-A34D-9C3A-D16B28C1B151}">
  <dimension ref="A1:V16"/>
  <sheetViews>
    <sheetView zoomScaleNormal="115" workbookViewId="0">
      <pane xSplit="1" topLeftCell="K1" activePane="topRight" state="frozen"/>
      <selection pane="topRight" activeCell="Q2" sqref="Q2:V16"/>
    </sheetView>
  </sheetViews>
  <sheetFormatPr baseColWidth="10" defaultRowHeight="15"/>
  <cols>
    <col min="1" max="1" width="16" customWidth="1"/>
  </cols>
  <sheetData>
    <row r="1" spans="1:22">
      <c r="A1" t="s">
        <v>2054</v>
      </c>
    </row>
    <row r="2" spans="1:22" s="39" customFormat="1" ht="41" customHeight="1">
      <c r="A2" s="39" t="s">
        <v>2048</v>
      </c>
      <c r="B2" s="39">
        <v>1</v>
      </c>
      <c r="C2" s="39">
        <v>2</v>
      </c>
      <c r="D2" s="39">
        <v>2</v>
      </c>
      <c r="E2" s="39">
        <v>3</v>
      </c>
      <c r="F2" s="39">
        <v>4</v>
      </c>
      <c r="G2" s="39">
        <v>5</v>
      </c>
      <c r="H2" s="39" t="s">
        <v>2055</v>
      </c>
      <c r="I2" s="39">
        <v>6</v>
      </c>
      <c r="J2" s="39" t="s">
        <v>1528</v>
      </c>
      <c r="K2" s="39" t="s">
        <v>3094</v>
      </c>
      <c r="L2" s="39" t="s">
        <v>3081</v>
      </c>
      <c r="M2" s="39" t="s">
        <v>3081</v>
      </c>
      <c r="N2" s="39" t="s">
        <v>3080</v>
      </c>
      <c r="O2" s="39" t="s">
        <v>3080</v>
      </c>
      <c r="P2" s="39" t="s">
        <v>3080</v>
      </c>
      <c r="Q2" s="39" t="s">
        <v>3079</v>
      </c>
      <c r="R2" s="39" t="s">
        <v>3079</v>
      </c>
      <c r="S2" s="39" t="s">
        <v>3079</v>
      </c>
      <c r="T2" s="39" t="s">
        <v>3079</v>
      </c>
      <c r="U2" s="39" t="s">
        <v>3109</v>
      </c>
      <c r="V2" s="39" t="s">
        <v>3109</v>
      </c>
    </row>
    <row r="3" spans="1:22" s="46" customFormat="1" ht="32">
      <c r="A3" s="46" t="s">
        <v>3092</v>
      </c>
      <c r="K3" s="46" t="s">
        <v>3091</v>
      </c>
      <c r="L3" s="46" t="s">
        <v>3093</v>
      </c>
      <c r="M3" s="46" t="s">
        <v>3089</v>
      </c>
      <c r="N3" s="46" t="s">
        <v>3104</v>
      </c>
      <c r="O3" s="46" t="s">
        <v>3090</v>
      </c>
      <c r="P3" s="46" t="s">
        <v>3088</v>
      </c>
      <c r="Q3" s="46" t="s">
        <v>3085</v>
      </c>
      <c r="R3" s="46" t="s">
        <v>3086</v>
      </c>
      <c r="S3" s="46" t="s">
        <v>3087</v>
      </c>
      <c r="T3" s="46" t="s">
        <v>3100</v>
      </c>
      <c r="U3" s="46" t="s">
        <v>3110</v>
      </c>
      <c r="V3" s="46" t="s">
        <v>3114</v>
      </c>
    </row>
    <row r="4" spans="1:22" s="39" customFormat="1" ht="16">
      <c r="A4" s="39" t="s">
        <v>3105</v>
      </c>
      <c r="B4" s="39" t="s">
        <v>3106</v>
      </c>
      <c r="C4" s="39" t="s">
        <v>3107</v>
      </c>
      <c r="D4" s="39" t="s">
        <v>3107</v>
      </c>
      <c r="E4" s="39" t="s">
        <v>3107</v>
      </c>
      <c r="F4" s="39" t="s">
        <v>3107</v>
      </c>
      <c r="G4" s="39" t="s">
        <v>3107</v>
      </c>
      <c r="H4" s="39" t="s">
        <v>3108</v>
      </c>
      <c r="I4" s="39" t="s">
        <v>3108</v>
      </c>
      <c r="J4" s="39" t="s">
        <v>3108</v>
      </c>
      <c r="K4" s="39" t="s">
        <v>3106</v>
      </c>
      <c r="L4" s="39" t="s">
        <v>3106</v>
      </c>
      <c r="M4" s="39" t="s">
        <v>3106</v>
      </c>
      <c r="N4" s="39" t="s">
        <v>3106</v>
      </c>
      <c r="O4" s="39" t="s">
        <v>3106</v>
      </c>
      <c r="P4" s="39" t="s">
        <v>3106</v>
      </c>
      <c r="Q4" s="39" t="s">
        <v>3106</v>
      </c>
      <c r="R4" s="39" t="s">
        <v>3106</v>
      </c>
      <c r="S4" s="39" t="s">
        <v>3106</v>
      </c>
      <c r="T4" s="39" t="s">
        <v>3106</v>
      </c>
      <c r="U4" s="39" t="s">
        <v>3106</v>
      </c>
      <c r="V4" s="39" t="s">
        <v>3106</v>
      </c>
    </row>
    <row r="5" spans="1:22" s="31" customFormat="1">
      <c r="A5" s="31" t="s">
        <v>512</v>
      </c>
      <c r="B5" s="31" t="s">
        <v>2049</v>
      </c>
      <c r="C5" s="31" t="s">
        <v>2049</v>
      </c>
      <c r="D5" s="31" t="s">
        <v>2051</v>
      </c>
      <c r="E5" s="31" t="s">
        <v>2051</v>
      </c>
      <c r="F5" s="31" t="s">
        <v>2051</v>
      </c>
      <c r="G5" s="31" t="s">
        <v>2051</v>
      </c>
      <c r="H5" s="31" t="s">
        <v>2051</v>
      </c>
      <c r="I5" s="31" t="s">
        <v>2051</v>
      </c>
      <c r="J5" s="31" t="s">
        <v>2050</v>
      </c>
      <c r="K5" s="36" t="s">
        <v>2218</v>
      </c>
      <c r="L5" s="41" t="s">
        <v>2219</v>
      </c>
      <c r="M5" s="41" t="s">
        <v>2675</v>
      </c>
      <c r="N5" s="41" t="s">
        <v>2675</v>
      </c>
      <c r="O5" s="41" t="s">
        <v>2675</v>
      </c>
      <c r="P5" s="41" t="s">
        <v>2675</v>
      </c>
      <c r="Q5" s="40" t="s">
        <v>2217</v>
      </c>
      <c r="R5" s="40" t="s">
        <v>2217</v>
      </c>
      <c r="S5" s="40" t="s">
        <v>2217</v>
      </c>
      <c r="T5" s="40" t="s">
        <v>2217</v>
      </c>
      <c r="U5" s="40" t="s">
        <v>2217</v>
      </c>
      <c r="V5" s="49" t="s">
        <v>3112</v>
      </c>
    </row>
    <row r="6" spans="1:22" s="31" customFormat="1">
      <c r="A6" s="31" t="s">
        <v>3082</v>
      </c>
      <c r="K6" s="43" t="s">
        <v>3083</v>
      </c>
      <c r="L6" s="43" t="s">
        <v>3083</v>
      </c>
      <c r="M6" s="43" t="s">
        <v>3083</v>
      </c>
      <c r="N6" s="43" t="s">
        <v>3083</v>
      </c>
      <c r="O6" s="42" t="s">
        <v>3084</v>
      </c>
      <c r="P6" s="42" t="s">
        <v>3084</v>
      </c>
      <c r="Q6" s="42" t="s">
        <v>3084</v>
      </c>
      <c r="R6" s="42" t="s">
        <v>3084</v>
      </c>
      <c r="S6" s="42" t="s">
        <v>3084</v>
      </c>
      <c r="T6" s="42" t="s">
        <v>3084</v>
      </c>
      <c r="U6" s="42" t="s">
        <v>3084</v>
      </c>
      <c r="V6" s="42" t="s">
        <v>3084</v>
      </c>
    </row>
    <row r="7" spans="1:22" s="31" customFormat="1">
      <c r="A7" s="31" t="s">
        <v>2839</v>
      </c>
      <c r="B7" s="31" t="s">
        <v>2840</v>
      </c>
      <c r="C7" s="31" t="s">
        <v>2840</v>
      </c>
      <c r="D7" s="31" t="s">
        <v>2840</v>
      </c>
      <c r="E7" s="31" t="s">
        <v>2840</v>
      </c>
      <c r="F7" s="31" t="s">
        <v>2840</v>
      </c>
      <c r="G7" s="31" t="s">
        <v>2840</v>
      </c>
      <c r="H7" s="31" t="s">
        <v>2840</v>
      </c>
      <c r="I7" s="31" t="s">
        <v>2840</v>
      </c>
      <c r="J7" s="31" t="s">
        <v>2840</v>
      </c>
      <c r="K7" s="31">
        <v>0.5</v>
      </c>
      <c r="L7" s="31">
        <v>0.5</v>
      </c>
      <c r="M7" s="31">
        <v>1</v>
      </c>
      <c r="N7" s="31">
        <v>1</v>
      </c>
      <c r="O7" s="31">
        <v>1</v>
      </c>
      <c r="P7" s="31">
        <v>1</v>
      </c>
      <c r="Q7" s="31">
        <v>1</v>
      </c>
      <c r="R7" s="31">
        <v>1</v>
      </c>
      <c r="S7" s="31">
        <v>1</v>
      </c>
      <c r="T7" s="31">
        <v>1</v>
      </c>
      <c r="U7" s="31">
        <v>1</v>
      </c>
      <c r="V7" s="31">
        <v>1</v>
      </c>
    </row>
    <row r="8" spans="1:22" s="38" customFormat="1">
      <c r="A8" s="38" t="s">
        <v>2837</v>
      </c>
      <c r="B8" s="38">
        <v>141</v>
      </c>
      <c r="C8" s="38">
        <v>141</v>
      </c>
      <c r="D8" s="38">
        <v>141</v>
      </c>
      <c r="E8" s="38">
        <v>77</v>
      </c>
      <c r="F8" s="38">
        <v>77</v>
      </c>
      <c r="G8" s="38">
        <v>77</v>
      </c>
      <c r="H8" s="38">
        <v>77</v>
      </c>
      <c r="I8" s="38">
        <v>77</v>
      </c>
      <c r="J8" s="38">
        <v>77</v>
      </c>
      <c r="K8" s="38">
        <v>77</v>
      </c>
      <c r="L8" s="38">
        <v>77</v>
      </c>
      <c r="M8" s="38">
        <v>77</v>
      </c>
      <c r="N8" s="38">
        <v>77</v>
      </c>
      <c r="O8" s="38">
        <v>77</v>
      </c>
      <c r="P8" s="38" t="s">
        <v>2838</v>
      </c>
      <c r="Q8" s="38">
        <v>77</v>
      </c>
      <c r="R8" s="38">
        <v>77</v>
      </c>
      <c r="S8" s="38">
        <v>77</v>
      </c>
      <c r="T8" s="38" t="s">
        <v>2838</v>
      </c>
      <c r="U8" s="38">
        <v>77</v>
      </c>
      <c r="V8" s="38" t="s">
        <v>3113</v>
      </c>
    </row>
    <row r="9" spans="1:22" s="26" customFormat="1">
      <c r="A9" s="32" t="s">
        <v>2053</v>
      </c>
      <c r="B9" s="26">
        <v>0.63120567375886527</v>
      </c>
      <c r="C9" s="26">
        <v>0.6028368794326241</v>
      </c>
      <c r="D9" s="26">
        <v>0.67375886524822692</v>
      </c>
      <c r="E9" s="26">
        <v>0.68831168831168832</v>
      </c>
      <c r="F9" s="26">
        <v>0.74025974025974028</v>
      </c>
      <c r="G9" s="26">
        <v>0.79220779220779225</v>
      </c>
      <c r="H9" s="26" t="s">
        <v>3078</v>
      </c>
      <c r="I9" s="35">
        <v>0.66666666666666663</v>
      </c>
      <c r="J9" s="26">
        <v>0.80519480519480524</v>
      </c>
      <c r="K9" s="26">
        <v>0.66233766233766234</v>
      </c>
      <c r="L9" s="26">
        <v>0.8441558441558441</v>
      </c>
      <c r="M9" s="26">
        <v>0.8441558441558441</v>
      </c>
      <c r="N9" s="26">
        <v>0.9</v>
      </c>
      <c r="O9" s="26">
        <v>0.8441558441558441</v>
      </c>
      <c r="P9" s="26">
        <v>0.87</v>
      </c>
      <c r="Q9" s="35">
        <v>0.81</v>
      </c>
      <c r="R9" s="26">
        <v>0.79</v>
      </c>
      <c r="S9" s="26">
        <v>0.81</v>
      </c>
      <c r="T9" s="26">
        <v>0.79</v>
      </c>
      <c r="U9" s="26">
        <v>0.79</v>
      </c>
      <c r="V9" s="26">
        <v>0.77</v>
      </c>
    </row>
    <row r="10" spans="1:22" s="26" customFormat="1">
      <c r="A10" s="32" t="s">
        <v>2052</v>
      </c>
      <c r="B10" s="26">
        <v>0.7466666666666667</v>
      </c>
      <c r="C10" s="26">
        <v>0.77631578947368418</v>
      </c>
      <c r="D10" s="26">
        <v>0.8</v>
      </c>
      <c r="E10" s="26" t="e">
        <v>#DIV/0!</v>
      </c>
      <c r="F10" s="26" t="e">
        <v>#DIV/0!</v>
      </c>
      <c r="G10" s="26">
        <v>0.77192982456140347</v>
      </c>
      <c r="H10" s="26" t="s">
        <v>3078</v>
      </c>
      <c r="I10" s="26" t="e">
        <v>#DIV/0!</v>
      </c>
      <c r="J10" s="26">
        <v>0.81</v>
      </c>
      <c r="K10" s="26">
        <v>0.49122807017543857</v>
      </c>
      <c r="L10" s="26">
        <v>0.56140350877192979</v>
      </c>
      <c r="M10" s="26">
        <v>0.6</v>
      </c>
      <c r="N10" s="26">
        <v>0.49</v>
      </c>
      <c r="O10" s="26">
        <v>0.56140350877193002</v>
      </c>
      <c r="P10" s="26">
        <v>0.46</v>
      </c>
      <c r="Q10" s="26">
        <v>0.6</v>
      </c>
      <c r="R10" s="26">
        <v>0.65</v>
      </c>
      <c r="S10" s="26">
        <v>0.61</v>
      </c>
      <c r="T10" s="26">
        <v>0.57999999999999996</v>
      </c>
      <c r="U10" s="26">
        <v>0.68</v>
      </c>
      <c r="V10" s="26">
        <v>0.72</v>
      </c>
    </row>
    <row r="11" spans="1:22" s="26" customFormat="1">
      <c r="A11" s="32" t="s">
        <v>3146</v>
      </c>
      <c r="B11" s="26">
        <v>0.71485943775100402</v>
      </c>
      <c r="C11" s="26">
        <v>0.69958847736625518</v>
      </c>
      <c r="D11" s="26">
        <v>0.75697211155378485</v>
      </c>
      <c r="G11" s="26">
        <v>0.80794701986754969</v>
      </c>
      <c r="J11" s="26">
        <v>0.8920863309352518</v>
      </c>
      <c r="K11" s="26">
        <v>0.64968152866242035</v>
      </c>
      <c r="L11" s="26">
        <v>0.78</v>
      </c>
      <c r="M11" s="26">
        <v>0.78787878787878785</v>
      </c>
      <c r="N11" s="26">
        <v>0.79</v>
      </c>
      <c r="O11" s="26">
        <v>0.78</v>
      </c>
      <c r="P11" s="26">
        <v>0.76571428571428568</v>
      </c>
      <c r="Q11" s="26">
        <v>0.76571428571428568</v>
      </c>
      <c r="R11" s="26">
        <v>0.76571428571428568</v>
      </c>
      <c r="S11" s="26">
        <v>0.76571428571428568</v>
      </c>
      <c r="T11" s="26">
        <v>0.75308641975308643</v>
      </c>
      <c r="U11" s="26">
        <v>0.78</v>
      </c>
      <c r="V11" s="26">
        <v>0.77631578947368418</v>
      </c>
    </row>
    <row r="12" spans="1:22">
      <c r="A12" t="s">
        <v>2056</v>
      </c>
    </row>
    <row r="13" spans="1:22" s="33" customFormat="1">
      <c r="A13" s="32" t="s">
        <v>2057</v>
      </c>
      <c r="G13" s="33">
        <v>0.42307692307692307</v>
      </c>
      <c r="H13" s="33">
        <v>0.42307692307692307</v>
      </c>
      <c r="I13" s="33">
        <v>0.34615384615384615</v>
      </c>
      <c r="J13" s="33">
        <v>0.42307692307692307</v>
      </c>
      <c r="K13" s="33">
        <v>0.61538461538461542</v>
      </c>
      <c r="L13" s="33">
        <v>0.57692307692307687</v>
      </c>
      <c r="M13" s="33">
        <v>0.57692307692307687</v>
      </c>
      <c r="N13" s="33">
        <v>0.69230769230769229</v>
      </c>
      <c r="O13" s="33">
        <v>0.53846153846153844</v>
      </c>
      <c r="P13" s="33">
        <v>0.65384615384615385</v>
      </c>
      <c r="Q13" s="33">
        <v>0.42307692307692307</v>
      </c>
      <c r="R13" s="33">
        <v>0.38461538461538464</v>
      </c>
      <c r="S13" s="33">
        <v>0.42307692307692307</v>
      </c>
      <c r="T13" s="33">
        <v>0.38461538461538464</v>
      </c>
      <c r="U13" s="33">
        <v>0.42307692307692307</v>
      </c>
      <c r="V13" s="33">
        <v>0.34615384615384615</v>
      </c>
    </row>
    <row r="14" spans="1:22" s="33" customFormat="1">
      <c r="A14" s="32" t="s">
        <v>1201</v>
      </c>
      <c r="G14" s="33">
        <v>0.66666666666666663</v>
      </c>
      <c r="H14" s="33">
        <v>0.66666666666666663</v>
      </c>
      <c r="I14" s="33">
        <v>0.55555555555555558</v>
      </c>
      <c r="J14" s="33">
        <v>0.55555555555555558</v>
      </c>
      <c r="K14" s="33">
        <v>0.77777777777777779</v>
      </c>
      <c r="L14" s="33">
        <v>0.77777777777777779</v>
      </c>
      <c r="M14" s="33">
        <v>0.77777777777777779</v>
      </c>
      <c r="N14" s="33">
        <v>0.88888888888888884</v>
      </c>
      <c r="O14" s="33">
        <v>0.66666666666666663</v>
      </c>
      <c r="P14" s="33">
        <v>0.77777777777777779</v>
      </c>
      <c r="Q14" s="33">
        <v>0.55555555555555558</v>
      </c>
      <c r="R14" s="33">
        <v>0.66666666666666663</v>
      </c>
      <c r="S14" s="33">
        <v>0.66666666666666663</v>
      </c>
      <c r="T14" s="33">
        <v>0.66666666666666663</v>
      </c>
      <c r="U14" s="33">
        <v>0.66666666666666663</v>
      </c>
      <c r="V14" s="33">
        <v>0.77777777777777779</v>
      </c>
    </row>
    <row r="15" spans="1:22" s="33" customFormat="1">
      <c r="A15" s="32" t="s">
        <v>1203</v>
      </c>
      <c r="G15" s="33">
        <v>0.14285714285714285</v>
      </c>
      <c r="H15" s="33">
        <v>0.2857142857142857</v>
      </c>
      <c r="I15" s="33">
        <v>0.2857142857142857</v>
      </c>
      <c r="J15" s="33">
        <v>0.42857142857142855</v>
      </c>
      <c r="K15" s="33">
        <v>0.42857142857142855</v>
      </c>
      <c r="L15" s="33">
        <v>0.42857142857142855</v>
      </c>
      <c r="M15" s="33">
        <v>0.14285714285714285</v>
      </c>
      <c r="N15" s="33">
        <v>0.2857142857142857</v>
      </c>
      <c r="O15" s="33">
        <v>0.14285714285714285</v>
      </c>
      <c r="P15" s="33">
        <v>0.2857142857142857</v>
      </c>
      <c r="Q15" s="33">
        <v>0</v>
      </c>
      <c r="R15" s="33">
        <v>0</v>
      </c>
      <c r="S15" s="33">
        <v>0.14285714285714285</v>
      </c>
      <c r="T15" s="33">
        <v>0</v>
      </c>
      <c r="U15" s="33">
        <v>0</v>
      </c>
      <c r="V15" s="33">
        <v>0</v>
      </c>
    </row>
    <row r="16" spans="1:22" s="33" customFormat="1">
      <c r="A16" s="32" t="s">
        <v>1232</v>
      </c>
      <c r="G16" s="33">
        <v>0.44444444444444442</v>
      </c>
      <c r="H16" s="33">
        <v>0.33333333333333331</v>
      </c>
      <c r="I16" s="33">
        <v>0.22222222222222221</v>
      </c>
      <c r="J16" s="33">
        <v>0.33333333333333331</v>
      </c>
      <c r="K16" s="33">
        <v>0.55555555555555558</v>
      </c>
      <c r="L16" s="33">
        <v>0.55555555555555558</v>
      </c>
      <c r="M16" s="33">
        <v>0.66666666666666663</v>
      </c>
      <c r="N16" s="33">
        <v>0.77777777777777779</v>
      </c>
      <c r="O16" s="33">
        <v>0.66666666666666663</v>
      </c>
      <c r="P16" s="33">
        <v>0.77777777777777779</v>
      </c>
      <c r="Q16" s="33">
        <v>0.66666666666666663</v>
      </c>
      <c r="R16" s="33">
        <v>0.44444444444444442</v>
      </c>
      <c r="S16" s="33">
        <v>0.44444444444444442</v>
      </c>
      <c r="T16" s="33">
        <v>0.44444444444444442</v>
      </c>
      <c r="U16" s="33">
        <v>0.55555555555555558</v>
      </c>
      <c r="V16" s="33">
        <v>0.22222222222222221</v>
      </c>
    </row>
  </sheetData>
  <phoneticPr fontId="1"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71C6C-CE52-E545-9FA7-625318D06EFD}">
  <sheetPr codeName="工作表3"/>
  <dimension ref="A1:S208"/>
  <sheetViews>
    <sheetView workbookViewId="0">
      <selection activeCell="D19" sqref="D19"/>
    </sheetView>
  </sheetViews>
  <sheetFormatPr baseColWidth="10" defaultRowHeight="15"/>
  <cols>
    <col min="1" max="1" width="13.5" customWidth="1"/>
    <col min="4" max="4" width="10.83203125" style="26"/>
    <col min="9" max="9" width="10.83203125" style="26"/>
    <col min="14" max="14" width="10.83203125" style="26"/>
  </cols>
  <sheetData>
    <row r="1" spans="1:10">
      <c r="A1" t="s">
        <v>501</v>
      </c>
      <c r="B1" t="s">
        <v>792</v>
      </c>
      <c r="F1" t="s">
        <v>501</v>
      </c>
      <c r="G1" t="s">
        <v>791</v>
      </c>
    </row>
    <row r="2" spans="1:10">
      <c r="A2" t="s">
        <v>512</v>
      </c>
      <c r="B2" t="s">
        <v>527</v>
      </c>
      <c r="F2" t="s">
        <v>512</v>
      </c>
      <c r="G2" t="s">
        <v>513</v>
      </c>
    </row>
    <row r="3" spans="1:10">
      <c r="A3" t="s">
        <v>503</v>
      </c>
      <c r="B3" t="s">
        <v>502</v>
      </c>
      <c r="C3" t="s">
        <v>507</v>
      </c>
      <c r="F3" t="s">
        <v>503</v>
      </c>
      <c r="G3" t="s">
        <v>502</v>
      </c>
      <c r="H3" t="s">
        <v>507</v>
      </c>
    </row>
    <row r="4" spans="1:10">
      <c r="A4" s="5" t="s">
        <v>502</v>
      </c>
      <c r="B4" s="3"/>
      <c r="C4" s="8"/>
      <c r="D4" s="27" t="e">
        <f>B4/(C4+B4)</f>
        <v>#DIV/0!</v>
      </c>
      <c r="F4" s="5" t="s">
        <v>502</v>
      </c>
      <c r="G4" s="3">
        <v>89</v>
      </c>
      <c r="H4" s="8">
        <v>52</v>
      </c>
      <c r="I4" s="27">
        <f>G4/(H4+G4)</f>
        <v>0.63120567375886527</v>
      </c>
      <c r="J4" t="s">
        <v>515</v>
      </c>
    </row>
    <row r="5" spans="1:10">
      <c r="A5" t="s">
        <v>504</v>
      </c>
      <c r="B5" s="4"/>
      <c r="C5" s="9"/>
      <c r="D5" s="28" t="e">
        <f>C5/(B5+C5)</f>
        <v>#DIV/0!</v>
      </c>
      <c r="F5" t="s">
        <v>504</v>
      </c>
      <c r="G5" s="4">
        <v>10</v>
      </c>
      <c r="H5" s="9">
        <v>16</v>
      </c>
      <c r="I5" s="28">
        <f>H5/(G5+H5)</f>
        <v>0.61538461538461542</v>
      </c>
      <c r="J5" t="s">
        <v>514</v>
      </c>
    </row>
    <row r="6" spans="1:10">
      <c r="A6" t="s">
        <v>505</v>
      </c>
      <c r="B6" s="4"/>
      <c r="C6" s="9"/>
      <c r="D6" s="28" t="e">
        <f t="shared" ref="D6:D7" si="0">C6/(B6+C6)</f>
        <v>#DIV/0!</v>
      </c>
      <c r="F6" t="s">
        <v>505</v>
      </c>
      <c r="G6" s="4">
        <v>4</v>
      </c>
      <c r="H6" s="9">
        <v>11</v>
      </c>
      <c r="I6" s="28">
        <f>H6/(G6+H6)</f>
        <v>0.73333333333333328</v>
      </c>
    </row>
    <row r="7" spans="1:10">
      <c r="A7" s="6" t="s">
        <v>506</v>
      </c>
      <c r="B7" s="4"/>
      <c r="C7" s="9"/>
      <c r="D7" s="28" t="e">
        <f t="shared" si="0"/>
        <v>#DIV/0!</v>
      </c>
      <c r="F7" s="6" t="s">
        <v>506</v>
      </c>
      <c r="G7" s="4">
        <v>5</v>
      </c>
      <c r="H7" s="9">
        <v>29</v>
      </c>
      <c r="I7" s="28">
        <f t="shared" ref="I7" si="1">H7/(G7+H7)</f>
        <v>0.8529411764705882</v>
      </c>
    </row>
    <row r="8" spans="1:10">
      <c r="A8" t="s">
        <v>1196</v>
      </c>
      <c r="B8">
        <f>SUM(B5:B7)</f>
        <v>0</v>
      </c>
      <c r="C8">
        <f>SUM(C5:C7)</f>
        <v>0</v>
      </c>
      <c r="D8" s="26" t="e">
        <f>SUM(C5:C7)/(SUM(C5:C7)+SUM(B5:B7))</f>
        <v>#DIV/0!</v>
      </c>
      <c r="F8" t="s">
        <v>1196</v>
      </c>
      <c r="G8">
        <f>SUM(G5:G7)</f>
        <v>19</v>
      </c>
      <c r="H8">
        <f>SUM(H5:H7)</f>
        <v>56</v>
      </c>
      <c r="I8" s="26">
        <f>SUM(H5:H7)/(SUM(G5:G7)+SUM(H5:H7))</f>
        <v>0.7466666666666667</v>
      </c>
    </row>
    <row r="9" spans="1:10">
      <c r="B9" s="7" t="s">
        <v>508</v>
      </c>
      <c r="C9" s="10" t="s">
        <v>510</v>
      </c>
      <c r="D9" s="26" t="e">
        <f>2*B4/(2*B4+C4+B8)</f>
        <v>#DIV/0!</v>
      </c>
      <c r="G9" s="7" t="s">
        <v>508</v>
      </c>
      <c r="H9" s="10" t="s">
        <v>510</v>
      </c>
      <c r="I9" s="26">
        <f>2*G4/(2*G4+H4+G8)</f>
        <v>0.71485943775100402</v>
      </c>
    </row>
    <row r="10" spans="1:10">
      <c r="B10" s="4" t="s">
        <v>509</v>
      </c>
      <c r="C10" s="9" t="s">
        <v>511</v>
      </c>
      <c r="G10" s="4" t="s">
        <v>509</v>
      </c>
      <c r="H10" s="9" t="s">
        <v>511</v>
      </c>
    </row>
    <row r="12" spans="1:10">
      <c r="A12" t="s">
        <v>526</v>
      </c>
      <c r="B12" t="s">
        <v>794</v>
      </c>
      <c r="C12" t="s">
        <v>1229</v>
      </c>
      <c r="F12" t="s">
        <v>526</v>
      </c>
      <c r="G12" t="s">
        <v>793</v>
      </c>
      <c r="H12" t="s">
        <v>1229</v>
      </c>
    </row>
    <row r="13" spans="1:10">
      <c r="A13" t="s">
        <v>512</v>
      </c>
      <c r="B13" t="s">
        <v>527</v>
      </c>
      <c r="F13" t="s">
        <v>512</v>
      </c>
      <c r="G13" t="s">
        <v>513</v>
      </c>
    </row>
    <row r="14" spans="1:10">
      <c r="A14" t="s">
        <v>503</v>
      </c>
      <c r="B14" t="s">
        <v>502</v>
      </c>
      <c r="C14" t="s">
        <v>507</v>
      </c>
      <c r="F14" t="s">
        <v>503</v>
      </c>
      <c r="G14" t="s">
        <v>502</v>
      </c>
      <c r="H14" t="s">
        <v>507</v>
      </c>
    </row>
    <row r="15" spans="1:10">
      <c r="A15" s="5" t="s">
        <v>1194</v>
      </c>
      <c r="B15" s="3">
        <v>95</v>
      </c>
      <c r="C15" s="8">
        <v>46</v>
      </c>
      <c r="D15" s="27">
        <f>B15/(C15+B15)</f>
        <v>0.67375886524822692</v>
      </c>
      <c r="F15" s="5" t="s">
        <v>502</v>
      </c>
      <c r="G15" s="3">
        <v>85</v>
      </c>
      <c r="H15" s="8">
        <v>56</v>
      </c>
      <c r="I15" s="27">
        <f>G15/(H15+G15)</f>
        <v>0.6028368794326241</v>
      </c>
    </row>
    <row r="16" spans="1:10">
      <c r="A16" t="s">
        <v>504</v>
      </c>
      <c r="B16" s="4">
        <v>6</v>
      </c>
      <c r="C16" s="9">
        <v>20</v>
      </c>
      <c r="D16" s="28">
        <f>C16/(B16+C16)</f>
        <v>0.76923076923076927</v>
      </c>
      <c r="F16" t="s">
        <v>504</v>
      </c>
      <c r="G16" s="4">
        <v>8</v>
      </c>
      <c r="H16" s="9">
        <v>18</v>
      </c>
      <c r="I16" s="28">
        <f>H16/(G16+H16)</f>
        <v>0.69230769230769229</v>
      </c>
    </row>
    <row r="17" spans="1:9">
      <c r="A17" t="s">
        <v>505</v>
      </c>
      <c r="B17" s="4">
        <v>2</v>
      </c>
      <c r="C17" s="9">
        <v>13</v>
      </c>
      <c r="D17" s="28">
        <f t="shared" ref="D17:D18" si="2">C17/(B17+C17)</f>
        <v>0.8666666666666667</v>
      </c>
      <c r="F17" t="s">
        <v>505</v>
      </c>
      <c r="G17" s="4">
        <v>1</v>
      </c>
      <c r="H17" s="9">
        <v>15</v>
      </c>
      <c r="I17" s="28">
        <f t="shared" ref="I17:I18" si="3">H17/(G17+H17)</f>
        <v>0.9375</v>
      </c>
    </row>
    <row r="18" spans="1:9">
      <c r="A18" s="6" t="s">
        <v>506</v>
      </c>
      <c r="B18" s="4">
        <v>7</v>
      </c>
      <c r="C18" s="9">
        <v>27</v>
      </c>
      <c r="D18" s="28">
        <f t="shared" si="2"/>
        <v>0.79411764705882348</v>
      </c>
      <c r="F18" s="6" t="s">
        <v>506</v>
      </c>
      <c r="G18" s="4">
        <v>8</v>
      </c>
      <c r="H18" s="9">
        <v>26</v>
      </c>
      <c r="I18" s="28">
        <f t="shared" si="3"/>
        <v>0.76470588235294112</v>
      </c>
    </row>
    <row r="19" spans="1:9">
      <c r="A19" t="s">
        <v>1196</v>
      </c>
      <c r="B19">
        <f>SUM(B16:B18)</f>
        <v>15</v>
      </c>
      <c r="C19">
        <f>SUM(C16:C18)</f>
        <v>60</v>
      </c>
      <c r="D19" s="26">
        <f>SUM(C16:C18)/(SUM(C16:C18)+SUM(B16:B18))</f>
        <v>0.8</v>
      </c>
      <c r="F19" t="s">
        <v>1196</v>
      </c>
      <c r="G19">
        <f>SUM(G16:G18)</f>
        <v>17</v>
      </c>
      <c r="H19">
        <f>SUM(H16:H18)</f>
        <v>59</v>
      </c>
      <c r="I19" s="26">
        <f>SUM(H16:H18)/(SUM(H16:H18)+SUM(G16:G18))</f>
        <v>0.77631578947368418</v>
      </c>
    </row>
    <row r="20" spans="1:9">
      <c r="B20" s="7" t="s">
        <v>508</v>
      </c>
      <c r="C20" s="10" t="s">
        <v>510</v>
      </c>
      <c r="D20" s="26">
        <f>2*B15/(2*B15+C15+B19)</f>
        <v>0.75697211155378485</v>
      </c>
      <c r="G20" s="7" t="s">
        <v>508</v>
      </c>
      <c r="H20" s="10" t="s">
        <v>510</v>
      </c>
      <c r="I20" s="26">
        <f>2*G15/(2*G15+H15+G19)</f>
        <v>0.69958847736625518</v>
      </c>
    </row>
    <row r="21" spans="1:9">
      <c r="B21" s="4" t="s">
        <v>509</v>
      </c>
      <c r="C21" s="9" t="s">
        <v>511</v>
      </c>
      <c r="G21" s="4" t="s">
        <v>509</v>
      </c>
      <c r="H21" s="9" t="s">
        <v>511</v>
      </c>
    </row>
    <row r="23" spans="1:9">
      <c r="A23" t="s">
        <v>1193</v>
      </c>
      <c r="B23" t="s">
        <v>1106</v>
      </c>
      <c r="C23" t="s">
        <v>1228</v>
      </c>
    </row>
    <row r="24" spans="1:9">
      <c r="A24" t="s">
        <v>512</v>
      </c>
      <c r="B24" t="s">
        <v>527</v>
      </c>
    </row>
    <row r="25" spans="1:9">
      <c r="A25" t="s">
        <v>503</v>
      </c>
      <c r="B25" t="s">
        <v>502</v>
      </c>
      <c r="C25" t="s">
        <v>507</v>
      </c>
    </row>
    <row r="26" spans="1:9">
      <c r="A26" s="5" t="s">
        <v>1195</v>
      </c>
      <c r="B26" s="3">
        <v>53</v>
      </c>
      <c r="C26" s="8">
        <v>24</v>
      </c>
      <c r="D26" s="27">
        <f>B26/(C26+B26)</f>
        <v>0.68831168831168832</v>
      </c>
    </row>
    <row r="27" spans="1:9">
      <c r="A27" t="s">
        <v>504</v>
      </c>
      <c r="B27" s="4"/>
      <c r="C27" s="9"/>
      <c r="D27" s="28" t="e">
        <f>C27/(B27+C27)</f>
        <v>#DIV/0!</v>
      </c>
    </row>
    <row r="28" spans="1:9">
      <c r="A28" t="s">
        <v>505</v>
      </c>
      <c r="B28" s="4"/>
      <c r="C28" s="9"/>
      <c r="D28" s="28" t="e">
        <f t="shared" ref="D28:D29" si="4">C28/(B28+C28)</f>
        <v>#DIV/0!</v>
      </c>
    </row>
    <row r="29" spans="1:9">
      <c r="A29" s="6" t="s">
        <v>506</v>
      </c>
      <c r="B29" s="4"/>
      <c r="C29" s="9"/>
      <c r="D29" s="28" t="e">
        <f t="shared" si="4"/>
        <v>#DIV/0!</v>
      </c>
    </row>
    <row r="30" spans="1:9">
      <c r="A30" t="s">
        <v>1196</v>
      </c>
      <c r="B30">
        <f>SUM(B27:B29)</f>
        <v>0</v>
      </c>
      <c r="C30">
        <f>SUM(C27:C29)</f>
        <v>0</v>
      </c>
      <c r="D30" s="26" t="e">
        <f>SUM(C27:C29)/(SUM(C27:C29)+SUM(B27:B29))</f>
        <v>#DIV/0!</v>
      </c>
    </row>
    <row r="31" spans="1:9">
      <c r="B31" s="7" t="s">
        <v>508</v>
      </c>
      <c r="C31" s="10" t="s">
        <v>510</v>
      </c>
      <c r="D31" s="26">
        <f>2*B26/(2*B26+C26+B30)</f>
        <v>0.81538461538461537</v>
      </c>
    </row>
    <row r="32" spans="1:9">
      <c r="B32" s="4" t="s">
        <v>509</v>
      </c>
      <c r="C32" s="9" t="s">
        <v>511</v>
      </c>
    </row>
    <row r="34" spans="1:14">
      <c r="A34" t="s">
        <v>1225</v>
      </c>
      <c r="B34" t="s">
        <v>1120</v>
      </c>
      <c r="C34" t="s">
        <v>1228</v>
      </c>
    </row>
    <row r="35" spans="1:14">
      <c r="A35" t="s">
        <v>512</v>
      </c>
      <c r="B35" t="s">
        <v>527</v>
      </c>
    </row>
    <row r="36" spans="1:14">
      <c r="A36" t="s">
        <v>503</v>
      </c>
      <c r="B36" t="s">
        <v>502</v>
      </c>
      <c r="C36" t="s">
        <v>507</v>
      </c>
    </row>
    <row r="37" spans="1:14">
      <c r="A37" s="5" t="s">
        <v>1195</v>
      </c>
      <c r="B37" s="3">
        <v>57</v>
      </c>
      <c r="C37" s="8">
        <v>20</v>
      </c>
      <c r="D37" s="27">
        <f>B37/(C37+B37)</f>
        <v>0.74025974025974028</v>
      </c>
    </row>
    <row r="38" spans="1:14">
      <c r="A38" t="s">
        <v>504</v>
      </c>
      <c r="B38" s="4"/>
      <c r="C38" s="9"/>
      <c r="D38" s="28" t="e">
        <f>C38/(B38+C38)</f>
        <v>#DIV/0!</v>
      </c>
    </row>
    <row r="39" spans="1:14">
      <c r="A39" t="s">
        <v>505</v>
      </c>
      <c r="B39" s="4"/>
      <c r="C39" s="9"/>
      <c r="D39" s="28" t="e">
        <f t="shared" ref="D39:D40" si="5">C39/(B39+C39)</f>
        <v>#DIV/0!</v>
      </c>
    </row>
    <row r="40" spans="1:14">
      <c r="A40" s="6" t="s">
        <v>506</v>
      </c>
      <c r="B40" s="4"/>
      <c r="C40" s="9"/>
      <c r="D40" s="28" t="e">
        <f t="shared" si="5"/>
        <v>#DIV/0!</v>
      </c>
    </row>
    <row r="41" spans="1:14">
      <c r="A41" t="s">
        <v>1196</v>
      </c>
      <c r="B41">
        <f>SUM(B38:B40)</f>
        <v>0</v>
      </c>
      <c r="C41">
        <f>SUM(C38:C40)</f>
        <v>0</v>
      </c>
      <c r="D41" s="26" t="e">
        <f>SUM(C38:C40)/(SUM(C38:C40)+SUM(B38:B40))</f>
        <v>#DIV/0!</v>
      </c>
    </row>
    <row r="42" spans="1:14">
      <c r="B42" s="7" t="s">
        <v>508</v>
      </c>
      <c r="C42" s="10" t="s">
        <v>510</v>
      </c>
      <c r="D42" s="26">
        <f>2*B37/(2*B37+C37+B41)</f>
        <v>0.85074626865671643</v>
      </c>
    </row>
    <row r="43" spans="1:14">
      <c r="B43" s="4" t="s">
        <v>509</v>
      </c>
      <c r="C43" s="9" t="s">
        <v>511</v>
      </c>
    </row>
    <row r="45" spans="1:14">
      <c r="A45" t="s">
        <v>1226</v>
      </c>
      <c r="B45" t="s">
        <v>1227</v>
      </c>
    </row>
    <row r="46" spans="1:14">
      <c r="A46" t="s">
        <v>512</v>
      </c>
      <c r="B46" t="s">
        <v>527</v>
      </c>
    </row>
    <row r="47" spans="1:14">
      <c r="A47" t="s">
        <v>503</v>
      </c>
      <c r="B47" t="s">
        <v>502</v>
      </c>
      <c r="C47" t="s">
        <v>507</v>
      </c>
      <c r="F47" t="s">
        <v>503</v>
      </c>
      <c r="G47" t="s">
        <v>502</v>
      </c>
      <c r="H47" t="s">
        <v>507</v>
      </c>
      <c r="K47" t="s">
        <v>6</v>
      </c>
      <c r="L47" t="s">
        <v>1234</v>
      </c>
      <c r="M47" t="s">
        <v>1235</v>
      </c>
      <c r="N47" s="26" t="s">
        <v>1236</v>
      </c>
    </row>
    <row r="48" spans="1:14">
      <c r="A48" s="5" t="s">
        <v>1290</v>
      </c>
      <c r="B48" s="3">
        <v>61</v>
      </c>
      <c r="C48" s="8">
        <v>16</v>
      </c>
      <c r="D48" s="27">
        <f>B48/(C48+B48)</f>
        <v>0.79220779220779225</v>
      </c>
      <c r="F48" s="5" t="s">
        <v>1290</v>
      </c>
      <c r="G48" s="3">
        <v>61</v>
      </c>
      <c r="H48" s="8">
        <v>16</v>
      </c>
      <c r="I48" s="27">
        <f>G48/(H48+G48)</f>
        <v>0.79220779220779225</v>
      </c>
      <c r="K48" s="5" t="s">
        <v>1237</v>
      </c>
      <c r="L48" s="17">
        <v>11</v>
      </c>
      <c r="M48" s="17">
        <v>15</v>
      </c>
      <c r="N48" s="33">
        <f>L48/(M48+L48)</f>
        <v>0.42307692307692307</v>
      </c>
    </row>
    <row r="49" spans="1:19">
      <c r="A49" t="s">
        <v>504</v>
      </c>
      <c r="B49" s="4">
        <v>5</v>
      </c>
      <c r="C49" s="9">
        <v>15</v>
      </c>
      <c r="D49" s="28">
        <f>C49/(B49+C49)</f>
        <v>0.75</v>
      </c>
      <c r="F49" s="5" t="s">
        <v>1237</v>
      </c>
      <c r="G49" s="3">
        <v>11</v>
      </c>
      <c r="H49" s="8">
        <v>15</v>
      </c>
      <c r="I49" s="27">
        <f>G49/(H49+G49)</f>
        <v>0.42307692307692307</v>
      </c>
      <c r="J49" t="s">
        <v>1238</v>
      </c>
      <c r="K49" t="s">
        <v>1201</v>
      </c>
      <c r="L49" s="17">
        <v>6</v>
      </c>
      <c r="M49" s="17">
        <v>3</v>
      </c>
      <c r="N49" s="33">
        <f>L49/(L49+M49)</f>
        <v>0.66666666666666663</v>
      </c>
    </row>
    <row r="50" spans="1:19">
      <c r="A50" t="s">
        <v>505</v>
      </c>
      <c r="B50" s="4">
        <v>3</v>
      </c>
      <c r="C50" s="9">
        <v>10</v>
      </c>
      <c r="D50" s="28">
        <f t="shared" ref="D50:D51" si="6">C50/(B50+C50)</f>
        <v>0.76923076923076927</v>
      </c>
      <c r="F50" s="5" t="s">
        <v>1240</v>
      </c>
      <c r="G50" s="3">
        <v>50</v>
      </c>
      <c r="H50" s="8">
        <v>1</v>
      </c>
      <c r="I50" s="27">
        <f>G50/(H50+G50)</f>
        <v>0.98039215686274506</v>
      </c>
      <c r="J50" t="s">
        <v>1239</v>
      </c>
      <c r="K50" t="s">
        <v>1203</v>
      </c>
      <c r="L50" s="17">
        <v>1</v>
      </c>
      <c r="M50" s="17">
        <v>6</v>
      </c>
      <c r="N50" s="33">
        <f t="shared" ref="N50:N52" si="7">L50/(L50+M50)</f>
        <v>0.14285714285714285</v>
      </c>
    </row>
    <row r="51" spans="1:19">
      <c r="A51" s="6" t="s">
        <v>506</v>
      </c>
      <c r="B51" s="4">
        <v>5</v>
      </c>
      <c r="C51" s="9">
        <v>19</v>
      </c>
      <c r="D51" s="28">
        <f t="shared" si="6"/>
        <v>0.79166666666666663</v>
      </c>
      <c r="F51" s="6"/>
      <c r="K51" s="6" t="s">
        <v>1232</v>
      </c>
      <c r="L51" s="17">
        <v>4</v>
      </c>
      <c r="M51" s="17">
        <v>5</v>
      </c>
      <c r="N51" s="33">
        <f t="shared" si="7"/>
        <v>0.44444444444444442</v>
      </c>
    </row>
    <row r="52" spans="1:19">
      <c r="A52" t="s">
        <v>1196</v>
      </c>
      <c r="B52">
        <f>SUM(B49:B51)</f>
        <v>13</v>
      </c>
      <c r="C52">
        <f>SUM(C49:C51)</f>
        <v>44</v>
      </c>
      <c r="D52" s="26">
        <f>SUM(C49:C51)/(SUM(C49:C51)+SUM(B49:B51))</f>
        <v>0.77192982456140347</v>
      </c>
      <c r="K52" t="s">
        <v>1233</v>
      </c>
      <c r="L52">
        <v>0</v>
      </c>
      <c r="M52">
        <v>1</v>
      </c>
      <c r="N52" s="33">
        <f t="shared" si="7"/>
        <v>0</v>
      </c>
    </row>
    <row r="53" spans="1:19">
      <c r="B53" s="7" t="s">
        <v>508</v>
      </c>
      <c r="C53" s="10" t="s">
        <v>510</v>
      </c>
      <c r="D53" s="26">
        <f>2*B48/(2*B48+C48+B52)</f>
        <v>0.80794701986754969</v>
      </c>
    </row>
    <row r="54" spans="1:19">
      <c r="B54" s="4" t="s">
        <v>509</v>
      </c>
      <c r="C54" s="9" t="s">
        <v>511</v>
      </c>
    </row>
    <row r="56" spans="1:19">
      <c r="A56" t="s">
        <v>1388</v>
      </c>
      <c r="B56" t="s">
        <v>1389</v>
      </c>
    </row>
    <row r="57" spans="1:19">
      <c r="A57" t="s">
        <v>512</v>
      </c>
      <c r="B57" t="s">
        <v>527</v>
      </c>
      <c r="K57" s="50" t="s">
        <v>1529</v>
      </c>
      <c r="L57" s="50"/>
      <c r="M57" s="50"/>
      <c r="N57" s="50"/>
      <c r="P57" s="51" t="s">
        <v>1469</v>
      </c>
      <c r="Q57" s="51"/>
      <c r="R57" s="51"/>
      <c r="S57" s="51"/>
    </row>
    <row r="58" spans="1:19">
      <c r="A58" t="s">
        <v>503</v>
      </c>
      <c r="B58" t="s">
        <v>502</v>
      </c>
      <c r="C58" t="s">
        <v>507</v>
      </c>
      <c r="F58" t="s">
        <v>503</v>
      </c>
      <c r="G58" t="s">
        <v>502</v>
      </c>
      <c r="H58" t="s">
        <v>507</v>
      </c>
      <c r="K58" t="s">
        <v>6</v>
      </c>
      <c r="L58" t="s">
        <v>1234</v>
      </c>
      <c r="M58" t="s">
        <v>1235</v>
      </c>
      <c r="N58" s="26" t="s">
        <v>1236</v>
      </c>
      <c r="P58" s="20" t="s">
        <v>6</v>
      </c>
      <c r="Q58" s="20" t="s">
        <v>1234</v>
      </c>
      <c r="R58" s="20" t="s">
        <v>1235</v>
      </c>
      <c r="S58" s="34" t="s">
        <v>1428</v>
      </c>
    </row>
    <row r="59" spans="1:19">
      <c r="A59" s="5" t="s">
        <v>1290</v>
      </c>
      <c r="B59" s="3">
        <v>52</v>
      </c>
      <c r="C59" s="8">
        <v>26</v>
      </c>
      <c r="D59" s="27">
        <f>B59/(C59+B59)</f>
        <v>0.66666666666666663</v>
      </c>
      <c r="F59" s="5" t="s">
        <v>1290</v>
      </c>
      <c r="G59" s="3">
        <v>52</v>
      </c>
      <c r="H59" s="8">
        <v>26</v>
      </c>
      <c r="I59" s="27">
        <f>G59/(H59+G59)</f>
        <v>0.66666666666666663</v>
      </c>
      <c r="K59" s="5" t="s">
        <v>1237</v>
      </c>
      <c r="L59" s="17">
        <v>9</v>
      </c>
      <c r="M59" s="17">
        <v>17</v>
      </c>
      <c r="N59" s="33">
        <f>L59/(M59+L59)</f>
        <v>0.34615384615384615</v>
      </c>
      <c r="P59" s="21" t="s">
        <v>1427</v>
      </c>
      <c r="Q59" s="20">
        <v>11</v>
      </c>
      <c r="R59" s="20">
        <v>15</v>
      </c>
      <c r="S59" s="34">
        <f>Q59/(R59+Q59)</f>
        <v>0.42307692307692307</v>
      </c>
    </row>
    <row r="60" spans="1:19">
      <c r="A60" t="s">
        <v>504</v>
      </c>
      <c r="B60" s="4"/>
      <c r="C60" s="9"/>
      <c r="D60" s="28" t="e">
        <f>C60/(B60+C60)</f>
        <v>#DIV/0!</v>
      </c>
      <c r="F60" s="5" t="s">
        <v>1237</v>
      </c>
      <c r="G60" s="3">
        <v>9</v>
      </c>
      <c r="H60" s="8">
        <v>17</v>
      </c>
      <c r="I60" s="27">
        <f>G60/(H60+G60)</f>
        <v>0.34615384615384615</v>
      </c>
      <c r="J60" t="s">
        <v>1238</v>
      </c>
      <c r="K60" t="s">
        <v>1201</v>
      </c>
      <c r="L60" s="17">
        <v>5</v>
      </c>
      <c r="M60" s="17">
        <v>4</v>
      </c>
      <c r="N60" s="33">
        <f>L60/(L60+M60)</f>
        <v>0.55555555555555558</v>
      </c>
      <c r="P60" s="20" t="s">
        <v>1201</v>
      </c>
      <c r="Q60" s="20">
        <v>6</v>
      </c>
      <c r="R60" s="20">
        <v>3</v>
      </c>
      <c r="S60" s="34">
        <f>Q60/(Q60+R60)</f>
        <v>0.66666666666666663</v>
      </c>
    </row>
    <row r="61" spans="1:19">
      <c r="A61" t="s">
        <v>505</v>
      </c>
      <c r="B61" s="4"/>
      <c r="C61" s="9"/>
      <c r="D61" s="28" t="e">
        <f t="shared" ref="D61:D62" si="8">C61/(B61+C61)</f>
        <v>#DIV/0!</v>
      </c>
      <c r="F61" s="5" t="s">
        <v>1240</v>
      </c>
      <c r="G61" s="3">
        <v>43</v>
      </c>
      <c r="H61" s="8">
        <v>8</v>
      </c>
      <c r="I61" s="27">
        <f>G61/(H61+G61)</f>
        <v>0.84313725490196079</v>
      </c>
      <c r="J61" t="s">
        <v>1239</v>
      </c>
      <c r="K61" t="s">
        <v>1203</v>
      </c>
      <c r="L61" s="17">
        <v>2</v>
      </c>
      <c r="M61" s="17">
        <v>5</v>
      </c>
      <c r="N61" s="33">
        <f t="shared" ref="N61:N63" si="9">L61/(L61+M61)</f>
        <v>0.2857142857142857</v>
      </c>
      <c r="P61" s="20" t="s">
        <v>1203</v>
      </c>
      <c r="Q61" s="20">
        <v>2</v>
      </c>
      <c r="R61" s="20">
        <v>5</v>
      </c>
      <c r="S61" s="34">
        <f t="shared" ref="S61:S63" si="10">Q61/(Q61+R61)</f>
        <v>0.2857142857142857</v>
      </c>
    </row>
    <row r="62" spans="1:19">
      <c r="A62" s="6" t="s">
        <v>506</v>
      </c>
      <c r="B62" s="4"/>
      <c r="C62" s="9"/>
      <c r="D62" s="28" t="e">
        <f t="shared" si="8"/>
        <v>#DIV/0!</v>
      </c>
      <c r="F62" s="6"/>
      <c r="K62" s="6" t="s">
        <v>1232</v>
      </c>
      <c r="L62" s="17">
        <v>2</v>
      </c>
      <c r="M62" s="17">
        <v>7</v>
      </c>
      <c r="N62" s="33">
        <f>L62/(L62+M62)</f>
        <v>0.22222222222222221</v>
      </c>
      <c r="P62" s="22" t="s">
        <v>1232</v>
      </c>
      <c r="Q62" s="20">
        <v>3</v>
      </c>
      <c r="R62" s="20">
        <v>6</v>
      </c>
      <c r="S62" s="34">
        <f t="shared" si="10"/>
        <v>0.33333333333333331</v>
      </c>
    </row>
    <row r="63" spans="1:19">
      <c r="A63" t="s">
        <v>1196</v>
      </c>
      <c r="D63" s="26" t="e">
        <f>SUM(C60:C62)/(SUM(C60:C62)+SUM(B60:B62))</f>
        <v>#DIV/0!</v>
      </c>
      <c r="F63" s="21" t="s">
        <v>1427</v>
      </c>
      <c r="G63" s="21">
        <v>11</v>
      </c>
      <c r="H63" s="21">
        <v>15</v>
      </c>
      <c r="I63" s="29">
        <f>G63/(H63+G63)</f>
        <v>0.42307692307692307</v>
      </c>
      <c r="K63" t="s">
        <v>1233</v>
      </c>
      <c r="L63">
        <v>0</v>
      </c>
      <c r="M63">
        <v>1</v>
      </c>
      <c r="N63" s="33">
        <f t="shared" si="9"/>
        <v>0</v>
      </c>
      <c r="P63" s="20" t="s">
        <v>1233</v>
      </c>
      <c r="Q63" s="20">
        <v>0</v>
      </c>
      <c r="R63" s="20">
        <v>1</v>
      </c>
      <c r="S63" s="34">
        <f t="shared" si="10"/>
        <v>0</v>
      </c>
    </row>
    <row r="64" spans="1:19">
      <c r="B64" s="7" t="s">
        <v>508</v>
      </c>
      <c r="C64" s="10" t="s">
        <v>510</v>
      </c>
      <c r="D64" s="26">
        <f>2*B59/(2*B59+C59+B63)</f>
        <v>0.8</v>
      </c>
      <c r="S64" s="26"/>
    </row>
    <row r="65" spans="1:19">
      <c r="B65" s="4" t="s">
        <v>509</v>
      </c>
      <c r="C65" s="9" t="s">
        <v>511</v>
      </c>
      <c r="S65" s="26"/>
    </row>
    <row r="67" spans="1:19">
      <c r="A67" t="s">
        <v>1388</v>
      </c>
      <c r="B67" t="s">
        <v>1528</v>
      </c>
    </row>
    <row r="68" spans="1:19">
      <c r="A68" t="s">
        <v>512</v>
      </c>
      <c r="B68" t="s">
        <v>1527</v>
      </c>
      <c r="K68" s="50" t="s">
        <v>1530</v>
      </c>
      <c r="L68" s="50"/>
      <c r="M68" s="50"/>
      <c r="N68" s="50"/>
    </row>
    <row r="69" spans="1:19">
      <c r="A69" t="s">
        <v>503</v>
      </c>
      <c r="B69" t="s">
        <v>502</v>
      </c>
      <c r="C69" t="s">
        <v>507</v>
      </c>
      <c r="F69" t="s">
        <v>503</v>
      </c>
      <c r="G69" t="s">
        <v>502</v>
      </c>
      <c r="H69" t="s">
        <v>507</v>
      </c>
      <c r="K69" t="s">
        <v>6</v>
      </c>
      <c r="L69" t="s">
        <v>1234</v>
      </c>
      <c r="M69" t="s">
        <v>1235</v>
      </c>
      <c r="N69" s="26" t="s">
        <v>1236</v>
      </c>
    </row>
    <row r="70" spans="1:19">
      <c r="A70" s="5" t="s">
        <v>1290</v>
      </c>
      <c r="B70" s="3">
        <v>62</v>
      </c>
      <c r="C70" s="8">
        <v>15</v>
      </c>
      <c r="D70" s="27">
        <f>B70/(C70+B70)</f>
        <v>0.80519480519480524</v>
      </c>
      <c r="F70" s="5" t="s">
        <v>1290</v>
      </c>
      <c r="G70" s="3">
        <v>62</v>
      </c>
      <c r="H70" s="8">
        <v>15</v>
      </c>
      <c r="I70" s="27">
        <f>G70/(H70+G70)</f>
        <v>0.80519480519480524</v>
      </c>
      <c r="K70" s="5" t="s">
        <v>1237</v>
      </c>
      <c r="L70" s="17">
        <v>11</v>
      </c>
      <c r="M70" s="17">
        <v>15</v>
      </c>
      <c r="N70" s="33">
        <f>L70/(M70+L70)</f>
        <v>0.42307692307692307</v>
      </c>
    </row>
    <row r="71" spans="1:19">
      <c r="A71" t="s">
        <v>504</v>
      </c>
      <c r="B71" s="4">
        <v>7</v>
      </c>
      <c r="C71" s="9">
        <v>13</v>
      </c>
      <c r="D71" s="28">
        <f>C71/(B71+C71)</f>
        <v>0.65</v>
      </c>
      <c r="F71" s="5" t="s">
        <v>1237</v>
      </c>
      <c r="G71" s="3">
        <v>11</v>
      </c>
      <c r="H71" s="8">
        <v>15</v>
      </c>
      <c r="I71" s="27">
        <f>G71/(H71+G71)</f>
        <v>0.42307692307692307</v>
      </c>
      <c r="J71" t="s">
        <v>1238</v>
      </c>
      <c r="K71" t="s">
        <v>1201</v>
      </c>
      <c r="L71" s="17">
        <v>5</v>
      </c>
      <c r="M71" s="17">
        <v>4</v>
      </c>
      <c r="N71" s="33">
        <f>L71/(L71+M71)</f>
        <v>0.55555555555555558</v>
      </c>
    </row>
    <row r="72" spans="1:19">
      <c r="A72" t="s">
        <v>505</v>
      </c>
      <c r="B72" s="4">
        <v>3</v>
      </c>
      <c r="C72" s="9">
        <v>10</v>
      </c>
      <c r="D72" s="28">
        <f t="shared" ref="D72:D73" si="11">C72/(B72+C72)</f>
        <v>0.76923076923076927</v>
      </c>
      <c r="F72" s="5" t="s">
        <v>1240</v>
      </c>
      <c r="G72" s="3">
        <v>51</v>
      </c>
      <c r="H72" s="8">
        <v>0</v>
      </c>
      <c r="I72" s="27">
        <f>G72/(H72+G72)</f>
        <v>1</v>
      </c>
      <c r="J72" t="s">
        <v>1239</v>
      </c>
      <c r="K72" t="s">
        <v>1203</v>
      </c>
      <c r="L72" s="17">
        <v>3</v>
      </c>
      <c r="M72" s="17">
        <v>4</v>
      </c>
      <c r="N72" s="33">
        <f t="shared" ref="N72" si="12">L72/(L72+M72)</f>
        <v>0.42857142857142855</v>
      </c>
    </row>
    <row r="73" spans="1:19">
      <c r="A73" s="6" t="s">
        <v>506</v>
      </c>
      <c r="B73" s="4">
        <v>1</v>
      </c>
      <c r="C73" s="9">
        <v>23</v>
      </c>
      <c r="D73" s="28">
        <f t="shared" si="11"/>
        <v>0.95833333333333337</v>
      </c>
      <c r="F73" s="6"/>
      <c r="K73" s="6" t="s">
        <v>1232</v>
      </c>
      <c r="L73" s="17">
        <v>3</v>
      </c>
      <c r="M73" s="17">
        <v>6</v>
      </c>
      <c r="N73" s="33">
        <f>L73/(L73+M73)</f>
        <v>0.33333333333333331</v>
      </c>
    </row>
    <row r="74" spans="1:19">
      <c r="A74" t="s">
        <v>1196</v>
      </c>
      <c r="D74" s="26">
        <f>SUM(C71:C73)/(SUM(C71:C73)+SUM(B71:B73))</f>
        <v>0.80701754385964908</v>
      </c>
      <c r="F74" s="25"/>
      <c r="G74" s="25"/>
      <c r="H74" s="25"/>
      <c r="I74" s="30"/>
      <c r="K74" t="s">
        <v>1233</v>
      </c>
      <c r="L74" s="17">
        <v>0</v>
      </c>
      <c r="M74" s="17">
        <v>1</v>
      </c>
      <c r="N74" s="33">
        <f t="shared" ref="N74" si="13">L74/(L74+M74)</f>
        <v>0</v>
      </c>
    </row>
    <row r="75" spans="1:19">
      <c r="B75" s="7" t="s">
        <v>508</v>
      </c>
      <c r="C75" s="10" t="s">
        <v>510</v>
      </c>
      <c r="D75" s="26">
        <f>2*B70/(2*B70+C70+B74)</f>
        <v>0.8920863309352518</v>
      </c>
    </row>
    <row r="76" spans="1:19">
      <c r="B76" s="4" t="s">
        <v>509</v>
      </c>
      <c r="C76" s="9" t="s">
        <v>511</v>
      </c>
    </row>
    <row r="78" spans="1:19">
      <c r="A78" t="s">
        <v>3081</v>
      </c>
      <c r="B78" t="s">
        <v>3097</v>
      </c>
    </row>
    <row r="79" spans="1:19">
      <c r="A79" t="s">
        <v>512</v>
      </c>
      <c r="B79" t="s">
        <v>1800</v>
      </c>
      <c r="K79" s="50" t="s">
        <v>1801</v>
      </c>
      <c r="L79" s="50"/>
      <c r="M79" s="50"/>
      <c r="N79" s="50"/>
    </row>
    <row r="80" spans="1:19">
      <c r="A80" t="s">
        <v>503</v>
      </c>
      <c r="B80" t="s">
        <v>502</v>
      </c>
      <c r="C80" t="s">
        <v>507</v>
      </c>
      <c r="F80" t="s">
        <v>503</v>
      </c>
      <c r="G80" t="s">
        <v>502</v>
      </c>
      <c r="H80" t="s">
        <v>507</v>
      </c>
      <c r="K80" t="s">
        <v>6</v>
      </c>
      <c r="L80" t="s">
        <v>1234</v>
      </c>
      <c r="M80" t="s">
        <v>1235</v>
      </c>
      <c r="N80" s="26" t="s">
        <v>1236</v>
      </c>
    </row>
    <row r="81" spans="1:14">
      <c r="A81" s="5" t="s">
        <v>1290</v>
      </c>
      <c r="B81" s="3">
        <v>51</v>
      </c>
      <c r="C81" s="8">
        <v>26</v>
      </c>
      <c r="D81" s="27">
        <f>B81/(C81+B81)</f>
        <v>0.66233766233766234</v>
      </c>
      <c r="F81" s="5" t="s">
        <v>1290</v>
      </c>
      <c r="G81" s="3">
        <f>SUM(G82:G83)</f>
        <v>51</v>
      </c>
      <c r="H81" s="8">
        <f>SUM(H82:H83)</f>
        <v>26</v>
      </c>
      <c r="I81" s="27">
        <f>G81/(H81+G81)</f>
        <v>0.66233766233766234</v>
      </c>
      <c r="K81" s="5" t="s">
        <v>1237</v>
      </c>
      <c r="L81" s="17">
        <f>SUM(L82:L85)</f>
        <v>16</v>
      </c>
      <c r="M81" s="17">
        <f>SUM(M82:M85)</f>
        <v>10</v>
      </c>
      <c r="N81" s="33">
        <f>L81/(M81+L81)</f>
        <v>0.61538461538461542</v>
      </c>
    </row>
    <row r="82" spans="1:14">
      <c r="A82" t="s">
        <v>504</v>
      </c>
      <c r="B82" s="4">
        <v>10</v>
      </c>
      <c r="C82" s="9">
        <v>10</v>
      </c>
      <c r="D82" s="28">
        <f>C82/(B82+C82)</f>
        <v>0.5</v>
      </c>
      <c r="F82" s="5" t="s">
        <v>1237</v>
      </c>
      <c r="G82" s="3">
        <v>16</v>
      </c>
      <c r="H82" s="8">
        <v>10</v>
      </c>
      <c r="I82" s="27">
        <f>G82/(H82+G82)</f>
        <v>0.61538461538461542</v>
      </c>
      <c r="J82" t="s">
        <v>1238</v>
      </c>
      <c r="K82" t="s">
        <v>1201</v>
      </c>
      <c r="L82" s="17">
        <v>7</v>
      </c>
      <c r="M82" s="17">
        <v>2</v>
      </c>
      <c r="N82" s="33">
        <f>L82/(L82+M82)</f>
        <v>0.77777777777777779</v>
      </c>
    </row>
    <row r="83" spans="1:14">
      <c r="A83" t="s">
        <v>505</v>
      </c>
      <c r="B83" s="4">
        <v>7</v>
      </c>
      <c r="C83" s="9">
        <v>6</v>
      </c>
      <c r="D83" s="28">
        <f t="shared" ref="D83:D84" si="14">C83/(B83+C83)</f>
        <v>0.46153846153846156</v>
      </c>
      <c r="F83" s="5" t="s">
        <v>1240</v>
      </c>
      <c r="G83" s="3">
        <v>35</v>
      </c>
      <c r="H83" s="8">
        <v>16</v>
      </c>
      <c r="I83" s="27">
        <f>G83/(H83+G83)</f>
        <v>0.68627450980392157</v>
      </c>
      <c r="J83" t="s">
        <v>1239</v>
      </c>
      <c r="K83" t="s">
        <v>1203</v>
      </c>
      <c r="L83" s="17">
        <v>3</v>
      </c>
      <c r="M83" s="17">
        <v>4</v>
      </c>
      <c r="N83" s="33">
        <f t="shared" ref="N83" si="15">L83/(L83+M83)</f>
        <v>0.42857142857142855</v>
      </c>
    </row>
    <row r="84" spans="1:14">
      <c r="A84" s="6" t="s">
        <v>506</v>
      </c>
      <c r="B84" s="4">
        <v>12</v>
      </c>
      <c r="C84" s="9">
        <v>12</v>
      </c>
      <c r="D84" s="28">
        <f t="shared" si="14"/>
        <v>0.5</v>
      </c>
      <c r="F84" s="6"/>
      <c r="K84" s="6" t="s">
        <v>1232</v>
      </c>
      <c r="L84" s="17">
        <v>5</v>
      </c>
      <c r="M84" s="17">
        <v>4</v>
      </c>
      <c r="N84" s="33">
        <f>L84/(L84+M84)</f>
        <v>0.55555555555555558</v>
      </c>
    </row>
    <row r="85" spans="1:14">
      <c r="A85" t="s">
        <v>1196</v>
      </c>
      <c r="B85">
        <f>SUM(B82:B84)</f>
        <v>29</v>
      </c>
      <c r="C85">
        <f>SUM(C82:C84)</f>
        <v>28</v>
      </c>
      <c r="D85" s="26">
        <f>SUM(C82:C84)/(SUM(C82:C84)+SUM(B82:B84))</f>
        <v>0.49122807017543857</v>
      </c>
      <c r="F85" s="25"/>
      <c r="G85" s="25"/>
      <c r="H85" s="25"/>
      <c r="I85" s="30"/>
      <c r="K85" t="s">
        <v>1233</v>
      </c>
      <c r="L85" s="17">
        <v>1</v>
      </c>
      <c r="M85" s="17">
        <v>0</v>
      </c>
      <c r="N85" s="33">
        <f t="shared" ref="N85" si="16">L85/(L85+M85)</f>
        <v>1</v>
      </c>
    </row>
    <row r="86" spans="1:14">
      <c r="B86" s="7" t="s">
        <v>508</v>
      </c>
      <c r="C86" s="10" t="s">
        <v>510</v>
      </c>
      <c r="D86" s="26">
        <f>2*B81/(2*B81+C81+B85)</f>
        <v>0.64968152866242035</v>
      </c>
    </row>
    <row r="87" spans="1:14">
      <c r="B87" s="4" t="s">
        <v>509</v>
      </c>
      <c r="C87" s="9" t="s">
        <v>511</v>
      </c>
    </row>
    <row r="89" spans="1:14">
      <c r="A89" t="s">
        <v>3081</v>
      </c>
      <c r="B89" t="s">
        <v>3097</v>
      </c>
    </row>
    <row r="90" spans="1:14">
      <c r="A90" t="s">
        <v>512</v>
      </c>
      <c r="B90" t="s">
        <v>2047</v>
      </c>
      <c r="K90" s="50" t="s">
        <v>1801</v>
      </c>
      <c r="L90" s="50"/>
      <c r="M90" s="50"/>
      <c r="N90" s="50"/>
    </row>
    <row r="91" spans="1:14">
      <c r="A91" t="s">
        <v>503</v>
      </c>
      <c r="B91" t="s">
        <v>502</v>
      </c>
      <c r="C91" t="s">
        <v>507</v>
      </c>
      <c r="F91" t="s">
        <v>503</v>
      </c>
      <c r="G91" t="s">
        <v>502</v>
      </c>
      <c r="H91" t="s">
        <v>507</v>
      </c>
      <c r="K91" t="s">
        <v>6</v>
      </c>
      <c r="L91" t="s">
        <v>1234</v>
      </c>
      <c r="M91" t="s">
        <v>1235</v>
      </c>
      <c r="N91" s="26" t="s">
        <v>1236</v>
      </c>
    </row>
    <row r="92" spans="1:14">
      <c r="A92" s="5" t="s">
        <v>1290</v>
      </c>
      <c r="B92" s="3">
        <v>65</v>
      </c>
      <c r="C92" s="8">
        <v>12</v>
      </c>
      <c r="D92" s="27">
        <f>B92/(C92+B92)</f>
        <v>0.8441558441558441</v>
      </c>
      <c r="F92" s="5" t="s">
        <v>1290</v>
      </c>
      <c r="G92" s="3">
        <f>SUM(G93:G94)</f>
        <v>65</v>
      </c>
      <c r="H92" s="8">
        <f>SUM(H93:H94)</f>
        <v>12</v>
      </c>
      <c r="I92" s="27">
        <f>G92/(H92+G92)</f>
        <v>0.8441558441558441</v>
      </c>
      <c r="K92" s="5" t="s">
        <v>1237</v>
      </c>
      <c r="L92" s="17">
        <f>SUM(L93:L96)</f>
        <v>15</v>
      </c>
      <c r="M92" s="17">
        <f>SUM(M93:M96)</f>
        <v>11</v>
      </c>
      <c r="N92" s="33">
        <f>L92/(M92+L92)</f>
        <v>0.57692307692307687</v>
      </c>
    </row>
    <row r="93" spans="1:14">
      <c r="A93" t="s">
        <v>504</v>
      </c>
      <c r="B93" s="4">
        <v>8</v>
      </c>
      <c r="C93" s="9">
        <v>12</v>
      </c>
      <c r="D93" s="28">
        <f>C93/(B93+C93)</f>
        <v>0.6</v>
      </c>
      <c r="F93" s="5" t="s">
        <v>1237</v>
      </c>
      <c r="G93" s="3">
        <v>15</v>
      </c>
      <c r="H93" s="8">
        <v>11</v>
      </c>
      <c r="I93" s="27">
        <f>G93/(H93+G93)</f>
        <v>0.57692307692307687</v>
      </c>
      <c r="J93" t="s">
        <v>1238</v>
      </c>
      <c r="K93" t="s">
        <v>1201</v>
      </c>
      <c r="L93" s="17">
        <v>7</v>
      </c>
      <c r="M93" s="17">
        <v>2</v>
      </c>
      <c r="N93" s="33">
        <f>L93/(L93+M93)</f>
        <v>0.77777777777777779</v>
      </c>
    </row>
    <row r="94" spans="1:14">
      <c r="A94" t="s">
        <v>505</v>
      </c>
      <c r="B94" s="4">
        <v>3</v>
      </c>
      <c r="C94" s="9">
        <v>10</v>
      </c>
      <c r="D94" s="28">
        <f t="shared" ref="D94:D95" si="17">C94/(B94+C94)</f>
        <v>0.76923076923076927</v>
      </c>
      <c r="F94" s="5" t="s">
        <v>1240</v>
      </c>
      <c r="G94" s="3">
        <v>50</v>
      </c>
      <c r="H94" s="8">
        <v>1</v>
      </c>
      <c r="I94" s="27">
        <f>G94/(H94+G94)</f>
        <v>0.98039215686274506</v>
      </c>
      <c r="J94" t="s">
        <v>1239</v>
      </c>
      <c r="K94" t="s">
        <v>1203</v>
      </c>
      <c r="L94" s="17">
        <v>3</v>
      </c>
      <c r="M94" s="17">
        <v>4</v>
      </c>
      <c r="N94" s="33">
        <f t="shared" ref="N94" si="18">L94/(L94+M94)</f>
        <v>0.42857142857142855</v>
      </c>
    </row>
    <row r="95" spans="1:14">
      <c r="A95" s="6" t="s">
        <v>506</v>
      </c>
      <c r="B95" s="4">
        <v>14</v>
      </c>
      <c r="C95" s="9">
        <v>10</v>
      </c>
      <c r="D95" s="28">
        <f t="shared" si="17"/>
        <v>0.41666666666666669</v>
      </c>
      <c r="F95" s="6"/>
      <c r="K95" s="6" t="s">
        <v>1232</v>
      </c>
      <c r="L95" s="17">
        <v>5</v>
      </c>
      <c r="M95" s="17">
        <v>4</v>
      </c>
      <c r="N95" s="33">
        <f>L95/(L95+M95)</f>
        <v>0.55555555555555558</v>
      </c>
    </row>
    <row r="96" spans="1:14">
      <c r="A96" t="s">
        <v>1196</v>
      </c>
      <c r="B96">
        <f>SUM(B93:B95)</f>
        <v>25</v>
      </c>
      <c r="C96">
        <f>SUM(C93:C95)</f>
        <v>32</v>
      </c>
      <c r="D96" s="26">
        <f>SUM(C93:C95)/(SUM(C93:C95)+SUM(B93:B95))</f>
        <v>0.56140350877192979</v>
      </c>
      <c r="F96" s="25"/>
      <c r="G96" s="25"/>
      <c r="H96" s="25"/>
      <c r="I96" s="30"/>
      <c r="K96" t="s">
        <v>1233</v>
      </c>
      <c r="L96" s="17">
        <v>0</v>
      </c>
      <c r="M96" s="17">
        <v>1</v>
      </c>
      <c r="N96" s="33">
        <f t="shared" ref="N96" si="19">L96/(L96+M96)</f>
        <v>0</v>
      </c>
    </row>
    <row r="97" spans="1:14">
      <c r="B97" s="7" t="s">
        <v>508</v>
      </c>
      <c r="C97" s="10" t="s">
        <v>510</v>
      </c>
      <c r="D97" s="26">
        <f>2*B92/(2*B92+C92+B96)</f>
        <v>0.77844311377245512</v>
      </c>
    </row>
    <row r="98" spans="1:14">
      <c r="B98" s="4" t="s">
        <v>509</v>
      </c>
      <c r="C98" s="9" t="s">
        <v>511</v>
      </c>
    </row>
    <row r="100" spans="1:14">
      <c r="A100" s="37" t="s">
        <v>3081</v>
      </c>
      <c r="B100" s="37" t="s">
        <v>2046</v>
      </c>
    </row>
    <row r="101" spans="1:14">
      <c r="A101" t="s">
        <v>512</v>
      </c>
      <c r="B101" t="s">
        <v>3098</v>
      </c>
      <c r="K101" s="50" t="s">
        <v>1801</v>
      </c>
      <c r="L101" s="50"/>
      <c r="M101" s="50"/>
      <c r="N101" s="50"/>
    </row>
    <row r="102" spans="1:14">
      <c r="A102" t="s">
        <v>503</v>
      </c>
      <c r="B102" t="s">
        <v>502</v>
      </c>
      <c r="C102" t="s">
        <v>507</v>
      </c>
      <c r="F102" t="s">
        <v>503</v>
      </c>
      <c r="G102" t="s">
        <v>502</v>
      </c>
      <c r="H102" t="s">
        <v>507</v>
      </c>
      <c r="K102" t="s">
        <v>6</v>
      </c>
      <c r="L102" t="s">
        <v>1234</v>
      </c>
      <c r="M102" t="s">
        <v>1235</v>
      </c>
      <c r="N102" s="26" t="s">
        <v>1236</v>
      </c>
    </row>
    <row r="103" spans="1:14">
      <c r="A103" s="5" t="s">
        <v>1290</v>
      </c>
      <c r="B103" s="3">
        <v>65</v>
      </c>
      <c r="C103" s="8">
        <v>12</v>
      </c>
      <c r="D103" s="27">
        <f>B103/(C103+B103)</f>
        <v>0.8441558441558441</v>
      </c>
      <c r="F103" s="5" t="s">
        <v>1290</v>
      </c>
      <c r="G103" s="3">
        <f>SUM(G104:G105)</f>
        <v>65</v>
      </c>
      <c r="H103" s="8">
        <f>SUM(H104:H105)</f>
        <v>12</v>
      </c>
      <c r="I103" s="27">
        <f>G103/(H103+G103)</f>
        <v>0.8441558441558441</v>
      </c>
      <c r="K103" s="5" t="s">
        <v>1237</v>
      </c>
      <c r="L103" s="17">
        <f>SUM(L104:L107)</f>
        <v>15</v>
      </c>
      <c r="M103" s="17">
        <f>SUM(M104:M107)</f>
        <v>11</v>
      </c>
      <c r="N103" s="33">
        <f>L103/(M103+L103)</f>
        <v>0.57692307692307687</v>
      </c>
    </row>
    <row r="104" spans="1:14">
      <c r="A104" t="s">
        <v>504</v>
      </c>
      <c r="B104" s="4">
        <v>8</v>
      </c>
      <c r="C104" s="9">
        <v>12</v>
      </c>
      <c r="D104" s="28">
        <f>C104/(B104+C104)</f>
        <v>0.6</v>
      </c>
      <c r="F104" s="5" t="s">
        <v>1237</v>
      </c>
      <c r="G104" s="3">
        <v>15</v>
      </c>
      <c r="H104" s="8">
        <v>11</v>
      </c>
      <c r="I104" s="27">
        <f>G104/(H104+G104)</f>
        <v>0.57692307692307687</v>
      </c>
      <c r="J104" t="s">
        <v>1238</v>
      </c>
      <c r="K104" t="s">
        <v>1201</v>
      </c>
      <c r="L104" s="17">
        <v>7</v>
      </c>
      <c r="M104" s="17">
        <v>2</v>
      </c>
      <c r="N104" s="33">
        <f>L104/(L104+M104)</f>
        <v>0.77777777777777779</v>
      </c>
    </row>
    <row r="105" spans="1:14">
      <c r="A105" t="s">
        <v>505</v>
      </c>
      <c r="B105" s="4">
        <v>5</v>
      </c>
      <c r="C105" s="9">
        <v>8</v>
      </c>
      <c r="D105" s="28">
        <f t="shared" ref="D105:D106" si="20">C105/(B105+C105)</f>
        <v>0.61538461538461542</v>
      </c>
      <c r="F105" s="5" t="s">
        <v>1240</v>
      </c>
      <c r="G105" s="3">
        <v>50</v>
      </c>
      <c r="H105" s="8">
        <v>1</v>
      </c>
      <c r="I105" s="27">
        <f>G105/(H105+G105)</f>
        <v>0.98039215686274506</v>
      </c>
      <c r="J105" t="s">
        <v>1239</v>
      </c>
      <c r="K105" t="s">
        <v>1203</v>
      </c>
      <c r="L105" s="17">
        <v>1</v>
      </c>
      <c r="M105" s="17">
        <v>6</v>
      </c>
      <c r="N105" s="33">
        <f t="shared" ref="N105" si="21">L105/(L105+M105)</f>
        <v>0.14285714285714285</v>
      </c>
    </row>
    <row r="106" spans="1:14">
      <c r="A106" s="6" t="s">
        <v>506</v>
      </c>
      <c r="B106" s="4">
        <v>10</v>
      </c>
      <c r="C106" s="9">
        <v>14</v>
      </c>
      <c r="D106" s="28">
        <f t="shared" si="20"/>
        <v>0.58333333333333337</v>
      </c>
      <c r="F106" s="6"/>
      <c r="K106" s="6" t="s">
        <v>1232</v>
      </c>
      <c r="L106" s="17">
        <v>6</v>
      </c>
      <c r="M106" s="17">
        <v>3</v>
      </c>
      <c r="N106" s="33">
        <f>L106/(L106+M106)</f>
        <v>0.66666666666666663</v>
      </c>
    </row>
    <row r="107" spans="1:14">
      <c r="A107" t="s">
        <v>1196</v>
      </c>
      <c r="B107">
        <f>SUM(B104:B106)</f>
        <v>23</v>
      </c>
      <c r="C107">
        <f>SUM(C104:C106)</f>
        <v>34</v>
      </c>
      <c r="D107" s="26">
        <f>SUM(C104:C106)/(SUM(C104:C106)+SUM(B104:B106))</f>
        <v>0.59649122807017541</v>
      </c>
      <c r="F107" s="25"/>
      <c r="G107" s="25"/>
      <c r="H107" s="25"/>
      <c r="I107" s="30"/>
      <c r="K107" t="s">
        <v>1233</v>
      </c>
      <c r="L107" s="17">
        <v>1</v>
      </c>
      <c r="M107" s="17">
        <v>0</v>
      </c>
      <c r="N107" s="33">
        <f t="shared" ref="N107" si="22">L107/(L107+M107)</f>
        <v>1</v>
      </c>
    </row>
    <row r="108" spans="1:14">
      <c r="B108" s="7" t="s">
        <v>508</v>
      </c>
      <c r="C108" s="10" t="s">
        <v>510</v>
      </c>
      <c r="D108" s="26">
        <f>2*B103/(2*B103+C103+B107)</f>
        <v>0.78787878787878785</v>
      </c>
    </row>
    <row r="109" spans="1:14">
      <c r="B109" s="4" t="s">
        <v>509</v>
      </c>
      <c r="C109" s="9" t="s">
        <v>511</v>
      </c>
    </row>
    <row r="111" spans="1:14">
      <c r="A111" s="37" t="s">
        <v>3079</v>
      </c>
      <c r="B111" s="44" t="s">
        <v>3102</v>
      </c>
    </row>
    <row r="112" spans="1:14">
      <c r="A112" t="s">
        <v>512</v>
      </c>
      <c r="B112" t="s">
        <v>3099</v>
      </c>
      <c r="K112" s="50" t="s">
        <v>1801</v>
      </c>
      <c r="L112" s="50"/>
      <c r="M112" s="50"/>
      <c r="N112" s="50"/>
    </row>
    <row r="113" spans="1:14">
      <c r="A113" t="s">
        <v>503</v>
      </c>
      <c r="B113" t="s">
        <v>502</v>
      </c>
      <c r="C113" t="s">
        <v>507</v>
      </c>
      <c r="F113" t="s">
        <v>503</v>
      </c>
      <c r="G113" t="s">
        <v>502</v>
      </c>
      <c r="H113" t="s">
        <v>507</v>
      </c>
      <c r="K113" t="s">
        <v>6</v>
      </c>
      <c r="L113" t="s">
        <v>1234</v>
      </c>
      <c r="M113" t="s">
        <v>1235</v>
      </c>
      <c r="N113" s="26" t="s">
        <v>1236</v>
      </c>
    </row>
    <row r="114" spans="1:14">
      <c r="A114" s="5" t="s">
        <v>1290</v>
      </c>
      <c r="B114" s="3">
        <v>69</v>
      </c>
      <c r="C114" s="8">
        <v>8</v>
      </c>
      <c r="D114" s="27">
        <f>B114/(C114+B114)</f>
        <v>0.89610389610389607</v>
      </c>
      <c r="F114" s="5" t="s">
        <v>1290</v>
      </c>
      <c r="G114" s="3">
        <f>SUM(G115:G116)</f>
        <v>69</v>
      </c>
      <c r="H114" s="8">
        <f>SUM(H115:H116)</f>
        <v>8</v>
      </c>
      <c r="I114" s="27">
        <f>G114/(H114+G114)</f>
        <v>0.89610389610389607</v>
      </c>
      <c r="K114" s="5" t="s">
        <v>1237</v>
      </c>
      <c r="L114" s="17">
        <f>SUM(L115:L118)</f>
        <v>18</v>
      </c>
      <c r="M114" s="17">
        <f>SUM(M115:M118)</f>
        <v>8</v>
      </c>
      <c r="N114" s="33">
        <f>L114/(M114+L114)</f>
        <v>0.69230769230769229</v>
      </c>
    </row>
    <row r="115" spans="1:14">
      <c r="A115" t="s">
        <v>504</v>
      </c>
      <c r="B115" s="4">
        <v>12</v>
      </c>
      <c r="C115" s="9">
        <v>8</v>
      </c>
      <c r="D115" s="28">
        <f>C115/(B115+C115)</f>
        <v>0.4</v>
      </c>
      <c r="F115" s="5" t="s">
        <v>1237</v>
      </c>
      <c r="G115" s="3">
        <v>18</v>
      </c>
      <c r="H115" s="8">
        <v>8</v>
      </c>
      <c r="I115" s="27">
        <f>G115/(H115+G115)</f>
        <v>0.69230769230769229</v>
      </c>
      <c r="J115" t="s">
        <v>1238</v>
      </c>
      <c r="K115" t="s">
        <v>1201</v>
      </c>
      <c r="L115" s="17">
        <v>8</v>
      </c>
      <c r="M115" s="17">
        <v>1</v>
      </c>
      <c r="N115" s="33">
        <f>L115/(L115+M115)</f>
        <v>0.88888888888888884</v>
      </c>
    </row>
    <row r="116" spans="1:14">
      <c r="A116" t="s">
        <v>505</v>
      </c>
      <c r="B116" s="4">
        <v>7</v>
      </c>
      <c r="C116" s="9">
        <v>6</v>
      </c>
      <c r="D116" s="28">
        <f t="shared" ref="D116:D117" si="23">C116/(B116+C116)</f>
        <v>0.46153846153846156</v>
      </c>
      <c r="F116" s="5" t="s">
        <v>1240</v>
      </c>
      <c r="G116" s="3">
        <v>51</v>
      </c>
      <c r="H116" s="8">
        <v>0</v>
      </c>
      <c r="I116" s="27">
        <f>G116/(H116+G116)</f>
        <v>1</v>
      </c>
      <c r="J116" t="s">
        <v>1239</v>
      </c>
      <c r="K116" t="s">
        <v>1203</v>
      </c>
      <c r="L116" s="17">
        <v>2</v>
      </c>
      <c r="M116" s="17">
        <v>5</v>
      </c>
      <c r="N116" s="33">
        <f t="shared" ref="N116" si="24">L116/(L116+M116)</f>
        <v>0.2857142857142857</v>
      </c>
    </row>
    <row r="117" spans="1:14">
      <c r="A117" s="6" t="s">
        <v>506</v>
      </c>
      <c r="B117" s="4">
        <v>10</v>
      </c>
      <c r="C117" s="9">
        <v>14</v>
      </c>
      <c r="D117" s="28">
        <f t="shared" si="23"/>
        <v>0.58333333333333337</v>
      </c>
      <c r="F117" s="6"/>
      <c r="K117" s="6" t="s">
        <v>1232</v>
      </c>
      <c r="L117" s="17">
        <v>7</v>
      </c>
      <c r="M117" s="17">
        <v>2</v>
      </c>
      <c r="N117" s="33">
        <f>L117/(L117+M117)</f>
        <v>0.77777777777777779</v>
      </c>
    </row>
    <row r="118" spans="1:14">
      <c r="A118" t="s">
        <v>1196</v>
      </c>
      <c r="B118">
        <f>SUM(B115:B117)</f>
        <v>29</v>
      </c>
      <c r="C118">
        <f>SUM(C115:C117)</f>
        <v>28</v>
      </c>
      <c r="D118" s="26">
        <f>SUM(C115:C117)/(SUM(C115:C117)+SUM(B115:B117))</f>
        <v>0.49122807017543857</v>
      </c>
      <c r="F118" s="25"/>
      <c r="G118" s="25"/>
      <c r="H118" s="25"/>
      <c r="I118" s="30"/>
      <c r="K118" t="s">
        <v>1233</v>
      </c>
      <c r="L118" s="17">
        <v>1</v>
      </c>
      <c r="M118" s="17">
        <v>0</v>
      </c>
      <c r="N118" s="33">
        <f t="shared" ref="N118" si="25">L118/(L118+M118)</f>
        <v>1</v>
      </c>
    </row>
    <row r="119" spans="1:14">
      <c r="B119" s="7" t="s">
        <v>508</v>
      </c>
      <c r="C119" s="10" t="s">
        <v>510</v>
      </c>
      <c r="D119" s="26">
        <f>2*B114/(2*B114+C114+B118)</f>
        <v>0.78857142857142859</v>
      </c>
    </row>
    <row r="120" spans="1:14">
      <c r="B120" s="4" t="s">
        <v>509</v>
      </c>
      <c r="C120" s="9" t="s">
        <v>511</v>
      </c>
    </row>
    <row r="122" spans="1:14">
      <c r="A122" s="37" t="s">
        <v>3079</v>
      </c>
      <c r="B122" s="37" t="s">
        <v>2046</v>
      </c>
    </row>
    <row r="123" spans="1:14">
      <c r="A123" t="s">
        <v>512</v>
      </c>
      <c r="B123" t="s">
        <v>2674</v>
      </c>
      <c r="K123" s="50" t="s">
        <v>1801</v>
      </c>
      <c r="L123" s="50"/>
      <c r="M123" s="50"/>
      <c r="N123" s="50"/>
    </row>
    <row r="124" spans="1:14">
      <c r="A124" t="s">
        <v>503</v>
      </c>
      <c r="B124" t="s">
        <v>502</v>
      </c>
      <c r="C124" t="s">
        <v>507</v>
      </c>
      <c r="F124" t="s">
        <v>503</v>
      </c>
      <c r="G124" t="s">
        <v>502</v>
      </c>
      <c r="H124" t="s">
        <v>507</v>
      </c>
      <c r="K124" t="s">
        <v>6</v>
      </c>
      <c r="L124" t="s">
        <v>1234</v>
      </c>
      <c r="M124" t="s">
        <v>1235</v>
      </c>
      <c r="N124" s="26" t="s">
        <v>1236</v>
      </c>
    </row>
    <row r="125" spans="1:14">
      <c r="A125" s="5" t="s">
        <v>1290</v>
      </c>
      <c r="B125" s="3">
        <v>65</v>
      </c>
      <c r="C125" s="8">
        <v>12</v>
      </c>
      <c r="D125" s="27">
        <f>B125/(C125+B125)</f>
        <v>0.8441558441558441</v>
      </c>
      <c r="F125" s="5" t="s">
        <v>1290</v>
      </c>
      <c r="G125" s="3">
        <f>SUM(G126:G127)</f>
        <v>65</v>
      </c>
      <c r="H125" s="8">
        <f>SUM(H126:H127)</f>
        <v>12</v>
      </c>
      <c r="I125" s="27">
        <f>G125/(H125+G125)</f>
        <v>0.8441558441558441</v>
      </c>
      <c r="K125" s="5" t="s">
        <v>1237</v>
      </c>
      <c r="L125" s="17">
        <f>SUM(L126:L129)</f>
        <v>14</v>
      </c>
      <c r="M125" s="17">
        <f>SUM(M126:M129)</f>
        <v>12</v>
      </c>
      <c r="N125" s="33">
        <f>L125/(M125+L125)</f>
        <v>0.53846153846153844</v>
      </c>
    </row>
    <row r="126" spans="1:14">
      <c r="A126" t="s">
        <v>504</v>
      </c>
      <c r="B126" s="4">
        <v>9</v>
      </c>
      <c r="C126" s="9">
        <v>11</v>
      </c>
      <c r="D126" s="28">
        <f>C126/(B126+C126)</f>
        <v>0.55000000000000004</v>
      </c>
      <c r="F126" s="5" t="s">
        <v>1237</v>
      </c>
      <c r="G126" s="3">
        <v>14</v>
      </c>
      <c r="H126" s="8">
        <v>12</v>
      </c>
      <c r="I126" s="27">
        <f>G126/(H126+G126)</f>
        <v>0.53846153846153844</v>
      </c>
      <c r="J126" t="s">
        <v>1238</v>
      </c>
      <c r="K126" t="s">
        <v>1201</v>
      </c>
      <c r="L126" s="17">
        <v>6</v>
      </c>
      <c r="M126" s="17">
        <v>3</v>
      </c>
      <c r="N126" s="33">
        <f>L126/(L126+M126)</f>
        <v>0.66666666666666663</v>
      </c>
    </row>
    <row r="127" spans="1:14">
      <c r="A127" t="s">
        <v>505</v>
      </c>
      <c r="B127" s="4">
        <v>7</v>
      </c>
      <c r="C127" s="9">
        <v>6</v>
      </c>
      <c r="D127" s="28">
        <f t="shared" ref="D127:D128" si="26">C127/(B127+C127)</f>
        <v>0.46153846153846156</v>
      </c>
      <c r="F127" s="5" t="s">
        <v>1240</v>
      </c>
      <c r="G127" s="3">
        <v>51</v>
      </c>
      <c r="H127" s="8">
        <v>0</v>
      </c>
      <c r="I127" s="27">
        <f>G127/(H127+G127)</f>
        <v>1</v>
      </c>
      <c r="J127" t="s">
        <v>1239</v>
      </c>
      <c r="K127" t="s">
        <v>1203</v>
      </c>
      <c r="L127" s="17">
        <v>1</v>
      </c>
      <c r="M127" s="17">
        <v>6</v>
      </c>
      <c r="N127" s="33">
        <f t="shared" ref="N127" si="27">L127/(L127+M127)</f>
        <v>0.14285714285714285</v>
      </c>
    </row>
    <row r="128" spans="1:14">
      <c r="A128" s="6" t="s">
        <v>506</v>
      </c>
      <c r="B128" s="4">
        <v>9</v>
      </c>
      <c r="C128" s="9">
        <v>15</v>
      </c>
      <c r="D128" s="28">
        <f t="shared" si="26"/>
        <v>0.625</v>
      </c>
      <c r="F128" s="6"/>
      <c r="K128" s="6" t="s">
        <v>1232</v>
      </c>
      <c r="L128" s="17">
        <v>6</v>
      </c>
      <c r="M128" s="17">
        <v>3</v>
      </c>
      <c r="N128" s="33">
        <f>L128/(L128+M128)</f>
        <v>0.66666666666666663</v>
      </c>
    </row>
    <row r="129" spans="1:14">
      <c r="A129" t="s">
        <v>1196</v>
      </c>
      <c r="B129">
        <f>SUM(B126:B128)</f>
        <v>25</v>
      </c>
      <c r="C129">
        <f>SUM(C126:C128)</f>
        <v>32</v>
      </c>
      <c r="D129" s="26">
        <f>SUM(C126:C128)/(SUM(C126:C128)+SUM(B126:B128))</f>
        <v>0.56140350877192979</v>
      </c>
      <c r="F129" s="25"/>
      <c r="G129" s="25"/>
      <c r="H129" s="25"/>
      <c r="I129" s="30"/>
      <c r="K129" t="s">
        <v>1233</v>
      </c>
      <c r="L129" s="17">
        <v>1</v>
      </c>
      <c r="M129" s="17">
        <v>0</v>
      </c>
      <c r="N129" s="33">
        <f t="shared" ref="N129" si="28">L129/(L129+M129)</f>
        <v>1</v>
      </c>
    </row>
    <row r="130" spans="1:14">
      <c r="B130" s="7" t="s">
        <v>508</v>
      </c>
      <c r="C130" s="10" t="s">
        <v>510</v>
      </c>
      <c r="D130" s="26">
        <f>2*B125/(2*B125+C125+B129)</f>
        <v>0.77844311377245512</v>
      </c>
    </row>
    <row r="131" spans="1:14">
      <c r="B131" s="4" t="s">
        <v>509</v>
      </c>
      <c r="C131" s="9" t="s">
        <v>511</v>
      </c>
    </row>
    <row r="133" spans="1:14">
      <c r="A133" t="s">
        <v>3079</v>
      </c>
      <c r="B133" t="s">
        <v>2214</v>
      </c>
    </row>
    <row r="134" spans="1:14">
      <c r="A134" t="s">
        <v>512</v>
      </c>
      <c r="B134" t="s">
        <v>2215</v>
      </c>
      <c r="K134" s="50" t="s">
        <v>2216</v>
      </c>
      <c r="L134" s="50"/>
      <c r="M134" s="50"/>
      <c r="N134" s="50"/>
    </row>
    <row r="135" spans="1:14">
      <c r="A135" t="s">
        <v>503</v>
      </c>
      <c r="B135" t="s">
        <v>502</v>
      </c>
      <c r="C135" t="s">
        <v>507</v>
      </c>
      <c r="F135" t="s">
        <v>503</v>
      </c>
      <c r="G135" t="s">
        <v>502</v>
      </c>
      <c r="H135" t="s">
        <v>507</v>
      </c>
      <c r="K135" t="s">
        <v>6</v>
      </c>
      <c r="L135" t="s">
        <v>1234</v>
      </c>
      <c r="M135" t="s">
        <v>1235</v>
      </c>
      <c r="N135" s="26" t="s">
        <v>1236</v>
      </c>
    </row>
    <row r="136" spans="1:14">
      <c r="A136" s="5" t="s">
        <v>1290</v>
      </c>
      <c r="B136" s="3">
        <v>62</v>
      </c>
      <c r="C136" s="8">
        <v>15</v>
      </c>
      <c r="D136" s="27">
        <f>B136/(C136+B136)</f>
        <v>0.80519480519480524</v>
      </c>
      <c r="F136" s="5" t="s">
        <v>1290</v>
      </c>
      <c r="G136" s="3">
        <f>SUM(G137:G138)</f>
        <v>62</v>
      </c>
      <c r="H136" s="8">
        <f>SUM(H137:H138)</f>
        <v>15</v>
      </c>
      <c r="I136" s="27">
        <f>G136/(H136+G136)</f>
        <v>0.80519480519480524</v>
      </c>
      <c r="K136" s="5" t="s">
        <v>1237</v>
      </c>
      <c r="L136" s="17">
        <f>SUM(L137:L140)</f>
        <v>11</v>
      </c>
      <c r="M136" s="17">
        <f>SUM(M137:M140)</f>
        <v>15</v>
      </c>
      <c r="N136" s="33">
        <f>L136/(M136+L136)</f>
        <v>0.42307692307692307</v>
      </c>
    </row>
    <row r="137" spans="1:14">
      <c r="A137" t="s">
        <v>504</v>
      </c>
      <c r="B137" s="4">
        <v>10</v>
      </c>
      <c r="C137" s="9">
        <v>10</v>
      </c>
      <c r="D137" s="28">
        <f>C137/(B137+C137)</f>
        <v>0.5</v>
      </c>
      <c r="F137" s="5" t="s">
        <v>1237</v>
      </c>
      <c r="G137" s="3">
        <v>11</v>
      </c>
      <c r="H137" s="8">
        <v>15</v>
      </c>
      <c r="I137" s="27">
        <f>G137/(H137+G137)</f>
        <v>0.42307692307692307</v>
      </c>
      <c r="J137" t="s">
        <v>1238</v>
      </c>
      <c r="K137" t="s">
        <v>1201</v>
      </c>
      <c r="L137" s="17">
        <v>5</v>
      </c>
      <c r="M137" s="17">
        <v>4</v>
      </c>
      <c r="N137" s="33">
        <f>L137/(L137+M137)</f>
        <v>0.55555555555555558</v>
      </c>
    </row>
    <row r="138" spans="1:14">
      <c r="A138" t="s">
        <v>505</v>
      </c>
      <c r="B138" s="4">
        <v>8</v>
      </c>
      <c r="C138" s="9">
        <v>5</v>
      </c>
      <c r="D138" s="28">
        <f t="shared" ref="D138:D139" si="29">C138/(B138+C138)</f>
        <v>0.38461538461538464</v>
      </c>
      <c r="F138" s="5" t="s">
        <v>1240</v>
      </c>
      <c r="G138" s="3">
        <v>51</v>
      </c>
      <c r="H138" s="8">
        <v>0</v>
      </c>
      <c r="I138" s="27">
        <f>G138/(H138+G138)</f>
        <v>1</v>
      </c>
      <c r="J138" t="s">
        <v>1239</v>
      </c>
      <c r="K138" t="s">
        <v>1203</v>
      </c>
      <c r="L138" s="17">
        <v>0</v>
      </c>
      <c r="M138" s="17">
        <v>7</v>
      </c>
      <c r="N138" s="33">
        <f t="shared" ref="N138" si="30">L138/(L138+M138)</f>
        <v>0</v>
      </c>
    </row>
    <row r="139" spans="1:14">
      <c r="A139" s="6" t="s">
        <v>506</v>
      </c>
      <c r="B139" s="4">
        <v>5</v>
      </c>
      <c r="C139" s="9">
        <v>19</v>
      </c>
      <c r="D139" s="28">
        <f t="shared" si="29"/>
        <v>0.79166666666666663</v>
      </c>
      <c r="F139" s="6"/>
      <c r="K139" s="6" t="s">
        <v>1232</v>
      </c>
      <c r="L139" s="17">
        <v>6</v>
      </c>
      <c r="M139" s="17">
        <v>3</v>
      </c>
      <c r="N139" s="33">
        <f>L139/(L139+M139)</f>
        <v>0.66666666666666663</v>
      </c>
    </row>
    <row r="140" spans="1:14">
      <c r="A140" t="s">
        <v>1196</v>
      </c>
      <c r="B140">
        <f>SUM(B137:B139)</f>
        <v>23</v>
      </c>
      <c r="C140">
        <f>SUM(C137:C139)</f>
        <v>34</v>
      </c>
      <c r="D140" s="26">
        <f>SUM(C137:C139)/(SUM(C137:C139)+SUM(B137:B139))</f>
        <v>0.59649122807017541</v>
      </c>
      <c r="F140" s="25"/>
      <c r="G140" s="25"/>
      <c r="H140" s="25"/>
      <c r="I140" s="30"/>
      <c r="K140" t="s">
        <v>1233</v>
      </c>
      <c r="L140" s="17">
        <v>0</v>
      </c>
      <c r="M140" s="17">
        <v>1</v>
      </c>
      <c r="N140" s="33">
        <f t="shared" ref="N140" si="31">L140/(L140+M140)</f>
        <v>0</v>
      </c>
    </row>
    <row r="141" spans="1:14">
      <c r="B141" s="7" t="s">
        <v>508</v>
      </c>
      <c r="C141" s="10" t="s">
        <v>510</v>
      </c>
      <c r="D141" s="26">
        <f>2*B136/(2*B136+C136+B140)</f>
        <v>0.76543209876543206</v>
      </c>
    </row>
    <row r="142" spans="1:14">
      <c r="B142" s="4" t="s">
        <v>509</v>
      </c>
      <c r="C142" s="9" t="s">
        <v>511</v>
      </c>
    </row>
    <row r="144" spans="1:14">
      <c r="A144" t="s">
        <v>3079</v>
      </c>
      <c r="B144" t="s">
        <v>2214</v>
      </c>
      <c r="C144" t="s">
        <v>2513</v>
      </c>
    </row>
    <row r="145" spans="1:14">
      <c r="A145" t="s">
        <v>512</v>
      </c>
      <c r="B145" t="s">
        <v>2215</v>
      </c>
      <c r="K145" s="50" t="s">
        <v>2216</v>
      </c>
      <c r="L145" s="50"/>
      <c r="M145" s="50"/>
      <c r="N145" s="50"/>
    </row>
    <row r="146" spans="1:14">
      <c r="A146" t="s">
        <v>503</v>
      </c>
      <c r="B146" t="s">
        <v>502</v>
      </c>
      <c r="C146" t="s">
        <v>507</v>
      </c>
      <c r="F146" t="s">
        <v>503</v>
      </c>
      <c r="G146" t="s">
        <v>502</v>
      </c>
      <c r="H146" t="s">
        <v>507</v>
      </c>
      <c r="K146" t="s">
        <v>6</v>
      </c>
      <c r="L146" t="s">
        <v>1234</v>
      </c>
      <c r="M146" t="s">
        <v>1235</v>
      </c>
      <c r="N146" s="26" t="s">
        <v>1236</v>
      </c>
    </row>
    <row r="147" spans="1:14">
      <c r="A147" s="5" t="s">
        <v>1290</v>
      </c>
      <c r="B147" s="3">
        <v>61</v>
      </c>
      <c r="C147" s="8">
        <v>16</v>
      </c>
      <c r="D147" s="27">
        <f>B147/(C147+B147)</f>
        <v>0.79220779220779225</v>
      </c>
      <c r="F147" s="5" t="s">
        <v>1290</v>
      </c>
      <c r="G147" s="3">
        <f>SUM(G148:G149)</f>
        <v>61</v>
      </c>
      <c r="H147" s="8">
        <f>SUM(H148:H149)</f>
        <v>16</v>
      </c>
      <c r="I147" s="27">
        <f>G147/(H147+G147)</f>
        <v>0.79220779220779225</v>
      </c>
      <c r="K147" s="5" t="s">
        <v>1237</v>
      </c>
      <c r="L147" s="17">
        <f>SUM(L148:L151)</f>
        <v>10</v>
      </c>
      <c r="M147" s="17">
        <f>SUM(M148:M151)</f>
        <v>16</v>
      </c>
      <c r="N147" s="33">
        <f>L147/(M147+L147)</f>
        <v>0.38461538461538464</v>
      </c>
    </row>
    <row r="148" spans="1:14">
      <c r="A148" t="s">
        <v>504</v>
      </c>
      <c r="B148" s="4">
        <v>11</v>
      </c>
      <c r="C148" s="9">
        <v>9</v>
      </c>
      <c r="D148" s="28">
        <f>C148/(B148+C148)</f>
        <v>0.45</v>
      </c>
      <c r="F148" s="5" t="s">
        <v>1237</v>
      </c>
      <c r="G148" s="3">
        <v>10</v>
      </c>
      <c r="H148" s="8">
        <v>16</v>
      </c>
      <c r="I148" s="27">
        <f>G148/(H148+G148)</f>
        <v>0.38461538461538464</v>
      </c>
      <c r="J148" t="s">
        <v>1238</v>
      </c>
      <c r="K148" t="s">
        <v>1201</v>
      </c>
      <c r="L148" s="17">
        <v>6</v>
      </c>
      <c r="M148" s="17">
        <v>3</v>
      </c>
      <c r="N148" s="33">
        <f>L148/(L148+M148)</f>
        <v>0.66666666666666663</v>
      </c>
    </row>
    <row r="149" spans="1:14">
      <c r="A149" t="s">
        <v>505</v>
      </c>
      <c r="B149" s="4">
        <v>5</v>
      </c>
      <c r="C149" s="9">
        <v>8</v>
      </c>
      <c r="D149" s="28">
        <f t="shared" ref="D149:D150" si="32">C149/(B149+C149)</f>
        <v>0.61538461538461542</v>
      </c>
      <c r="F149" s="5" t="s">
        <v>1240</v>
      </c>
      <c r="G149" s="3">
        <v>51</v>
      </c>
      <c r="H149" s="8">
        <v>0</v>
      </c>
      <c r="I149" s="27">
        <f>G149/(H149+G149)</f>
        <v>1</v>
      </c>
      <c r="J149" t="s">
        <v>1239</v>
      </c>
      <c r="K149" t="s">
        <v>1203</v>
      </c>
      <c r="L149" s="17">
        <v>0</v>
      </c>
      <c r="M149" s="17">
        <v>7</v>
      </c>
      <c r="N149" s="33">
        <f t="shared" ref="N149" si="33">L149/(L149+M149)</f>
        <v>0</v>
      </c>
    </row>
    <row r="150" spans="1:14">
      <c r="A150" s="6" t="s">
        <v>506</v>
      </c>
      <c r="B150" s="4">
        <v>4</v>
      </c>
      <c r="C150" s="9">
        <v>20</v>
      </c>
      <c r="D150" s="28">
        <f t="shared" si="32"/>
        <v>0.83333333333333337</v>
      </c>
      <c r="F150" s="6"/>
      <c r="K150" s="6" t="s">
        <v>1232</v>
      </c>
      <c r="L150" s="17">
        <v>4</v>
      </c>
      <c r="M150" s="17">
        <v>5</v>
      </c>
      <c r="N150" s="33">
        <f>L150/(L150+M150)</f>
        <v>0.44444444444444442</v>
      </c>
    </row>
    <row r="151" spans="1:14">
      <c r="A151" t="s">
        <v>1196</v>
      </c>
      <c r="B151">
        <f>SUM(B148:B150)</f>
        <v>20</v>
      </c>
      <c r="C151">
        <f>SUM(C148:C150)</f>
        <v>37</v>
      </c>
      <c r="D151" s="26">
        <f>SUM(C148:C150)/(SUM(C148:C150)+SUM(B148:B150))</f>
        <v>0.64912280701754388</v>
      </c>
      <c r="F151" s="25"/>
      <c r="G151" s="25"/>
      <c r="H151" s="25"/>
      <c r="I151" s="30"/>
      <c r="K151" t="s">
        <v>1233</v>
      </c>
      <c r="L151" s="17">
        <v>0</v>
      </c>
      <c r="M151" s="17">
        <v>1</v>
      </c>
      <c r="N151" s="33">
        <f t="shared" ref="N151" si="34">L151/(L151+M151)</f>
        <v>0</v>
      </c>
    </row>
    <row r="152" spans="1:14">
      <c r="B152" s="7" t="s">
        <v>508</v>
      </c>
      <c r="C152" s="10" t="s">
        <v>510</v>
      </c>
      <c r="D152" s="26">
        <f>2*B147/(2*B147+C147+B151)</f>
        <v>0.77215189873417722</v>
      </c>
    </row>
    <row r="153" spans="1:14">
      <c r="B153" s="4" t="s">
        <v>509</v>
      </c>
      <c r="C153" s="9" t="s">
        <v>511</v>
      </c>
    </row>
    <row r="155" spans="1:14">
      <c r="A155" t="s">
        <v>3079</v>
      </c>
      <c r="B155" t="s">
        <v>2214</v>
      </c>
      <c r="C155" t="s">
        <v>2514</v>
      </c>
    </row>
    <row r="156" spans="1:14">
      <c r="A156" t="s">
        <v>512</v>
      </c>
      <c r="B156" t="s">
        <v>2215</v>
      </c>
      <c r="K156" s="50" t="s">
        <v>2216</v>
      </c>
      <c r="L156" s="50"/>
      <c r="M156" s="50"/>
      <c r="N156" s="50"/>
    </row>
    <row r="157" spans="1:14">
      <c r="A157" t="s">
        <v>503</v>
      </c>
      <c r="B157" t="s">
        <v>502</v>
      </c>
      <c r="C157" t="s">
        <v>507</v>
      </c>
      <c r="F157" t="s">
        <v>503</v>
      </c>
      <c r="G157" t="s">
        <v>502</v>
      </c>
      <c r="H157" t="s">
        <v>507</v>
      </c>
      <c r="K157" t="s">
        <v>6</v>
      </c>
      <c r="L157" t="s">
        <v>1234</v>
      </c>
      <c r="M157" t="s">
        <v>1235</v>
      </c>
      <c r="N157" s="26" t="s">
        <v>1236</v>
      </c>
    </row>
    <row r="158" spans="1:14">
      <c r="A158" s="5" t="s">
        <v>1290</v>
      </c>
      <c r="B158" s="3">
        <v>62</v>
      </c>
      <c r="C158" s="8">
        <v>15</v>
      </c>
      <c r="D158" s="27">
        <f>B158/(C158+B158)</f>
        <v>0.80519480519480524</v>
      </c>
      <c r="F158" s="5" t="s">
        <v>1290</v>
      </c>
      <c r="G158" s="3">
        <f>SUM(G159:G160)</f>
        <v>62</v>
      </c>
      <c r="H158" s="8">
        <f>SUM(H159:H160)</f>
        <v>15</v>
      </c>
      <c r="I158" s="27">
        <f>G158/(H158+G158)</f>
        <v>0.80519480519480524</v>
      </c>
      <c r="K158" s="5" t="s">
        <v>1237</v>
      </c>
      <c r="L158" s="17">
        <f>SUM(L159:L162)</f>
        <v>11</v>
      </c>
      <c r="M158" s="17">
        <f>SUM(M159:M162)</f>
        <v>15</v>
      </c>
      <c r="N158" s="33">
        <f>L158/(M158+L158)</f>
        <v>0.42307692307692307</v>
      </c>
    </row>
    <row r="159" spans="1:14">
      <c r="A159" t="s">
        <v>504</v>
      </c>
      <c r="B159" s="4">
        <v>9</v>
      </c>
      <c r="C159" s="9">
        <v>11</v>
      </c>
      <c r="D159" s="28">
        <f>C159/(B159+C159)</f>
        <v>0.55000000000000004</v>
      </c>
      <c r="F159" s="5" t="s">
        <v>1237</v>
      </c>
      <c r="G159" s="3">
        <v>11</v>
      </c>
      <c r="H159" s="8">
        <v>15</v>
      </c>
      <c r="I159" s="27">
        <f>G159/(H159+G159)</f>
        <v>0.42307692307692307</v>
      </c>
      <c r="J159" t="s">
        <v>1238</v>
      </c>
      <c r="K159" t="s">
        <v>1201</v>
      </c>
      <c r="L159" s="17">
        <v>6</v>
      </c>
      <c r="M159" s="17">
        <v>3</v>
      </c>
      <c r="N159" s="33">
        <f>L159/(L159+M159)</f>
        <v>0.66666666666666663</v>
      </c>
    </row>
    <row r="160" spans="1:14">
      <c r="A160" t="s">
        <v>505</v>
      </c>
      <c r="B160" s="4">
        <v>8</v>
      </c>
      <c r="C160" s="9">
        <v>5</v>
      </c>
      <c r="D160" s="28">
        <f t="shared" ref="D160:D161" si="35">C160/(B160+C160)</f>
        <v>0.38461538461538464</v>
      </c>
      <c r="F160" s="5" t="s">
        <v>1240</v>
      </c>
      <c r="G160" s="3">
        <v>51</v>
      </c>
      <c r="H160" s="8">
        <v>0</v>
      </c>
      <c r="I160" s="27">
        <f>G160/(H160+G160)</f>
        <v>1</v>
      </c>
      <c r="J160" t="s">
        <v>1239</v>
      </c>
      <c r="K160" t="s">
        <v>1203</v>
      </c>
      <c r="L160" s="17">
        <v>1</v>
      </c>
      <c r="M160" s="17">
        <v>6</v>
      </c>
      <c r="N160" s="33">
        <f t="shared" ref="N160" si="36">L160/(L160+M160)</f>
        <v>0.14285714285714285</v>
      </c>
    </row>
    <row r="161" spans="1:14">
      <c r="A161" s="6" t="s">
        <v>506</v>
      </c>
      <c r="B161" s="4">
        <v>5</v>
      </c>
      <c r="C161" s="9">
        <v>19</v>
      </c>
      <c r="D161" s="28">
        <f t="shared" si="35"/>
        <v>0.79166666666666663</v>
      </c>
      <c r="F161" s="6"/>
      <c r="K161" s="6" t="s">
        <v>1232</v>
      </c>
      <c r="L161" s="17">
        <v>4</v>
      </c>
      <c r="M161" s="17">
        <v>5</v>
      </c>
      <c r="N161" s="33">
        <f>L161/(L161+M161)</f>
        <v>0.44444444444444442</v>
      </c>
    </row>
    <row r="162" spans="1:14">
      <c r="A162" t="s">
        <v>1196</v>
      </c>
      <c r="B162">
        <f>SUM(B159:B161)</f>
        <v>22</v>
      </c>
      <c r="C162">
        <f>SUM(C159:C161)</f>
        <v>35</v>
      </c>
      <c r="D162" s="26">
        <f>SUM(C159:C161)/(SUM(C159:C161)+SUM(B159:B161))</f>
        <v>0.61403508771929827</v>
      </c>
      <c r="F162" s="25"/>
      <c r="G162" s="25"/>
      <c r="H162" s="25"/>
      <c r="I162" s="30"/>
      <c r="K162" t="s">
        <v>1233</v>
      </c>
      <c r="L162" s="17">
        <v>0</v>
      </c>
      <c r="M162" s="17">
        <v>1</v>
      </c>
      <c r="N162" s="33">
        <f t="shared" ref="N162" si="37">L162/(L162+M162)</f>
        <v>0</v>
      </c>
    </row>
    <row r="163" spans="1:14">
      <c r="B163" s="7" t="s">
        <v>508</v>
      </c>
      <c r="C163" s="10" t="s">
        <v>510</v>
      </c>
      <c r="D163" s="26">
        <f>2*B158/(2*B158+C158+B162)</f>
        <v>0.77018633540372672</v>
      </c>
    </row>
    <row r="164" spans="1:14">
      <c r="B164" s="4" t="s">
        <v>509</v>
      </c>
      <c r="C164" s="9" t="s">
        <v>511</v>
      </c>
    </row>
    <row r="166" spans="1:14">
      <c r="A166" t="s">
        <v>3079</v>
      </c>
      <c r="B166" t="s">
        <v>3095</v>
      </c>
    </row>
    <row r="167" spans="1:14">
      <c r="A167" t="s">
        <v>512</v>
      </c>
      <c r="B167" t="s">
        <v>3096</v>
      </c>
      <c r="K167" s="50" t="s">
        <v>2216</v>
      </c>
      <c r="L167" s="50"/>
      <c r="M167" s="50"/>
      <c r="N167" s="50"/>
    </row>
    <row r="168" spans="1:14">
      <c r="A168" t="s">
        <v>503</v>
      </c>
      <c r="B168" t="s">
        <v>502</v>
      </c>
      <c r="C168" t="s">
        <v>507</v>
      </c>
      <c r="F168" t="s">
        <v>503</v>
      </c>
      <c r="G168" t="s">
        <v>502</v>
      </c>
      <c r="H168" t="s">
        <v>507</v>
      </c>
      <c r="K168" t="s">
        <v>6</v>
      </c>
      <c r="L168" t="s">
        <v>1234</v>
      </c>
      <c r="M168" t="s">
        <v>1235</v>
      </c>
      <c r="N168" s="26" t="s">
        <v>1236</v>
      </c>
    </row>
    <row r="169" spans="1:14">
      <c r="A169" s="5" t="s">
        <v>1290</v>
      </c>
      <c r="B169" s="3">
        <v>67</v>
      </c>
      <c r="C169" s="8">
        <v>10</v>
      </c>
      <c r="D169" s="27">
        <f>B169/(C169+B169)</f>
        <v>0.87012987012987009</v>
      </c>
      <c r="F169" s="5" t="s">
        <v>1290</v>
      </c>
      <c r="G169" s="3">
        <f>SUM(G170:G171)</f>
        <v>67</v>
      </c>
      <c r="H169" s="8">
        <f>SUM(H170:H171)</f>
        <v>10</v>
      </c>
      <c r="I169" s="27">
        <f>G169/(H169+G169)</f>
        <v>0.87012987012987009</v>
      </c>
      <c r="K169" s="5" t="s">
        <v>1237</v>
      </c>
      <c r="L169" s="17">
        <f>SUM(L170:L173)</f>
        <v>17</v>
      </c>
      <c r="M169" s="17">
        <f>SUM(M170:M173)</f>
        <v>9</v>
      </c>
      <c r="N169" s="33">
        <f>L169/(M169+L169)</f>
        <v>0.65384615384615385</v>
      </c>
    </row>
    <row r="170" spans="1:14">
      <c r="A170" t="s">
        <v>504</v>
      </c>
      <c r="B170" s="4">
        <v>13</v>
      </c>
      <c r="C170" s="9">
        <v>7</v>
      </c>
      <c r="D170" s="28">
        <f>C170/(B170+C170)</f>
        <v>0.35</v>
      </c>
      <c r="F170" s="5" t="s">
        <v>1237</v>
      </c>
      <c r="G170" s="3">
        <v>17</v>
      </c>
      <c r="H170" s="8">
        <v>9</v>
      </c>
      <c r="I170" s="27">
        <f>G170/(H170+G170)</f>
        <v>0.65384615384615385</v>
      </c>
      <c r="J170" t="s">
        <v>1238</v>
      </c>
      <c r="K170" t="s">
        <v>1201</v>
      </c>
      <c r="L170" s="17">
        <v>7</v>
      </c>
      <c r="M170" s="17">
        <v>2</v>
      </c>
      <c r="N170" s="33">
        <f>L170/(L170+M170)</f>
        <v>0.77777777777777779</v>
      </c>
    </row>
    <row r="171" spans="1:14">
      <c r="A171" t="s">
        <v>505</v>
      </c>
      <c r="B171" s="4">
        <v>7</v>
      </c>
      <c r="C171" s="9">
        <v>6</v>
      </c>
      <c r="D171" s="28">
        <f t="shared" ref="D171:D172" si="38">C171/(B171+C171)</f>
        <v>0.46153846153846156</v>
      </c>
      <c r="F171" s="5" t="s">
        <v>1240</v>
      </c>
      <c r="G171" s="3">
        <v>50</v>
      </c>
      <c r="H171" s="8">
        <v>1</v>
      </c>
      <c r="I171" s="27">
        <f>G171/(H171+G171)</f>
        <v>0.98039215686274506</v>
      </c>
      <c r="J171" t="s">
        <v>1239</v>
      </c>
      <c r="K171" t="s">
        <v>1203</v>
      </c>
      <c r="L171" s="17">
        <v>2</v>
      </c>
      <c r="M171" s="17">
        <v>5</v>
      </c>
      <c r="N171" s="33">
        <f t="shared" ref="N171" si="39">L171/(L171+M171)</f>
        <v>0.2857142857142857</v>
      </c>
    </row>
    <row r="172" spans="1:14">
      <c r="A172" s="6" t="s">
        <v>506</v>
      </c>
      <c r="B172" s="4">
        <v>11</v>
      </c>
      <c r="C172" s="9">
        <v>13</v>
      </c>
      <c r="D172" s="28">
        <f t="shared" si="38"/>
        <v>0.54166666666666663</v>
      </c>
      <c r="F172" s="6"/>
      <c r="K172" s="6" t="s">
        <v>1232</v>
      </c>
      <c r="L172" s="17">
        <v>7</v>
      </c>
      <c r="M172" s="17">
        <v>2</v>
      </c>
      <c r="N172" s="33">
        <f>L172/(L172+M172)</f>
        <v>0.77777777777777779</v>
      </c>
    </row>
    <row r="173" spans="1:14">
      <c r="A173" t="s">
        <v>1196</v>
      </c>
      <c r="B173">
        <f>SUM(B170:B172)</f>
        <v>31</v>
      </c>
      <c r="C173">
        <f>SUM(C170:C172)</f>
        <v>26</v>
      </c>
      <c r="D173" s="26">
        <f>SUM(C170:C172)/(SUM(C170:C172)+SUM(B170:B172))</f>
        <v>0.45614035087719296</v>
      </c>
      <c r="F173" s="25"/>
      <c r="G173" s="25"/>
      <c r="H173" s="25"/>
      <c r="I173" s="30"/>
      <c r="K173" t="s">
        <v>1233</v>
      </c>
      <c r="L173" s="17">
        <v>1</v>
      </c>
      <c r="M173" s="17">
        <v>0</v>
      </c>
      <c r="N173" s="33">
        <f t="shared" ref="N173" si="40">L173/(L173+M173)</f>
        <v>1</v>
      </c>
    </row>
    <row r="174" spans="1:14">
      <c r="B174" s="7" t="s">
        <v>508</v>
      </c>
      <c r="C174" s="10" t="s">
        <v>510</v>
      </c>
      <c r="D174" s="26">
        <f>2*B169/(2*B169+C169+B173)</f>
        <v>0.76571428571428568</v>
      </c>
    </row>
    <row r="175" spans="1:14">
      <c r="B175" s="4" t="s">
        <v>509</v>
      </c>
      <c r="C175" s="9" t="s">
        <v>511</v>
      </c>
    </row>
    <row r="177" spans="1:14">
      <c r="A177" t="s">
        <v>3079</v>
      </c>
      <c r="B177" s="45" t="s">
        <v>3103</v>
      </c>
    </row>
    <row r="178" spans="1:14">
      <c r="A178" t="s">
        <v>512</v>
      </c>
      <c r="B178" t="s">
        <v>3101</v>
      </c>
      <c r="K178" s="50" t="s">
        <v>2216</v>
      </c>
      <c r="L178" s="50"/>
      <c r="M178" s="50"/>
      <c r="N178" s="50"/>
    </row>
    <row r="179" spans="1:14">
      <c r="A179" t="s">
        <v>503</v>
      </c>
      <c r="B179" t="s">
        <v>502</v>
      </c>
      <c r="C179" t="s">
        <v>507</v>
      </c>
      <c r="F179" t="s">
        <v>503</v>
      </c>
      <c r="G179" t="s">
        <v>502</v>
      </c>
      <c r="H179" t="s">
        <v>507</v>
      </c>
      <c r="K179" t="s">
        <v>6</v>
      </c>
      <c r="L179" t="s">
        <v>1234</v>
      </c>
      <c r="M179" t="s">
        <v>1235</v>
      </c>
      <c r="N179" s="26" t="s">
        <v>1236</v>
      </c>
    </row>
    <row r="180" spans="1:14">
      <c r="A180" s="5" t="s">
        <v>1290</v>
      </c>
      <c r="B180" s="3">
        <v>61</v>
      </c>
      <c r="C180" s="8">
        <v>16</v>
      </c>
      <c r="D180" s="27">
        <f>B180/(C180+B180)</f>
        <v>0.79220779220779225</v>
      </c>
      <c r="F180" s="5" t="s">
        <v>1290</v>
      </c>
      <c r="G180" s="3">
        <f>SUM(G181:G182)</f>
        <v>61</v>
      </c>
      <c r="H180" s="8">
        <f>SUM(H181:H182)</f>
        <v>16</v>
      </c>
      <c r="I180" s="27">
        <f>G180/(H180+G180)</f>
        <v>0.79220779220779225</v>
      </c>
      <c r="K180" s="5" t="s">
        <v>1237</v>
      </c>
      <c r="L180" s="17">
        <f>SUM(L181:L184)</f>
        <v>10</v>
      </c>
      <c r="M180" s="17">
        <f>SUM(M181:M184)</f>
        <v>16</v>
      </c>
      <c r="N180" s="33">
        <f>L180/(M180+L180)</f>
        <v>0.38461538461538464</v>
      </c>
    </row>
    <row r="181" spans="1:14">
      <c r="A181" t="s">
        <v>504</v>
      </c>
      <c r="B181" s="4">
        <v>11</v>
      </c>
      <c r="C181" s="9">
        <v>9</v>
      </c>
      <c r="D181" s="28">
        <f>C181/(B181+C181)</f>
        <v>0.45</v>
      </c>
      <c r="F181" s="5" t="s">
        <v>1237</v>
      </c>
      <c r="G181" s="3">
        <v>10</v>
      </c>
      <c r="H181" s="8">
        <v>16</v>
      </c>
      <c r="I181" s="27">
        <f>G181/(H181+G181)</f>
        <v>0.38461538461538464</v>
      </c>
      <c r="J181" t="s">
        <v>1238</v>
      </c>
      <c r="K181" t="s">
        <v>1201</v>
      </c>
      <c r="L181" s="17">
        <v>6</v>
      </c>
      <c r="M181" s="17">
        <v>3</v>
      </c>
      <c r="N181" s="33">
        <f>L181/(L181+M181)</f>
        <v>0.66666666666666663</v>
      </c>
    </row>
    <row r="182" spans="1:14">
      <c r="A182" t="s">
        <v>505</v>
      </c>
      <c r="B182" s="4">
        <v>7</v>
      </c>
      <c r="C182" s="9">
        <v>6</v>
      </c>
      <c r="D182" s="28">
        <f t="shared" ref="D182:D183" si="41">C182/(B182+C182)</f>
        <v>0.46153846153846156</v>
      </c>
      <c r="F182" s="5" t="s">
        <v>1240</v>
      </c>
      <c r="G182" s="3">
        <v>51</v>
      </c>
      <c r="H182" s="8">
        <v>0</v>
      </c>
      <c r="I182" s="27">
        <f>G182/(H182+G182)</f>
        <v>1</v>
      </c>
      <c r="J182" t="s">
        <v>1239</v>
      </c>
      <c r="K182" t="s">
        <v>1203</v>
      </c>
      <c r="L182" s="17">
        <v>0</v>
      </c>
      <c r="M182" s="17">
        <v>7</v>
      </c>
      <c r="N182" s="33">
        <f t="shared" ref="N182" si="42">L182/(L182+M182)</f>
        <v>0</v>
      </c>
    </row>
    <row r="183" spans="1:14">
      <c r="A183" s="6" t="s">
        <v>506</v>
      </c>
      <c r="B183" s="4">
        <v>6</v>
      </c>
      <c r="C183" s="9">
        <v>18</v>
      </c>
      <c r="D183" s="28">
        <f t="shared" si="41"/>
        <v>0.75</v>
      </c>
      <c r="F183" s="6"/>
      <c r="K183" s="6" t="s">
        <v>1232</v>
      </c>
      <c r="L183" s="17">
        <v>4</v>
      </c>
      <c r="M183" s="17">
        <v>5</v>
      </c>
      <c r="N183" s="33">
        <f>L183/(L183+M183)</f>
        <v>0.44444444444444442</v>
      </c>
    </row>
    <row r="184" spans="1:14">
      <c r="A184" t="s">
        <v>1196</v>
      </c>
      <c r="B184">
        <f>SUM(B181:B183)</f>
        <v>24</v>
      </c>
      <c r="C184">
        <f>SUM(C181:C183)</f>
        <v>33</v>
      </c>
      <c r="D184" s="26">
        <f>SUM(C181:C183)/(SUM(C181:C183)+SUM(B181:B183))</f>
        <v>0.57894736842105265</v>
      </c>
      <c r="F184" s="25"/>
      <c r="G184" s="25"/>
      <c r="H184" s="25"/>
      <c r="I184" s="30"/>
      <c r="K184" t="s">
        <v>1233</v>
      </c>
      <c r="L184" s="17">
        <v>0</v>
      </c>
      <c r="M184" s="17">
        <v>1</v>
      </c>
      <c r="N184" s="33">
        <f t="shared" ref="N184" si="43">L184/(L184+M184)</f>
        <v>0</v>
      </c>
    </row>
    <row r="185" spans="1:14">
      <c r="B185" s="7" t="s">
        <v>508</v>
      </c>
      <c r="C185" s="10" t="s">
        <v>510</v>
      </c>
      <c r="D185" s="26">
        <f>2*B180/(2*B180+C180+B184)</f>
        <v>0.75308641975308643</v>
      </c>
    </row>
    <row r="186" spans="1:14">
      <c r="B186" s="4" t="s">
        <v>509</v>
      </c>
      <c r="C186" s="9" t="s">
        <v>511</v>
      </c>
    </row>
    <row r="188" spans="1:14">
      <c r="A188" t="s">
        <v>3111</v>
      </c>
      <c r="B188" s="45" t="s">
        <v>3103</v>
      </c>
    </row>
    <row r="189" spans="1:14">
      <c r="A189" t="s">
        <v>512</v>
      </c>
      <c r="B189" t="s">
        <v>2215</v>
      </c>
      <c r="K189" s="50" t="s">
        <v>2216</v>
      </c>
      <c r="L189" s="50"/>
      <c r="M189" s="50"/>
      <c r="N189" s="50"/>
    </row>
    <row r="190" spans="1:14">
      <c r="A190" t="s">
        <v>503</v>
      </c>
      <c r="B190" t="s">
        <v>502</v>
      </c>
      <c r="C190" t="s">
        <v>507</v>
      </c>
      <c r="F190" t="s">
        <v>503</v>
      </c>
      <c r="G190" t="s">
        <v>502</v>
      </c>
      <c r="H190" t="s">
        <v>507</v>
      </c>
      <c r="K190" t="s">
        <v>6</v>
      </c>
      <c r="L190" t="s">
        <v>1234</v>
      </c>
      <c r="M190" t="s">
        <v>1235</v>
      </c>
      <c r="N190" s="26" t="s">
        <v>1236</v>
      </c>
    </row>
    <row r="191" spans="1:14">
      <c r="A191" s="5" t="s">
        <v>1290</v>
      </c>
      <c r="B191" s="47">
        <f>G191</f>
        <v>61</v>
      </c>
      <c r="C191" s="48">
        <f>H191</f>
        <v>16</v>
      </c>
      <c r="D191" s="27">
        <f>B191/(C191+B191)</f>
        <v>0.79220779220779225</v>
      </c>
      <c r="F191" s="5" t="s">
        <v>1290</v>
      </c>
      <c r="G191" s="47">
        <f>SUM(G192:G193)</f>
        <v>61</v>
      </c>
      <c r="H191" s="48">
        <f>SUM(H192:H193)</f>
        <v>16</v>
      </c>
      <c r="I191" s="27">
        <f>G191/(H191+G191)</f>
        <v>0.79220779220779225</v>
      </c>
      <c r="K191" s="5" t="s">
        <v>1237</v>
      </c>
      <c r="L191" s="31">
        <f>SUM(L192:L195)</f>
        <v>11</v>
      </c>
      <c r="M191" s="31">
        <f>SUM(M192:M195)</f>
        <v>15</v>
      </c>
      <c r="N191" s="33">
        <f>L191/(M191+L191)</f>
        <v>0.42307692307692307</v>
      </c>
    </row>
    <row r="192" spans="1:14">
      <c r="A192" t="s">
        <v>504</v>
      </c>
      <c r="B192" s="4">
        <v>8</v>
      </c>
      <c r="C192" s="9">
        <v>12</v>
      </c>
      <c r="D192" s="28">
        <f>C192/(B192+C192)</f>
        <v>0.6</v>
      </c>
      <c r="F192" s="5" t="s">
        <v>1237</v>
      </c>
      <c r="G192" s="47">
        <f>L191</f>
        <v>11</v>
      </c>
      <c r="H192" s="48">
        <f>M191</f>
        <v>15</v>
      </c>
      <c r="I192" s="27">
        <f>G192/(H192+G192)</f>
        <v>0.42307692307692307</v>
      </c>
      <c r="J192" t="s">
        <v>1238</v>
      </c>
      <c r="K192" t="s">
        <v>1201</v>
      </c>
      <c r="L192" s="17">
        <v>6</v>
      </c>
      <c r="M192" s="17">
        <v>3</v>
      </c>
      <c r="N192" s="33">
        <f>L192/(L192+M192)</f>
        <v>0.66666666666666663</v>
      </c>
    </row>
    <row r="193" spans="1:14">
      <c r="A193" t="s">
        <v>505</v>
      </c>
      <c r="B193" s="4">
        <v>5</v>
      </c>
      <c r="C193" s="9">
        <v>8</v>
      </c>
      <c r="D193" s="28">
        <f t="shared" ref="D193:D194" si="44">C193/(B193+C193)</f>
        <v>0.61538461538461542</v>
      </c>
      <c r="F193" s="5" t="s">
        <v>1240</v>
      </c>
      <c r="G193" s="3">
        <v>50</v>
      </c>
      <c r="H193" s="8">
        <v>1</v>
      </c>
      <c r="I193" s="27">
        <f>G193/(H193+G193)</f>
        <v>0.98039215686274506</v>
      </c>
      <c r="J193" t="s">
        <v>1239</v>
      </c>
      <c r="K193" t="s">
        <v>1203</v>
      </c>
      <c r="L193" s="17">
        <v>0</v>
      </c>
      <c r="M193" s="17">
        <v>7</v>
      </c>
      <c r="N193" s="33">
        <f t="shared" ref="N193" si="45">L193/(L193+M193)</f>
        <v>0</v>
      </c>
    </row>
    <row r="194" spans="1:14">
      <c r="A194" s="6" t="s">
        <v>506</v>
      </c>
      <c r="B194" s="4">
        <v>5</v>
      </c>
      <c r="C194" s="9">
        <v>19</v>
      </c>
      <c r="D194" s="28">
        <f t="shared" si="44"/>
        <v>0.79166666666666663</v>
      </c>
      <c r="F194" s="6"/>
      <c r="K194" s="6" t="s">
        <v>1232</v>
      </c>
      <c r="L194" s="17">
        <v>5</v>
      </c>
      <c r="M194" s="17">
        <v>4</v>
      </c>
      <c r="N194" s="33">
        <f>L194/(L194+M194)</f>
        <v>0.55555555555555558</v>
      </c>
    </row>
    <row r="195" spans="1:14">
      <c r="A195" t="s">
        <v>1196</v>
      </c>
      <c r="B195" s="31">
        <f>SUM(B192:B194)</f>
        <v>18</v>
      </c>
      <c r="C195" s="31">
        <f>SUM(C192:C194)</f>
        <v>39</v>
      </c>
      <c r="D195" s="26">
        <f>SUM(C192:C194)/(SUM(C192:C194)+SUM(B192:B194))</f>
        <v>0.68421052631578949</v>
      </c>
      <c r="F195" s="25"/>
      <c r="G195" s="25"/>
      <c r="H195" s="25"/>
      <c r="I195" s="30"/>
      <c r="K195" t="s">
        <v>1233</v>
      </c>
      <c r="L195" s="17">
        <v>0</v>
      </c>
      <c r="M195" s="17">
        <v>1</v>
      </c>
      <c r="N195" s="33">
        <f t="shared" ref="N195" si="46">L195/(L195+M195)</f>
        <v>0</v>
      </c>
    </row>
    <row r="196" spans="1:14">
      <c r="B196" s="7" t="s">
        <v>508</v>
      </c>
      <c r="C196" s="10" t="s">
        <v>510</v>
      </c>
      <c r="D196" s="26">
        <f>2*B191/(2*B191+C191+B195)</f>
        <v>0.78205128205128205</v>
      </c>
    </row>
    <row r="197" spans="1:14">
      <c r="B197" s="4" t="s">
        <v>509</v>
      </c>
      <c r="C197" s="9" t="s">
        <v>511</v>
      </c>
    </row>
    <row r="199" spans="1:14">
      <c r="A199" t="s">
        <v>3111</v>
      </c>
      <c r="B199" s="45" t="s">
        <v>3103</v>
      </c>
    </row>
    <row r="200" spans="1:14">
      <c r="A200" t="s">
        <v>512</v>
      </c>
      <c r="B200" t="s">
        <v>3115</v>
      </c>
      <c r="K200" s="50" t="s">
        <v>2216</v>
      </c>
      <c r="L200" s="50"/>
      <c r="M200" s="50"/>
      <c r="N200" s="50"/>
    </row>
    <row r="201" spans="1:14">
      <c r="A201" t="s">
        <v>503</v>
      </c>
      <c r="B201" t="s">
        <v>502</v>
      </c>
      <c r="C201" t="s">
        <v>507</v>
      </c>
      <c r="F201" t="s">
        <v>503</v>
      </c>
      <c r="G201" t="s">
        <v>502</v>
      </c>
      <c r="H201" t="s">
        <v>507</v>
      </c>
      <c r="K201" t="s">
        <v>6</v>
      </c>
      <c r="L201" t="s">
        <v>1234</v>
      </c>
      <c r="M201" t="s">
        <v>1235</v>
      </c>
      <c r="N201" s="26" t="s">
        <v>1236</v>
      </c>
    </row>
    <row r="202" spans="1:14">
      <c r="A202" s="5" t="s">
        <v>1290</v>
      </c>
      <c r="B202" s="47">
        <f>G202</f>
        <v>59</v>
      </c>
      <c r="C202" s="48">
        <f>H202</f>
        <v>18</v>
      </c>
      <c r="D202" s="27">
        <f>B202/(C202+B202)</f>
        <v>0.76623376623376627</v>
      </c>
      <c r="F202" s="5" t="s">
        <v>1290</v>
      </c>
      <c r="G202" s="47">
        <f>SUM(G203:G204)</f>
        <v>59</v>
      </c>
      <c r="H202" s="48">
        <f>SUM(H203:H204)</f>
        <v>18</v>
      </c>
      <c r="I202" s="27">
        <f>G202/(H202+G202)</f>
        <v>0.76623376623376627</v>
      </c>
      <c r="K202" s="5" t="s">
        <v>1237</v>
      </c>
      <c r="L202" s="31">
        <f>SUM(L203:L206)</f>
        <v>9</v>
      </c>
      <c r="M202" s="31">
        <f>SUM(M203:M206)</f>
        <v>17</v>
      </c>
      <c r="N202" s="33">
        <f>L202/(M202+L202)</f>
        <v>0.34615384615384615</v>
      </c>
    </row>
    <row r="203" spans="1:14">
      <c r="A203" t="s">
        <v>504</v>
      </c>
      <c r="B203" s="4">
        <v>7</v>
      </c>
      <c r="C203" s="9">
        <v>13</v>
      </c>
      <c r="D203" s="28">
        <f>C203/(B203+C203)</f>
        <v>0.65</v>
      </c>
      <c r="F203" s="5" t="s">
        <v>1237</v>
      </c>
      <c r="G203" s="47">
        <f>L202</f>
        <v>9</v>
      </c>
      <c r="H203" s="48">
        <f>M202</f>
        <v>17</v>
      </c>
      <c r="I203" s="27">
        <f>G203/(H203+G203)</f>
        <v>0.34615384615384615</v>
      </c>
      <c r="J203" t="s">
        <v>1238</v>
      </c>
      <c r="K203" t="s">
        <v>1201</v>
      </c>
      <c r="L203" s="17">
        <v>7</v>
      </c>
      <c r="M203" s="17">
        <v>2</v>
      </c>
      <c r="N203" s="33">
        <f>L203/(L203+M203)</f>
        <v>0.77777777777777779</v>
      </c>
    </row>
    <row r="204" spans="1:14">
      <c r="A204" t="s">
        <v>505</v>
      </c>
      <c r="B204" s="4">
        <v>5</v>
      </c>
      <c r="C204" s="9">
        <v>8</v>
      </c>
      <c r="D204" s="28">
        <f t="shared" ref="D204:D205" si="47">C204/(B204+C204)</f>
        <v>0.61538461538461542</v>
      </c>
      <c r="F204" s="5" t="s">
        <v>1240</v>
      </c>
      <c r="G204" s="3">
        <v>50</v>
      </c>
      <c r="H204" s="8">
        <v>1</v>
      </c>
      <c r="I204" s="27">
        <f>G204/(H204+G204)</f>
        <v>0.98039215686274506</v>
      </c>
      <c r="J204" t="s">
        <v>1239</v>
      </c>
      <c r="K204" t="s">
        <v>1203</v>
      </c>
      <c r="L204" s="17">
        <v>0</v>
      </c>
      <c r="M204" s="17">
        <v>7</v>
      </c>
      <c r="N204" s="33">
        <f t="shared" ref="N204" si="48">L204/(L204+M204)</f>
        <v>0</v>
      </c>
    </row>
    <row r="205" spans="1:14">
      <c r="A205" s="6" t="s">
        <v>506</v>
      </c>
      <c r="B205" s="4">
        <v>4</v>
      </c>
      <c r="C205" s="9">
        <v>20</v>
      </c>
      <c r="D205" s="28">
        <f t="shared" si="47"/>
        <v>0.83333333333333337</v>
      </c>
      <c r="F205" s="6"/>
      <c r="K205" s="6" t="s">
        <v>1232</v>
      </c>
      <c r="L205" s="17">
        <v>2</v>
      </c>
      <c r="M205" s="17">
        <v>7</v>
      </c>
      <c r="N205" s="33">
        <f>L205/(L205+M205)</f>
        <v>0.22222222222222221</v>
      </c>
    </row>
    <row r="206" spans="1:14">
      <c r="A206" t="s">
        <v>1196</v>
      </c>
      <c r="B206" s="31">
        <f>SUM(B203:B205)</f>
        <v>16</v>
      </c>
      <c r="C206" s="31">
        <f>SUM(C203:C205)</f>
        <v>41</v>
      </c>
      <c r="D206" s="26">
        <f>SUM(C203:C205)/(SUM(C203:C205)+SUM(B203:B205))</f>
        <v>0.7192982456140351</v>
      </c>
      <c r="F206" s="25"/>
      <c r="G206" s="25"/>
      <c r="H206" s="25"/>
      <c r="I206" s="30"/>
      <c r="K206" t="s">
        <v>1233</v>
      </c>
      <c r="L206" s="17">
        <v>0</v>
      </c>
      <c r="M206" s="17">
        <v>1</v>
      </c>
      <c r="N206" s="33">
        <f t="shared" ref="N206" si="49">L206/(L206+M206)</f>
        <v>0</v>
      </c>
    </row>
    <row r="207" spans="1:14">
      <c r="B207" s="7" t="s">
        <v>508</v>
      </c>
      <c r="C207" s="10" t="s">
        <v>510</v>
      </c>
      <c r="D207" s="26">
        <f>2*B202/(2*B202+C202+B206)</f>
        <v>0.77631578947368418</v>
      </c>
    </row>
    <row r="208" spans="1:14">
      <c r="B208" s="4" t="s">
        <v>509</v>
      </c>
      <c r="C208" s="9" t="s">
        <v>511</v>
      </c>
    </row>
  </sheetData>
  <mergeCells count="15">
    <mergeCell ref="K200:N200"/>
    <mergeCell ref="K189:N189"/>
    <mergeCell ref="K178:N178"/>
    <mergeCell ref="P57:S57"/>
    <mergeCell ref="K68:N68"/>
    <mergeCell ref="K79:N79"/>
    <mergeCell ref="K90:N90"/>
    <mergeCell ref="K123:N123"/>
    <mergeCell ref="K101:N101"/>
    <mergeCell ref="K112:N112"/>
    <mergeCell ref="K167:N167"/>
    <mergeCell ref="K156:N156"/>
    <mergeCell ref="K145:N145"/>
    <mergeCell ref="K134:N134"/>
    <mergeCell ref="K57:N57"/>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B69AA-7E2A-5046-980F-3BA9E4137897}">
  <sheetPr codeName="工作表4" filterMode="1"/>
  <dimension ref="A1:T144"/>
  <sheetViews>
    <sheetView zoomScale="75" workbookViewId="0">
      <selection activeCell="V9" sqref="V9"/>
    </sheetView>
  </sheetViews>
  <sheetFormatPr baseColWidth="10" defaultRowHeight="15"/>
  <cols>
    <col min="2" max="2" width="12.5" customWidth="1"/>
    <col min="3" max="3" width="4.83203125" style="2" customWidth="1"/>
    <col min="5" max="6" width="11.33203125" customWidth="1"/>
    <col min="7" max="7" width="6.1640625" customWidth="1"/>
    <col min="8" max="10" width="11.33203125" customWidth="1"/>
    <col min="11" max="12" width="13.1640625" customWidth="1"/>
    <col min="13" max="13" width="9.5" customWidth="1"/>
    <col min="14" max="14" width="8.6640625" customWidth="1"/>
    <col min="15" max="16" width="7.1640625" customWidth="1"/>
  </cols>
  <sheetData>
    <row r="1" spans="1:20" ht="16">
      <c r="A1" t="s">
        <v>88</v>
      </c>
      <c r="B1" t="s">
        <v>0</v>
      </c>
      <c r="C1" s="2" t="s">
        <v>202</v>
      </c>
      <c r="D1" t="s">
        <v>6</v>
      </c>
      <c r="E1" t="s">
        <v>1</v>
      </c>
      <c r="F1" t="s">
        <v>1291</v>
      </c>
      <c r="G1" t="s">
        <v>1067</v>
      </c>
      <c r="H1" t="s">
        <v>791</v>
      </c>
      <c r="I1" t="s">
        <v>793</v>
      </c>
      <c r="J1" s="15" t="s">
        <v>794</v>
      </c>
      <c r="K1" t="s">
        <v>1106</v>
      </c>
      <c r="L1" t="s">
        <v>1120</v>
      </c>
      <c r="M1" t="s">
        <v>1227</v>
      </c>
      <c r="N1" t="s">
        <v>1389</v>
      </c>
      <c r="O1" t="s">
        <v>1528</v>
      </c>
      <c r="P1" t="s">
        <v>1718</v>
      </c>
      <c r="Q1" t="s">
        <v>2046</v>
      </c>
      <c r="R1" t="s">
        <v>2138</v>
      </c>
      <c r="S1" t="s">
        <v>2367</v>
      </c>
      <c r="T1" t="s">
        <v>2367</v>
      </c>
    </row>
    <row r="2" spans="1:20" ht="19">
      <c r="A2">
        <v>1</v>
      </c>
      <c r="B2" s="1" t="s">
        <v>7</v>
      </c>
      <c r="C2" s="2" t="s">
        <v>271</v>
      </c>
      <c r="D2" t="s">
        <v>84</v>
      </c>
      <c r="E2" t="s">
        <v>391</v>
      </c>
      <c r="G2" t="s">
        <v>192</v>
      </c>
      <c r="H2" t="s">
        <v>192</v>
      </c>
      <c r="I2" t="s">
        <v>192</v>
      </c>
      <c r="J2" t="s">
        <v>192</v>
      </c>
      <c r="K2" t="s">
        <v>192</v>
      </c>
      <c r="L2" t="s">
        <v>192</v>
      </c>
      <c r="M2" t="s">
        <v>192</v>
      </c>
      <c r="N2" t="s">
        <v>192</v>
      </c>
      <c r="O2" t="s">
        <v>192</v>
      </c>
      <c r="P2" t="s">
        <v>192</v>
      </c>
      <c r="Q2" t="s">
        <v>192</v>
      </c>
      <c r="R2" t="s">
        <v>192</v>
      </c>
      <c r="S2" t="s">
        <v>192</v>
      </c>
      <c r="T2" t="s">
        <v>192</v>
      </c>
    </row>
    <row r="3" spans="1:20" ht="19">
      <c r="A3">
        <v>2</v>
      </c>
      <c r="B3" s="1" t="s">
        <v>8</v>
      </c>
      <c r="C3" s="2" t="s">
        <v>271</v>
      </c>
      <c r="D3" t="s">
        <v>86</v>
      </c>
      <c r="E3" t="s">
        <v>391</v>
      </c>
      <c r="F3">
        <v>1</v>
      </c>
      <c r="G3" t="s">
        <v>192</v>
      </c>
      <c r="H3" t="s">
        <v>201</v>
      </c>
      <c r="I3" t="s">
        <v>201</v>
      </c>
      <c r="J3" t="s">
        <v>192</v>
      </c>
      <c r="K3" t="s">
        <v>192</v>
      </c>
      <c r="L3" t="s">
        <v>1190</v>
      </c>
      <c r="M3" t="s">
        <v>192</v>
      </c>
      <c r="N3" t="s">
        <v>192</v>
      </c>
      <c r="O3" s="23" t="s">
        <v>192</v>
      </c>
      <c r="P3" s="23" t="s">
        <v>192</v>
      </c>
      <c r="Q3" t="s">
        <v>192</v>
      </c>
      <c r="R3" t="s">
        <v>192</v>
      </c>
      <c r="S3" t="s">
        <v>192</v>
      </c>
      <c r="T3" t="s">
        <v>201</v>
      </c>
    </row>
    <row r="4" spans="1:20" ht="19">
      <c r="A4">
        <v>3</v>
      </c>
      <c r="B4" s="1" t="s">
        <v>9</v>
      </c>
      <c r="C4" s="2" t="s">
        <v>271</v>
      </c>
      <c r="D4" t="s">
        <v>84</v>
      </c>
      <c r="E4" t="s">
        <v>391</v>
      </c>
      <c r="F4">
        <v>1</v>
      </c>
      <c r="G4" t="s">
        <v>192</v>
      </c>
      <c r="H4" t="s">
        <v>192</v>
      </c>
      <c r="I4" t="s">
        <v>201</v>
      </c>
      <c r="J4" t="s">
        <v>201</v>
      </c>
      <c r="K4" t="s">
        <v>192</v>
      </c>
      <c r="L4" t="s">
        <v>1191</v>
      </c>
      <c r="M4" s="17" t="s">
        <v>192</v>
      </c>
      <c r="N4" s="17" t="s">
        <v>192</v>
      </c>
      <c r="O4" t="s">
        <v>192</v>
      </c>
      <c r="P4" t="s">
        <v>192</v>
      </c>
      <c r="Q4" t="s">
        <v>192</v>
      </c>
      <c r="R4" t="s">
        <v>192</v>
      </c>
      <c r="S4" t="s">
        <v>192</v>
      </c>
      <c r="T4" t="s">
        <v>192</v>
      </c>
    </row>
    <row r="5" spans="1:20" ht="19">
      <c r="A5">
        <v>4</v>
      </c>
      <c r="B5" s="1" t="s">
        <v>10</v>
      </c>
      <c r="C5" s="2" t="s">
        <v>271</v>
      </c>
      <c r="D5" t="s">
        <v>85</v>
      </c>
      <c r="E5" t="s">
        <v>391</v>
      </c>
      <c r="F5">
        <v>1</v>
      </c>
      <c r="G5" t="s">
        <v>192</v>
      </c>
      <c r="H5" t="s">
        <v>201</v>
      </c>
      <c r="I5" t="s">
        <v>201</v>
      </c>
      <c r="J5" t="s">
        <v>201</v>
      </c>
      <c r="K5" t="s">
        <v>201</v>
      </c>
      <c r="L5" t="s">
        <v>1191</v>
      </c>
      <c r="M5" t="s">
        <v>201</v>
      </c>
      <c r="N5" t="s">
        <v>201</v>
      </c>
      <c r="O5" s="23" t="s">
        <v>192</v>
      </c>
      <c r="P5" s="23" t="s">
        <v>201</v>
      </c>
      <c r="Q5" t="s">
        <v>201</v>
      </c>
      <c r="R5" t="s">
        <v>201</v>
      </c>
      <c r="S5" t="s">
        <v>201</v>
      </c>
      <c r="T5" t="s">
        <v>201</v>
      </c>
    </row>
    <row r="6" spans="1:20" ht="19">
      <c r="A6">
        <v>5</v>
      </c>
      <c r="B6" s="1" t="s">
        <v>203</v>
      </c>
      <c r="C6" s="2" t="s">
        <v>267</v>
      </c>
      <c r="D6" t="s">
        <v>85</v>
      </c>
      <c r="E6" t="s">
        <v>391</v>
      </c>
      <c r="F6">
        <v>1</v>
      </c>
      <c r="G6" t="s">
        <v>192</v>
      </c>
      <c r="H6" t="s">
        <v>201</v>
      </c>
      <c r="I6" t="s">
        <v>201</v>
      </c>
      <c r="J6" t="s">
        <v>201</v>
      </c>
      <c r="K6" t="s">
        <v>201</v>
      </c>
      <c r="L6" t="s">
        <v>1191</v>
      </c>
      <c r="M6" t="s">
        <v>201</v>
      </c>
      <c r="N6" t="s">
        <v>201</v>
      </c>
      <c r="O6" t="s">
        <v>192</v>
      </c>
      <c r="P6" t="s">
        <v>192</v>
      </c>
      <c r="Q6" t="s">
        <v>192</v>
      </c>
      <c r="R6" t="s">
        <v>201</v>
      </c>
      <c r="S6" t="s">
        <v>201</v>
      </c>
      <c r="T6" t="s">
        <v>201</v>
      </c>
    </row>
    <row r="7" spans="1:20" ht="19">
      <c r="A7">
        <v>6</v>
      </c>
      <c r="B7" s="1" t="s">
        <v>11</v>
      </c>
      <c r="C7" s="2" t="s">
        <v>271</v>
      </c>
      <c r="D7" t="s">
        <v>85</v>
      </c>
      <c r="E7" t="s">
        <v>391</v>
      </c>
      <c r="F7">
        <v>1</v>
      </c>
      <c r="G7" t="s">
        <v>192</v>
      </c>
      <c r="H7" t="s">
        <v>201</v>
      </c>
      <c r="I7" t="s">
        <v>201</v>
      </c>
      <c r="J7" t="s">
        <v>201</v>
      </c>
      <c r="K7" t="s">
        <v>201</v>
      </c>
      <c r="L7" t="s">
        <v>1191</v>
      </c>
      <c r="M7" t="s">
        <v>201</v>
      </c>
      <c r="N7" t="s">
        <v>201</v>
      </c>
      <c r="O7" s="23" t="s">
        <v>192</v>
      </c>
      <c r="P7" s="23" t="s">
        <v>201</v>
      </c>
      <c r="Q7" t="s">
        <v>201</v>
      </c>
      <c r="R7" t="s">
        <v>201</v>
      </c>
      <c r="S7" t="s">
        <v>201</v>
      </c>
      <c r="T7" t="s">
        <v>201</v>
      </c>
    </row>
    <row r="8" spans="1:20" ht="19" hidden="1">
      <c r="A8">
        <v>7</v>
      </c>
      <c r="B8" s="1" t="s">
        <v>12</v>
      </c>
      <c r="C8" s="2" t="s">
        <v>271</v>
      </c>
      <c r="D8" t="s">
        <v>86</v>
      </c>
      <c r="E8" t="s">
        <v>391</v>
      </c>
      <c r="G8" t="s">
        <v>201</v>
      </c>
      <c r="H8" t="s">
        <v>192</v>
      </c>
      <c r="I8" t="s">
        <v>192</v>
      </c>
      <c r="J8" t="s">
        <v>192</v>
      </c>
      <c r="O8">
        <v>1</v>
      </c>
      <c r="P8" t="s">
        <v>1717</v>
      </c>
      <c r="Q8" t="s">
        <v>1717</v>
      </c>
      <c r="R8" t="s">
        <v>1717</v>
      </c>
      <c r="S8" t="s">
        <v>1717</v>
      </c>
      <c r="T8" t="s">
        <v>1717</v>
      </c>
    </row>
    <row r="9" spans="1:20" ht="19">
      <c r="A9">
        <v>8</v>
      </c>
      <c r="B9" s="1" t="s">
        <v>204</v>
      </c>
      <c r="C9" s="2" t="s">
        <v>271</v>
      </c>
      <c r="D9" t="s">
        <v>85</v>
      </c>
      <c r="E9" t="s">
        <v>391</v>
      </c>
      <c r="F9">
        <v>1</v>
      </c>
      <c r="G9" t="s">
        <v>192</v>
      </c>
      <c r="H9" t="s">
        <v>201</v>
      </c>
      <c r="I9" t="s">
        <v>201</v>
      </c>
      <c r="J9" t="s">
        <v>201</v>
      </c>
      <c r="K9" t="s">
        <v>201</v>
      </c>
      <c r="L9" t="s">
        <v>1190</v>
      </c>
      <c r="M9" t="s">
        <v>201</v>
      </c>
      <c r="P9" t="s">
        <v>192</v>
      </c>
      <c r="Q9" t="s">
        <v>201</v>
      </c>
      <c r="R9" t="s">
        <v>201</v>
      </c>
      <c r="S9" t="s">
        <v>201</v>
      </c>
      <c r="T9" t="s">
        <v>201</v>
      </c>
    </row>
    <row r="10" spans="1:20" ht="19">
      <c r="A10">
        <v>9</v>
      </c>
      <c r="B10" s="1" t="s">
        <v>13</v>
      </c>
      <c r="C10" s="2" t="s">
        <v>271</v>
      </c>
      <c r="D10" t="s">
        <v>85</v>
      </c>
      <c r="E10" t="s">
        <v>391</v>
      </c>
      <c r="F10">
        <v>1</v>
      </c>
      <c r="G10" t="s">
        <v>192</v>
      </c>
      <c r="H10" t="s">
        <v>201</v>
      </c>
      <c r="I10" t="s">
        <v>201</v>
      </c>
      <c r="J10" t="s">
        <v>201</v>
      </c>
      <c r="K10" t="s">
        <v>201</v>
      </c>
      <c r="L10" t="s">
        <v>1191</v>
      </c>
      <c r="M10" t="s">
        <v>201</v>
      </c>
      <c r="N10" t="s">
        <v>201</v>
      </c>
      <c r="O10" s="23" t="s">
        <v>201</v>
      </c>
      <c r="P10" s="23" t="s">
        <v>201</v>
      </c>
      <c r="Q10" t="s">
        <v>201</v>
      </c>
      <c r="R10" t="s">
        <v>201</v>
      </c>
      <c r="S10" t="s">
        <v>201</v>
      </c>
      <c r="T10" t="s">
        <v>201</v>
      </c>
    </row>
    <row r="11" spans="1:20" ht="19">
      <c r="A11">
        <v>10</v>
      </c>
      <c r="B11" s="1" t="s">
        <v>14</v>
      </c>
      <c r="C11" s="2" t="s">
        <v>271</v>
      </c>
      <c r="D11" t="s">
        <v>84</v>
      </c>
      <c r="E11" t="s">
        <v>391</v>
      </c>
      <c r="F11">
        <v>1</v>
      </c>
      <c r="G11" t="s">
        <v>192</v>
      </c>
      <c r="H11" t="s">
        <v>192</v>
      </c>
      <c r="I11" t="s">
        <v>192</v>
      </c>
      <c r="J11" t="s">
        <v>201</v>
      </c>
      <c r="K11" t="s">
        <v>201</v>
      </c>
      <c r="L11" t="s">
        <v>1190</v>
      </c>
      <c r="M11" s="17" t="s">
        <v>192</v>
      </c>
      <c r="N11" s="17" t="s">
        <v>192</v>
      </c>
      <c r="O11" s="23" t="s">
        <v>192</v>
      </c>
      <c r="P11" s="23" t="s">
        <v>192</v>
      </c>
      <c r="Q11" t="s">
        <v>192</v>
      </c>
      <c r="R11" t="s">
        <v>192</v>
      </c>
      <c r="S11" t="s">
        <v>192</v>
      </c>
      <c r="T11" t="s">
        <v>192</v>
      </c>
    </row>
    <row r="12" spans="1:20" ht="19" hidden="1">
      <c r="A12">
        <v>11</v>
      </c>
      <c r="B12" s="1" t="s">
        <v>205</v>
      </c>
      <c r="C12" s="2" t="s">
        <v>269</v>
      </c>
      <c r="D12" t="s">
        <v>84</v>
      </c>
      <c r="E12" t="s">
        <v>391</v>
      </c>
      <c r="G12" t="s">
        <v>201</v>
      </c>
      <c r="H12" t="s">
        <v>192</v>
      </c>
      <c r="I12" t="s">
        <v>192</v>
      </c>
      <c r="J12" t="s">
        <v>192</v>
      </c>
      <c r="O12">
        <v>1</v>
      </c>
      <c r="P12" t="s">
        <v>1717</v>
      </c>
      <c r="Q12" t="s">
        <v>1717</v>
      </c>
      <c r="R12" t="s">
        <v>1717</v>
      </c>
      <c r="S12" t="s">
        <v>1717</v>
      </c>
      <c r="T12" t="s">
        <v>1717</v>
      </c>
    </row>
    <row r="13" spans="1:20" ht="19" hidden="1">
      <c r="A13">
        <v>12</v>
      </c>
      <c r="B13" s="1" t="s">
        <v>206</v>
      </c>
      <c r="C13" s="2" t="s">
        <v>267</v>
      </c>
      <c r="D13" t="s">
        <v>84</v>
      </c>
      <c r="E13" t="s">
        <v>391</v>
      </c>
      <c r="G13" t="s">
        <v>201</v>
      </c>
      <c r="H13" t="s">
        <v>192</v>
      </c>
      <c r="I13" t="s">
        <v>192</v>
      </c>
      <c r="J13" t="s">
        <v>192</v>
      </c>
      <c r="O13">
        <v>1</v>
      </c>
      <c r="P13" t="s">
        <v>1717</v>
      </c>
      <c r="Q13" t="s">
        <v>1717</v>
      </c>
      <c r="R13" t="s">
        <v>1717</v>
      </c>
      <c r="S13" t="s">
        <v>1717</v>
      </c>
      <c r="T13" t="s">
        <v>1717</v>
      </c>
    </row>
    <row r="14" spans="1:20" ht="19" hidden="1">
      <c r="A14">
        <v>13</v>
      </c>
      <c r="B14" s="1" t="s">
        <v>15</v>
      </c>
      <c r="C14" s="2" t="s">
        <v>271</v>
      </c>
      <c r="D14" t="s">
        <v>85</v>
      </c>
      <c r="E14" t="s">
        <v>391</v>
      </c>
      <c r="G14" t="s">
        <v>201</v>
      </c>
      <c r="H14" t="s">
        <v>201</v>
      </c>
      <c r="I14" t="s">
        <v>201</v>
      </c>
      <c r="J14" t="s">
        <v>201</v>
      </c>
      <c r="O14">
        <v>1</v>
      </c>
      <c r="P14" t="s">
        <v>1717</v>
      </c>
      <c r="Q14" t="s">
        <v>1717</v>
      </c>
      <c r="R14" t="s">
        <v>1717</v>
      </c>
      <c r="S14" t="s">
        <v>1717</v>
      </c>
      <c r="T14" t="s">
        <v>1717</v>
      </c>
    </row>
    <row r="15" spans="1:20" ht="19" hidden="1">
      <c r="A15">
        <v>14</v>
      </c>
      <c r="B15" s="1" t="s">
        <v>207</v>
      </c>
      <c r="C15" s="2" t="s">
        <v>267</v>
      </c>
      <c r="D15" t="s">
        <v>84</v>
      </c>
      <c r="E15" t="s">
        <v>391</v>
      </c>
      <c r="G15" t="s">
        <v>201</v>
      </c>
      <c r="H15" t="s">
        <v>192</v>
      </c>
      <c r="I15" t="s">
        <v>192</v>
      </c>
      <c r="J15" t="s">
        <v>192</v>
      </c>
      <c r="O15">
        <v>1</v>
      </c>
      <c r="P15" t="s">
        <v>1717</v>
      </c>
      <c r="Q15" t="s">
        <v>1717</v>
      </c>
      <c r="R15" t="s">
        <v>1717</v>
      </c>
      <c r="S15" t="s">
        <v>1717</v>
      </c>
      <c r="T15" t="s">
        <v>1717</v>
      </c>
    </row>
    <row r="16" spans="1:20" ht="19" hidden="1">
      <c r="A16">
        <v>15</v>
      </c>
      <c r="B16" s="1" t="s">
        <v>16</v>
      </c>
      <c r="C16" s="2" t="s">
        <v>271</v>
      </c>
      <c r="D16" t="s">
        <v>84</v>
      </c>
      <c r="E16" t="s">
        <v>391</v>
      </c>
      <c r="G16" t="s">
        <v>201</v>
      </c>
      <c r="H16" t="s">
        <v>192</v>
      </c>
      <c r="I16" t="s">
        <v>192</v>
      </c>
      <c r="J16" t="s">
        <v>192</v>
      </c>
      <c r="O16">
        <v>1</v>
      </c>
      <c r="P16" t="s">
        <v>1717</v>
      </c>
      <c r="Q16" t="s">
        <v>1717</v>
      </c>
      <c r="R16" t="s">
        <v>1717</v>
      </c>
      <c r="S16" t="s">
        <v>1717</v>
      </c>
      <c r="T16" t="s">
        <v>1717</v>
      </c>
    </row>
    <row r="17" spans="1:20" ht="19" hidden="1">
      <c r="A17">
        <v>16</v>
      </c>
      <c r="B17" s="1" t="s">
        <v>17</v>
      </c>
      <c r="C17" s="2" t="s">
        <v>271</v>
      </c>
      <c r="D17" t="s">
        <v>84</v>
      </c>
      <c r="E17" t="s">
        <v>391</v>
      </c>
      <c r="G17" t="s">
        <v>201</v>
      </c>
      <c r="H17" t="s">
        <v>192</v>
      </c>
      <c r="I17" t="s">
        <v>192</v>
      </c>
      <c r="J17" t="s">
        <v>192</v>
      </c>
      <c r="O17">
        <v>1</v>
      </c>
      <c r="P17" t="s">
        <v>1717</v>
      </c>
      <c r="Q17" t="s">
        <v>1717</v>
      </c>
      <c r="R17" t="s">
        <v>1717</v>
      </c>
      <c r="S17" t="s">
        <v>1717</v>
      </c>
      <c r="T17" t="s">
        <v>1717</v>
      </c>
    </row>
    <row r="18" spans="1:20" ht="19" hidden="1">
      <c r="A18">
        <v>17</v>
      </c>
      <c r="B18" s="1" t="s">
        <v>18</v>
      </c>
      <c r="C18" s="2" t="s">
        <v>271</v>
      </c>
      <c r="D18" t="s">
        <v>85</v>
      </c>
      <c r="E18" t="s">
        <v>391</v>
      </c>
      <c r="G18" t="s">
        <v>201</v>
      </c>
      <c r="H18" t="s">
        <v>201</v>
      </c>
      <c r="I18" t="s">
        <v>201</v>
      </c>
      <c r="J18" t="s">
        <v>201</v>
      </c>
      <c r="O18">
        <v>1</v>
      </c>
      <c r="P18" t="s">
        <v>1717</v>
      </c>
      <c r="Q18" t="s">
        <v>1717</v>
      </c>
      <c r="R18" t="s">
        <v>1717</v>
      </c>
      <c r="S18" t="s">
        <v>1717</v>
      </c>
      <c r="T18" t="s">
        <v>1717</v>
      </c>
    </row>
    <row r="19" spans="1:20" ht="19">
      <c r="A19">
        <v>18</v>
      </c>
      <c r="B19" s="1" t="s">
        <v>208</v>
      </c>
      <c r="C19" s="2" t="s">
        <v>267</v>
      </c>
      <c r="D19" t="s">
        <v>84</v>
      </c>
      <c r="E19" t="s">
        <v>391</v>
      </c>
      <c r="G19" t="s">
        <v>192</v>
      </c>
      <c r="H19" t="s">
        <v>192</v>
      </c>
      <c r="I19" t="s">
        <v>192</v>
      </c>
      <c r="J19" t="s">
        <v>192</v>
      </c>
      <c r="K19" t="s">
        <v>192</v>
      </c>
      <c r="L19" t="s">
        <v>1190</v>
      </c>
      <c r="M19" t="s">
        <v>192</v>
      </c>
      <c r="N19" t="s">
        <v>192</v>
      </c>
      <c r="O19" s="23" t="s">
        <v>192</v>
      </c>
      <c r="P19" s="23" t="s">
        <v>192</v>
      </c>
      <c r="Q19" t="s">
        <v>192</v>
      </c>
      <c r="R19" t="s">
        <v>192</v>
      </c>
      <c r="S19" t="s">
        <v>192</v>
      </c>
      <c r="T19" t="s">
        <v>192</v>
      </c>
    </row>
    <row r="20" spans="1:20" ht="19">
      <c r="A20">
        <v>19</v>
      </c>
      <c r="B20" s="1" t="s">
        <v>19</v>
      </c>
      <c r="C20" s="2" t="s">
        <v>271</v>
      </c>
      <c r="D20" t="s">
        <v>84</v>
      </c>
      <c r="E20" t="s">
        <v>391</v>
      </c>
      <c r="G20" t="s">
        <v>192</v>
      </c>
      <c r="H20" t="s">
        <v>192</v>
      </c>
      <c r="I20" t="s">
        <v>192</v>
      </c>
      <c r="J20" t="s">
        <v>192</v>
      </c>
      <c r="K20" t="s">
        <v>192</v>
      </c>
      <c r="L20" t="s">
        <v>1190</v>
      </c>
      <c r="M20" t="s">
        <v>192</v>
      </c>
      <c r="N20" t="s">
        <v>192</v>
      </c>
      <c r="O20" s="23" t="s">
        <v>192</v>
      </c>
      <c r="P20" s="23" t="s">
        <v>192</v>
      </c>
      <c r="Q20" t="s">
        <v>192</v>
      </c>
      <c r="R20" t="s">
        <v>192</v>
      </c>
      <c r="S20" t="s">
        <v>192</v>
      </c>
      <c r="T20" t="s">
        <v>192</v>
      </c>
    </row>
    <row r="21" spans="1:20" ht="19">
      <c r="A21">
        <v>20</v>
      </c>
      <c r="B21" s="1" t="s">
        <v>20</v>
      </c>
      <c r="C21" s="2" t="s">
        <v>271</v>
      </c>
      <c r="D21" t="s">
        <v>84</v>
      </c>
      <c r="E21" t="s">
        <v>391</v>
      </c>
      <c r="G21" t="s">
        <v>192</v>
      </c>
      <c r="H21" t="s">
        <v>192</v>
      </c>
      <c r="I21" t="s">
        <v>192</v>
      </c>
      <c r="J21" t="s">
        <v>192</v>
      </c>
      <c r="K21" t="s">
        <v>192</v>
      </c>
      <c r="L21" t="s">
        <v>1190</v>
      </c>
      <c r="M21" t="s">
        <v>192</v>
      </c>
      <c r="N21" t="s">
        <v>192</v>
      </c>
      <c r="O21" s="23" t="s">
        <v>192</v>
      </c>
      <c r="P21" s="23" t="s">
        <v>192</v>
      </c>
      <c r="Q21" t="s">
        <v>192</v>
      </c>
      <c r="R21" t="s">
        <v>192</v>
      </c>
      <c r="S21" t="s">
        <v>192</v>
      </c>
      <c r="T21" t="s">
        <v>192</v>
      </c>
    </row>
    <row r="22" spans="1:20" ht="19">
      <c r="A22">
        <v>21</v>
      </c>
      <c r="B22" s="1" t="s">
        <v>209</v>
      </c>
      <c r="C22" s="2" t="s">
        <v>272</v>
      </c>
      <c r="D22" t="s">
        <v>84</v>
      </c>
      <c r="E22" t="s">
        <v>391</v>
      </c>
      <c r="G22" t="s">
        <v>192</v>
      </c>
      <c r="H22" t="s">
        <v>192</v>
      </c>
      <c r="I22" t="s">
        <v>192</v>
      </c>
      <c r="J22" t="s">
        <v>192</v>
      </c>
      <c r="K22" t="s">
        <v>192</v>
      </c>
      <c r="L22" t="s">
        <v>1190</v>
      </c>
      <c r="M22" t="s">
        <v>192</v>
      </c>
      <c r="N22" t="s">
        <v>192</v>
      </c>
      <c r="O22" s="23" t="s">
        <v>192</v>
      </c>
      <c r="P22" s="23" t="s">
        <v>192</v>
      </c>
      <c r="Q22" t="s">
        <v>192</v>
      </c>
      <c r="R22" t="s">
        <v>192</v>
      </c>
      <c r="S22" t="s">
        <v>192</v>
      </c>
      <c r="T22" t="s">
        <v>192</v>
      </c>
    </row>
    <row r="23" spans="1:20" ht="19">
      <c r="A23">
        <v>22</v>
      </c>
      <c r="B23" s="1" t="s">
        <v>210</v>
      </c>
      <c r="C23" s="2" t="s">
        <v>267</v>
      </c>
      <c r="D23" t="s">
        <v>84</v>
      </c>
      <c r="E23" t="s">
        <v>391</v>
      </c>
      <c r="G23" t="s">
        <v>192</v>
      </c>
      <c r="H23" t="s">
        <v>192</v>
      </c>
      <c r="I23" t="s">
        <v>192</v>
      </c>
      <c r="J23" t="s">
        <v>192</v>
      </c>
      <c r="K23" t="s">
        <v>192</v>
      </c>
      <c r="L23" t="s">
        <v>1190</v>
      </c>
      <c r="M23" t="s">
        <v>192</v>
      </c>
      <c r="N23" t="s">
        <v>192</v>
      </c>
      <c r="O23" s="23" t="s">
        <v>192</v>
      </c>
      <c r="P23" s="23" t="s">
        <v>192</v>
      </c>
      <c r="Q23" t="s">
        <v>192</v>
      </c>
      <c r="R23" t="s">
        <v>192</v>
      </c>
      <c r="S23" t="s">
        <v>192</v>
      </c>
      <c r="T23" t="s">
        <v>192</v>
      </c>
    </row>
    <row r="24" spans="1:20" ht="19">
      <c r="A24">
        <v>23</v>
      </c>
      <c r="B24" s="1" t="s">
        <v>211</v>
      </c>
      <c r="C24" s="2" t="s">
        <v>271</v>
      </c>
      <c r="D24" t="s">
        <v>87</v>
      </c>
      <c r="E24" t="s">
        <v>391</v>
      </c>
      <c r="F24">
        <v>1</v>
      </c>
      <c r="G24" t="s">
        <v>192</v>
      </c>
      <c r="H24" t="s">
        <v>201</v>
      </c>
      <c r="I24" t="s">
        <v>201</v>
      </c>
      <c r="J24" t="s">
        <v>201</v>
      </c>
      <c r="K24" t="s">
        <v>192</v>
      </c>
      <c r="L24" t="s">
        <v>1190</v>
      </c>
      <c r="M24" t="s">
        <v>192</v>
      </c>
      <c r="N24" t="s">
        <v>201</v>
      </c>
      <c r="O24" s="23" t="s">
        <v>201</v>
      </c>
      <c r="P24" s="23" t="s">
        <v>201</v>
      </c>
      <c r="Q24" t="s">
        <v>201</v>
      </c>
      <c r="R24" t="s">
        <v>201</v>
      </c>
      <c r="S24" t="s">
        <v>201</v>
      </c>
      <c r="T24" t="s">
        <v>201</v>
      </c>
    </row>
    <row r="25" spans="1:20" ht="19">
      <c r="A25">
        <v>24</v>
      </c>
      <c r="B25" s="1" t="s">
        <v>212</v>
      </c>
      <c r="C25" s="2" t="s">
        <v>273</v>
      </c>
      <c r="D25" t="s">
        <v>84</v>
      </c>
      <c r="E25" t="s">
        <v>391</v>
      </c>
      <c r="G25" t="s">
        <v>192</v>
      </c>
      <c r="H25" t="s">
        <v>192</v>
      </c>
      <c r="I25" t="s">
        <v>192</v>
      </c>
      <c r="J25" t="s">
        <v>192</v>
      </c>
      <c r="K25" t="s">
        <v>192</v>
      </c>
      <c r="L25" t="s">
        <v>1190</v>
      </c>
      <c r="M25" t="s">
        <v>192</v>
      </c>
      <c r="N25" t="s">
        <v>192</v>
      </c>
      <c r="O25" s="23" t="s">
        <v>192</v>
      </c>
      <c r="P25" s="23" t="s">
        <v>192</v>
      </c>
      <c r="Q25" t="s">
        <v>201</v>
      </c>
      <c r="R25" t="s">
        <v>192</v>
      </c>
      <c r="S25" t="s">
        <v>192</v>
      </c>
      <c r="T25" t="s">
        <v>192</v>
      </c>
    </row>
    <row r="26" spans="1:20" ht="19">
      <c r="A26">
        <v>25</v>
      </c>
      <c r="B26" s="1" t="s">
        <v>213</v>
      </c>
      <c r="C26" s="2" t="s">
        <v>273</v>
      </c>
      <c r="D26" t="s">
        <v>84</v>
      </c>
      <c r="E26" t="s">
        <v>391</v>
      </c>
      <c r="G26" t="s">
        <v>192</v>
      </c>
      <c r="H26" t="s">
        <v>192</v>
      </c>
      <c r="I26" t="s">
        <v>192</v>
      </c>
      <c r="J26" t="s">
        <v>192</v>
      </c>
      <c r="K26" t="s">
        <v>192</v>
      </c>
      <c r="L26" t="s">
        <v>1190</v>
      </c>
      <c r="M26" t="s">
        <v>192</v>
      </c>
      <c r="N26" t="s">
        <v>192</v>
      </c>
      <c r="O26" s="23" t="s">
        <v>192</v>
      </c>
      <c r="P26" s="23" t="s">
        <v>201</v>
      </c>
      <c r="Q26" t="s">
        <v>192</v>
      </c>
      <c r="R26" t="s">
        <v>192</v>
      </c>
      <c r="S26" t="s">
        <v>192</v>
      </c>
      <c r="T26" t="s">
        <v>192</v>
      </c>
    </row>
    <row r="27" spans="1:20" ht="19">
      <c r="A27">
        <v>26</v>
      </c>
      <c r="B27" s="1" t="s">
        <v>21</v>
      </c>
      <c r="C27" s="2" t="s">
        <v>271</v>
      </c>
      <c r="D27" t="s">
        <v>86</v>
      </c>
      <c r="E27" t="s">
        <v>391</v>
      </c>
      <c r="F27">
        <v>1</v>
      </c>
      <c r="G27" t="s">
        <v>192</v>
      </c>
      <c r="H27" t="s">
        <v>201</v>
      </c>
      <c r="I27" t="s">
        <v>201</v>
      </c>
      <c r="J27" t="s">
        <v>201</v>
      </c>
      <c r="K27" t="s">
        <v>201</v>
      </c>
      <c r="L27" t="s">
        <v>1191</v>
      </c>
      <c r="M27" t="s">
        <v>201</v>
      </c>
      <c r="N27" t="s">
        <v>201</v>
      </c>
      <c r="O27" t="s">
        <v>201</v>
      </c>
      <c r="P27" t="s">
        <v>192</v>
      </c>
      <c r="Q27" t="s">
        <v>201</v>
      </c>
      <c r="R27" t="s">
        <v>201</v>
      </c>
      <c r="S27" t="s">
        <v>201</v>
      </c>
      <c r="T27" t="s">
        <v>201</v>
      </c>
    </row>
    <row r="28" spans="1:20" ht="19">
      <c r="A28">
        <v>27</v>
      </c>
      <c r="B28" s="1" t="s">
        <v>22</v>
      </c>
      <c r="C28" s="2" t="s">
        <v>271</v>
      </c>
      <c r="D28" t="s">
        <v>85</v>
      </c>
      <c r="E28" t="s">
        <v>391</v>
      </c>
      <c r="F28">
        <v>1</v>
      </c>
      <c r="G28" t="s">
        <v>192</v>
      </c>
      <c r="H28" t="s">
        <v>201</v>
      </c>
      <c r="I28" t="s">
        <v>201</v>
      </c>
      <c r="J28" t="s">
        <v>192</v>
      </c>
      <c r="K28" t="s">
        <v>201</v>
      </c>
      <c r="L28" t="s">
        <v>1190</v>
      </c>
      <c r="M28" t="s">
        <v>201</v>
      </c>
      <c r="N28" t="s">
        <v>201</v>
      </c>
      <c r="O28" s="23" t="s">
        <v>201</v>
      </c>
      <c r="P28" s="23" t="s">
        <v>201</v>
      </c>
      <c r="Q28" t="s">
        <v>192</v>
      </c>
      <c r="R28" t="s">
        <v>192</v>
      </c>
      <c r="S28" t="s">
        <v>201</v>
      </c>
      <c r="T28" t="s">
        <v>192</v>
      </c>
    </row>
    <row r="29" spans="1:20" ht="19" hidden="1">
      <c r="A29">
        <v>28</v>
      </c>
      <c r="B29" s="1" t="s">
        <v>214</v>
      </c>
      <c r="C29" s="2" t="s">
        <v>269</v>
      </c>
      <c r="D29" t="s">
        <v>84</v>
      </c>
      <c r="E29" t="s">
        <v>391</v>
      </c>
      <c r="G29" t="s">
        <v>201</v>
      </c>
      <c r="H29" t="s">
        <v>192</v>
      </c>
      <c r="I29" t="s">
        <v>192</v>
      </c>
      <c r="J29" t="s">
        <v>192</v>
      </c>
      <c r="O29">
        <v>1</v>
      </c>
      <c r="P29" t="s">
        <v>1717</v>
      </c>
      <c r="Q29" t="s">
        <v>1717</v>
      </c>
      <c r="R29" t="s">
        <v>1717</v>
      </c>
      <c r="S29" t="s">
        <v>1717</v>
      </c>
      <c r="T29" t="s">
        <v>1717</v>
      </c>
    </row>
    <row r="30" spans="1:20" ht="19" hidden="1">
      <c r="A30">
        <v>29</v>
      </c>
      <c r="B30" s="1" t="s">
        <v>23</v>
      </c>
      <c r="C30" s="2" t="s">
        <v>271</v>
      </c>
      <c r="D30" t="s">
        <v>87</v>
      </c>
      <c r="E30" t="s">
        <v>391</v>
      </c>
      <c r="G30" t="s">
        <v>201</v>
      </c>
      <c r="H30" t="s">
        <v>201</v>
      </c>
      <c r="I30" t="s">
        <v>201</v>
      </c>
      <c r="J30" t="s">
        <v>201</v>
      </c>
      <c r="O30">
        <v>1</v>
      </c>
      <c r="P30" t="s">
        <v>1717</v>
      </c>
      <c r="Q30" t="s">
        <v>1717</v>
      </c>
      <c r="R30" t="s">
        <v>1717</v>
      </c>
      <c r="S30" t="s">
        <v>1717</v>
      </c>
      <c r="T30" t="s">
        <v>1717</v>
      </c>
    </row>
    <row r="31" spans="1:20" ht="19" hidden="1">
      <c r="A31">
        <v>30</v>
      </c>
      <c r="B31" s="1" t="s">
        <v>215</v>
      </c>
      <c r="C31" s="2" t="s">
        <v>269</v>
      </c>
      <c r="D31" t="s">
        <v>84</v>
      </c>
      <c r="E31" t="s">
        <v>391</v>
      </c>
      <c r="G31" t="s">
        <v>201</v>
      </c>
      <c r="H31" t="s">
        <v>192</v>
      </c>
      <c r="I31" t="s">
        <v>192</v>
      </c>
      <c r="J31" t="s">
        <v>192</v>
      </c>
      <c r="O31">
        <v>1</v>
      </c>
      <c r="P31" t="s">
        <v>1717</v>
      </c>
      <c r="Q31" t="s">
        <v>1717</v>
      </c>
      <c r="R31" t="s">
        <v>1717</v>
      </c>
      <c r="S31" t="s">
        <v>1717</v>
      </c>
      <c r="T31" t="s">
        <v>1717</v>
      </c>
    </row>
    <row r="32" spans="1:20" ht="19" hidden="1">
      <c r="A32">
        <v>31</v>
      </c>
      <c r="B32" s="1" t="s">
        <v>216</v>
      </c>
      <c r="C32" s="2" t="s">
        <v>269</v>
      </c>
      <c r="D32" t="s">
        <v>84</v>
      </c>
      <c r="E32" t="s">
        <v>391</v>
      </c>
      <c r="G32" t="s">
        <v>201</v>
      </c>
      <c r="H32" t="s">
        <v>192</v>
      </c>
      <c r="I32" t="s">
        <v>192</v>
      </c>
      <c r="J32" t="s">
        <v>192</v>
      </c>
      <c r="O32">
        <v>1</v>
      </c>
      <c r="P32" t="s">
        <v>1717</v>
      </c>
      <c r="Q32" t="s">
        <v>1717</v>
      </c>
      <c r="R32" t="s">
        <v>1717</v>
      </c>
      <c r="S32" t="s">
        <v>1717</v>
      </c>
      <c r="T32" t="s">
        <v>1717</v>
      </c>
    </row>
    <row r="33" spans="1:20" ht="19" hidden="1">
      <c r="A33">
        <v>32</v>
      </c>
      <c r="B33" s="1" t="s">
        <v>24</v>
      </c>
      <c r="C33" s="2" t="s">
        <v>271</v>
      </c>
      <c r="D33" t="s">
        <v>84</v>
      </c>
      <c r="E33" t="s">
        <v>391</v>
      </c>
      <c r="G33" t="s">
        <v>201</v>
      </c>
      <c r="H33" t="s">
        <v>192</v>
      </c>
      <c r="I33" t="s">
        <v>192</v>
      </c>
      <c r="J33" t="s">
        <v>192</v>
      </c>
      <c r="O33">
        <v>1</v>
      </c>
      <c r="P33" t="s">
        <v>1717</v>
      </c>
      <c r="Q33" t="s">
        <v>1717</v>
      </c>
      <c r="R33" t="s">
        <v>1717</v>
      </c>
      <c r="S33" t="s">
        <v>1717</v>
      </c>
      <c r="T33" t="s">
        <v>1717</v>
      </c>
    </row>
    <row r="34" spans="1:20" ht="19" hidden="1">
      <c r="A34">
        <v>33</v>
      </c>
      <c r="B34" s="1" t="s">
        <v>25</v>
      </c>
      <c r="C34" s="2" t="s">
        <v>271</v>
      </c>
      <c r="D34" t="s">
        <v>84</v>
      </c>
      <c r="E34" t="s">
        <v>391</v>
      </c>
      <c r="G34" t="s">
        <v>201</v>
      </c>
      <c r="H34" t="s">
        <v>192</v>
      </c>
      <c r="I34" t="s">
        <v>192</v>
      </c>
      <c r="J34" t="s">
        <v>192</v>
      </c>
      <c r="O34">
        <v>1</v>
      </c>
      <c r="P34" t="s">
        <v>1717</v>
      </c>
      <c r="Q34" t="s">
        <v>1717</v>
      </c>
      <c r="R34" t="s">
        <v>1717</v>
      </c>
      <c r="S34" t="s">
        <v>1717</v>
      </c>
      <c r="T34" t="s">
        <v>1717</v>
      </c>
    </row>
    <row r="35" spans="1:20" ht="19">
      <c r="A35">
        <v>34</v>
      </c>
      <c r="B35" s="1" t="s">
        <v>217</v>
      </c>
      <c r="C35" s="2" t="s">
        <v>267</v>
      </c>
      <c r="D35" t="s">
        <v>84</v>
      </c>
      <c r="E35" t="s">
        <v>391</v>
      </c>
      <c r="G35" t="s">
        <v>192</v>
      </c>
      <c r="H35" t="s">
        <v>192</v>
      </c>
      <c r="I35" t="s">
        <v>192</v>
      </c>
      <c r="J35" t="s">
        <v>192</v>
      </c>
      <c r="K35" t="s">
        <v>192</v>
      </c>
      <c r="L35" t="s">
        <v>1190</v>
      </c>
      <c r="M35" t="s">
        <v>192</v>
      </c>
      <c r="N35" t="s">
        <v>192</v>
      </c>
      <c r="O35" s="23" t="s">
        <v>192</v>
      </c>
      <c r="P35" s="23" t="s">
        <v>192</v>
      </c>
      <c r="Q35" t="s">
        <v>192</v>
      </c>
      <c r="R35" t="s">
        <v>192</v>
      </c>
      <c r="S35" t="s">
        <v>192</v>
      </c>
      <c r="T35" t="s">
        <v>192</v>
      </c>
    </row>
    <row r="36" spans="1:20" ht="19">
      <c r="A36">
        <v>35</v>
      </c>
      <c r="B36" s="1" t="s">
        <v>218</v>
      </c>
      <c r="C36" s="2" t="s">
        <v>269</v>
      </c>
      <c r="D36" t="s">
        <v>84</v>
      </c>
      <c r="E36" t="s">
        <v>391</v>
      </c>
      <c r="G36" t="s">
        <v>192</v>
      </c>
      <c r="H36" t="s">
        <v>192</v>
      </c>
      <c r="I36" t="s">
        <v>192</v>
      </c>
      <c r="J36" t="s">
        <v>192</v>
      </c>
      <c r="K36" t="s">
        <v>192</v>
      </c>
      <c r="L36" t="s">
        <v>1190</v>
      </c>
      <c r="M36" t="s">
        <v>192</v>
      </c>
      <c r="N36" t="s">
        <v>192</v>
      </c>
      <c r="O36" s="23" t="s">
        <v>192</v>
      </c>
      <c r="P36" s="23" t="s">
        <v>201</v>
      </c>
      <c r="Q36" t="s">
        <v>192</v>
      </c>
      <c r="R36" t="s">
        <v>192</v>
      </c>
      <c r="S36" t="s">
        <v>192</v>
      </c>
      <c r="T36" t="s">
        <v>192</v>
      </c>
    </row>
    <row r="37" spans="1:20" ht="19" hidden="1">
      <c r="A37">
        <v>36</v>
      </c>
      <c r="B37" s="1" t="s">
        <v>219</v>
      </c>
      <c r="C37" s="2" t="s">
        <v>269</v>
      </c>
      <c r="D37" t="s">
        <v>84</v>
      </c>
      <c r="E37" t="s">
        <v>391</v>
      </c>
      <c r="G37" t="s">
        <v>201</v>
      </c>
      <c r="H37" t="s">
        <v>192</v>
      </c>
      <c r="I37" t="s">
        <v>192</v>
      </c>
      <c r="J37" t="s">
        <v>192</v>
      </c>
      <c r="O37">
        <v>1</v>
      </c>
      <c r="P37" t="s">
        <v>1717</v>
      </c>
      <c r="Q37" t="s">
        <v>1717</v>
      </c>
      <c r="R37" t="s">
        <v>1717</v>
      </c>
      <c r="S37" t="s">
        <v>1717</v>
      </c>
      <c r="T37" t="s">
        <v>1717</v>
      </c>
    </row>
    <row r="38" spans="1:20" ht="19">
      <c r="A38">
        <v>37</v>
      </c>
      <c r="B38" s="1" t="s">
        <v>220</v>
      </c>
      <c r="C38" s="2" t="s">
        <v>269</v>
      </c>
      <c r="D38" t="s">
        <v>84</v>
      </c>
      <c r="E38" t="s">
        <v>391</v>
      </c>
      <c r="G38" t="s">
        <v>192</v>
      </c>
      <c r="H38" t="s">
        <v>192</v>
      </c>
      <c r="I38" t="s">
        <v>192</v>
      </c>
      <c r="J38" t="s">
        <v>192</v>
      </c>
      <c r="K38" t="s">
        <v>192</v>
      </c>
      <c r="L38" t="s">
        <v>1190</v>
      </c>
      <c r="M38" t="s">
        <v>192</v>
      </c>
      <c r="N38" t="s">
        <v>192</v>
      </c>
      <c r="O38" s="23" t="s">
        <v>192</v>
      </c>
      <c r="P38" s="23" t="s">
        <v>192</v>
      </c>
      <c r="Q38" t="s">
        <v>192</v>
      </c>
      <c r="R38" t="s">
        <v>192</v>
      </c>
      <c r="S38" t="s">
        <v>192</v>
      </c>
      <c r="T38" t="s">
        <v>192</v>
      </c>
    </row>
    <row r="39" spans="1:20" ht="19">
      <c r="A39">
        <v>38</v>
      </c>
      <c r="B39" s="1" t="s">
        <v>221</v>
      </c>
      <c r="C39" s="2" t="s">
        <v>269</v>
      </c>
      <c r="D39" t="s">
        <v>84</v>
      </c>
      <c r="E39" t="s">
        <v>391</v>
      </c>
      <c r="G39" t="s">
        <v>192</v>
      </c>
      <c r="H39" t="s">
        <v>192</v>
      </c>
      <c r="I39" t="s">
        <v>192</v>
      </c>
      <c r="J39" t="s">
        <v>192</v>
      </c>
      <c r="K39" t="s">
        <v>192</v>
      </c>
      <c r="L39" t="s">
        <v>1190</v>
      </c>
      <c r="M39" t="s">
        <v>192</v>
      </c>
      <c r="N39" t="s">
        <v>201</v>
      </c>
      <c r="O39" t="s">
        <v>192</v>
      </c>
      <c r="P39" t="s">
        <v>201</v>
      </c>
      <c r="Q39" t="s">
        <v>192</v>
      </c>
      <c r="R39" t="s">
        <v>192</v>
      </c>
      <c r="S39" t="s">
        <v>192</v>
      </c>
      <c r="T39" t="s">
        <v>192</v>
      </c>
    </row>
    <row r="40" spans="1:20" ht="19">
      <c r="A40">
        <v>39</v>
      </c>
      <c r="B40" s="1" t="s">
        <v>222</v>
      </c>
      <c r="C40" s="2" t="s">
        <v>267</v>
      </c>
      <c r="D40" t="s">
        <v>84</v>
      </c>
      <c r="E40" t="s">
        <v>391</v>
      </c>
      <c r="G40" t="s">
        <v>192</v>
      </c>
      <c r="H40" t="s">
        <v>192</v>
      </c>
      <c r="I40" t="s">
        <v>192</v>
      </c>
      <c r="J40" t="s">
        <v>192</v>
      </c>
      <c r="K40" t="s">
        <v>192</v>
      </c>
      <c r="L40" t="s">
        <v>1190</v>
      </c>
      <c r="M40" t="s">
        <v>192</v>
      </c>
      <c r="N40" t="s">
        <v>192</v>
      </c>
      <c r="O40" s="23" t="s">
        <v>192</v>
      </c>
      <c r="P40" s="23" t="s">
        <v>192</v>
      </c>
      <c r="Q40" t="s">
        <v>192</v>
      </c>
      <c r="R40" t="s">
        <v>192</v>
      </c>
      <c r="S40" t="s">
        <v>192</v>
      </c>
      <c r="T40" t="s">
        <v>192</v>
      </c>
    </row>
    <row r="41" spans="1:20" ht="19" hidden="1">
      <c r="A41">
        <v>40</v>
      </c>
      <c r="B41" s="1" t="s">
        <v>26</v>
      </c>
      <c r="C41" s="2" t="s">
        <v>271</v>
      </c>
      <c r="D41" t="s">
        <v>84</v>
      </c>
      <c r="E41" t="s">
        <v>391</v>
      </c>
      <c r="G41" t="s">
        <v>201</v>
      </c>
      <c r="H41" t="s">
        <v>201</v>
      </c>
      <c r="I41" t="s">
        <v>192</v>
      </c>
      <c r="J41" t="s">
        <v>192</v>
      </c>
      <c r="O41">
        <v>1</v>
      </c>
      <c r="P41" t="s">
        <v>1717</v>
      </c>
      <c r="Q41" t="s">
        <v>1717</v>
      </c>
      <c r="R41" t="s">
        <v>1717</v>
      </c>
      <c r="S41" t="s">
        <v>1717</v>
      </c>
      <c r="T41" t="s">
        <v>1717</v>
      </c>
    </row>
    <row r="42" spans="1:20" ht="19">
      <c r="A42">
        <v>41</v>
      </c>
      <c r="B42" s="1" t="s">
        <v>223</v>
      </c>
      <c r="C42" s="2" t="s">
        <v>269</v>
      </c>
      <c r="D42" t="s">
        <v>84</v>
      </c>
      <c r="E42" t="s">
        <v>391</v>
      </c>
      <c r="G42" t="s">
        <v>192</v>
      </c>
      <c r="H42" t="s">
        <v>192</v>
      </c>
      <c r="I42" t="s">
        <v>192</v>
      </c>
      <c r="J42" t="s">
        <v>192</v>
      </c>
      <c r="K42" t="s">
        <v>192</v>
      </c>
      <c r="L42" t="s">
        <v>1190</v>
      </c>
      <c r="M42" t="s">
        <v>192</v>
      </c>
      <c r="N42" t="s">
        <v>192</v>
      </c>
      <c r="O42" s="23" t="s">
        <v>192</v>
      </c>
      <c r="P42" s="23" t="s">
        <v>192</v>
      </c>
      <c r="Q42" t="s">
        <v>192</v>
      </c>
      <c r="R42" t="s">
        <v>192</v>
      </c>
      <c r="S42" t="s">
        <v>192</v>
      </c>
      <c r="T42" t="s">
        <v>192</v>
      </c>
    </row>
    <row r="43" spans="1:20" ht="19">
      <c r="A43">
        <v>42</v>
      </c>
      <c r="B43" s="1" t="s">
        <v>27</v>
      </c>
      <c r="C43" s="2" t="s">
        <v>271</v>
      </c>
      <c r="D43" t="s">
        <v>84</v>
      </c>
      <c r="E43" t="s">
        <v>391</v>
      </c>
      <c r="G43" t="s">
        <v>192</v>
      </c>
      <c r="H43" t="s">
        <v>201</v>
      </c>
      <c r="I43" t="s">
        <v>192</v>
      </c>
      <c r="J43" t="s">
        <v>192</v>
      </c>
      <c r="K43" t="s">
        <v>192</v>
      </c>
      <c r="L43" t="s">
        <v>1190</v>
      </c>
      <c r="M43" t="s">
        <v>192</v>
      </c>
      <c r="N43" t="s">
        <v>192</v>
      </c>
      <c r="O43" s="23" t="s">
        <v>192</v>
      </c>
      <c r="P43" s="23" t="s">
        <v>192</v>
      </c>
      <c r="Q43" t="s">
        <v>192</v>
      </c>
      <c r="R43" t="s">
        <v>192</v>
      </c>
      <c r="S43" t="s">
        <v>192</v>
      </c>
      <c r="T43" t="s">
        <v>192</v>
      </c>
    </row>
    <row r="44" spans="1:20" ht="19">
      <c r="A44">
        <v>43</v>
      </c>
      <c r="B44" s="1" t="s">
        <v>224</v>
      </c>
      <c r="C44" s="2" t="s">
        <v>267</v>
      </c>
      <c r="D44" t="s">
        <v>84</v>
      </c>
      <c r="E44" t="s">
        <v>391</v>
      </c>
      <c r="G44" t="s">
        <v>192</v>
      </c>
      <c r="H44" t="s">
        <v>192</v>
      </c>
      <c r="I44" t="s">
        <v>192</v>
      </c>
      <c r="J44" t="s">
        <v>192</v>
      </c>
      <c r="K44" t="s">
        <v>192</v>
      </c>
      <c r="L44" t="s">
        <v>1190</v>
      </c>
      <c r="M44" t="s">
        <v>192</v>
      </c>
      <c r="N44" t="s">
        <v>192</v>
      </c>
      <c r="O44" s="23" t="s">
        <v>192</v>
      </c>
      <c r="P44" s="23" t="s">
        <v>192</v>
      </c>
      <c r="Q44" t="s">
        <v>192</v>
      </c>
      <c r="R44" t="s">
        <v>192</v>
      </c>
      <c r="S44" t="s">
        <v>192</v>
      </c>
      <c r="T44" t="s">
        <v>192</v>
      </c>
    </row>
    <row r="45" spans="1:20" ht="19">
      <c r="A45">
        <v>44</v>
      </c>
      <c r="B45" s="1" t="s">
        <v>225</v>
      </c>
      <c r="C45" s="2" t="s">
        <v>274</v>
      </c>
      <c r="D45" t="s">
        <v>84</v>
      </c>
      <c r="E45" t="s">
        <v>391</v>
      </c>
      <c r="G45" t="s">
        <v>192</v>
      </c>
      <c r="H45" t="s">
        <v>192</v>
      </c>
      <c r="I45" t="s">
        <v>192</v>
      </c>
      <c r="J45" t="s">
        <v>192</v>
      </c>
      <c r="K45" t="s">
        <v>192</v>
      </c>
      <c r="L45" t="s">
        <v>1190</v>
      </c>
      <c r="M45" t="s">
        <v>192</v>
      </c>
      <c r="N45" t="s">
        <v>192</v>
      </c>
      <c r="O45" s="23" t="s">
        <v>192</v>
      </c>
      <c r="P45" s="23" t="s">
        <v>192</v>
      </c>
      <c r="Q45" t="s">
        <v>192</v>
      </c>
      <c r="R45" t="s">
        <v>192</v>
      </c>
      <c r="S45" t="s">
        <v>192</v>
      </c>
      <c r="T45" t="s">
        <v>192</v>
      </c>
    </row>
    <row r="46" spans="1:20" ht="19">
      <c r="A46">
        <v>45</v>
      </c>
      <c r="B46" s="1" t="s">
        <v>226</v>
      </c>
      <c r="C46" s="2" t="s">
        <v>274</v>
      </c>
      <c r="D46" t="s">
        <v>84</v>
      </c>
      <c r="E46" t="s">
        <v>391</v>
      </c>
      <c r="G46" t="s">
        <v>192</v>
      </c>
      <c r="H46" t="s">
        <v>192</v>
      </c>
      <c r="I46" t="s">
        <v>192</v>
      </c>
      <c r="J46" t="s">
        <v>192</v>
      </c>
      <c r="K46" t="s">
        <v>192</v>
      </c>
      <c r="L46" t="s">
        <v>1190</v>
      </c>
      <c r="M46" t="s">
        <v>192</v>
      </c>
      <c r="N46" t="s">
        <v>192</v>
      </c>
      <c r="O46" s="23" t="s">
        <v>192</v>
      </c>
      <c r="P46" s="23" t="s">
        <v>201</v>
      </c>
      <c r="Q46" t="s">
        <v>192</v>
      </c>
      <c r="R46" t="s">
        <v>192</v>
      </c>
      <c r="S46" t="s">
        <v>192</v>
      </c>
      <c r="T46" t="s">
        <v>192</v>
      </c>
    </row>
    <row r="47" spans="1:20" ht="19">
      <c r="A47">
        <v>46</v>
      </c>
      <c r="B47" s="1" t="s">
        <v>227</v>
      </c>
      <c r="C47" s="2" t="s">
        <v>269</v>
      </c>
      <c r="D47" t="s">
        <v>84</v>
      </c>
      <c r="E47" t="s">
        <v>391</v>
      </c>
      <c r="G47" t="s">
        <v>192</v>
      </c>
      <c r="H47" t="s">
        <v>192</v>
      </c>
      <c r="I47" t="s">
        <v>192</v>
      </c>
      <c r="J47" t="s">
        <v>192</v>
      </c>
      <c r="K47" t="s">
        <v>192</v>
      </c>
      <c r="L47" t="s">
        <v>1190</v>
      </c>
      <c r="M47" t="s">
        <v>192</v>
      </c>
      <c r="N47" t="s">
        <v>201</v>
      </c>
      <c r="O47" s="23" t="s">
        <v>192</v>
      </c>
      <c r="P47" s="23" t="s">
        <v>192</v>
      </c>
      <c r="Q47" t="s">
        <v>192</v>
      </c>
      <c r="R47" t="s">
        <v>192</v>
      </c>
      <c r="S47" t="s">
        <v>192</v>
      </c>
      <c r="T47" t="s">
        <v>192</v>
      </c>
    </row>
    <row r="48" spans="1:20" ht="19">
      <c r="A48">
        <v>47</v>
      </c>
      <c r="B48" s="1" t="s">
        <v>228</v>
      </c>
      <c r="C48" s="2" t="s">
        <v>269</v>
      </c>
      <c r="D48" t="s">
        <v>84</v>
      </c>
      <c r="E48" t="s">
        <v>391</v>
      </c>
      <c r="G48" t="s">
        <v>192</v>
      </c>
      <c r="H48" t="s">
        <v>192</v>
      </c>
      <c r="I48" t="s">
        <v>192</v>
      </c>
      <c r="J48" t="s">
        <v>192</v>
      </c>
      <c r="K48" t="s">
        <v>192</v>
      </c>
      <c r="L48" t="s">
        <v>1190</v>
      </c>
      <c r="M48" t="s">
        <v>192</v>
      </c>
      <c r="N48" t="s">
        <v>192</v>
      </c>
      <c r="O48" s="23" t="s">
        <v>192</v>
      </c>
      <c r="P48" s="23" t="s">
        <v>192</v>
      </c>
      <c r="Q48" t="s">
        <v>192</v>
      </c>
      <c r="R48" t="s">
        <v>192</v>
      </c>
      <c r="S48" t="s">
        <v>192</v>
      </c>
      <c r="T48" t="s">
        <v>192</v>
      </c>
    </row>
    <row r="49" spans="1:20" ht="19">
      <c r="A49">
        <v>48</v>
      </c>
      <c r="B49" s="1" t="s">
        <v>229</v>
      </c>
      <c r="C49" s="2" t="s">
        <v>269</v>
      </c>
      <c r="D49" t="s">
        <v>84</v>
      </c>
      <c r="E49" t="s">
        <v>391</v>
      </c>
      <c r="G49" t="s">
        <v>192</v>
      </c>
      <c r="H49" t="s">
        <v>192</v>
      </c>
      <c r="I49" t="s">
        <v>192</v>
      </c>
      <c r="J49" t="s">
        <v>192</v>
      </c>
      <c r="K49" t="s">
        <v>192</v>
      </c>
      <c r="L49" t="s">
        <v>1190</v>
      </c>
      <c r="M49" t="s">
        <v>192</v>
      </c>
      <c r="N49" t="s">
        <v>192</v>
      </c>
      <c r="O49" s="23" t="s">
        <v>192</v>
      </c>
      <c r="P49" s="23" t="s">
        <v>201</v>
      </c>
      <c r="Q49" t="s">
        <v>192</v>
      </c>
      <c r="R49" t="s">
        <v>192</v>
      </c>
      <c r="S49" t="s">
        <v>192</v>
      </c>
      <c r="T49" t="s">
        <v>192</v>
      </c>
    </row>
    <row r="50" spans="1:20" ht="19">
      <c r="A50">
        <v>49</v>
      </c>
      <c r="B50" s="1" t="s">
        <v>230</v>
      </c>
      <c r="C50" s="2" t="s">
        <v>269</v>
      </c>
      <c r="D50" t="s">
        <v>84</v>
      </c>
      <c r="E50" t="s">
        <v>391</v>
      </c>
      <c r="G50" t="s">
        <v>192</v>
      </c>
      <c r="H50" t="s">
        <v>192</v>
      </c>
      <c r="I50" t="s">
        <v>192</v>
      </c>
      <c r="J50" t="s">
        <v>192</v>
      </c>
      <c r="K50" t="s">
        <v>201</v>
      </c>
      <c r="L50" t="s">
        <v>1190</v>
      </c>
      <c r="M50" t="s">
        <v>192</v>
      </c>
      <c r="N50" t="s">
        <v>192</v>
      </c>
      <c r="O50" s="23" t="s">
        <v>192</v>
      </c>
      <c r="P50" s="23" t="s">
        <v>201</v>
      </c>
      <c r="Q50" t="s">
        <v>192</v>
      </c>
      <c r="R50" t="s">
        <v>192</v>
      </c>
      <c r="S50" t="s">
        <v>192</v>
      </c>
      <c r="T50" t="s">
        <v>192</v>
      </c>
    </row>
    <row r="51" spans="1:20" ht="19">
      <c r="A51">
        <v>50</v>
      </c>
      <c r="B51" s="1" t="s">
        <v>231</v>
      </c>
      <c r="C51" s="2" t="s">
        <v>269</v>
      </c>
      <c r="D51" t="s">
        <v>84</v>
      </c>
      <c r="E51" t="s">
        <v>391</v>
      </c>
      <c r="G51" t="s">
        <v>192</v>
      </c>
      <c r="H51" t="s">
        <v>192</v>
      </c>
      <c r="I51" t="s">
        <v>192</v>
      </c>
      <c r="J51" t="s">
        <v>192</v>
      </c>
      <c r="K51" t="s">
        <v>192</v>
      </c>
      <c r="L51" t="s">
        <v>1190</v>
      </c>
      <c r="M51" t="s">
        <v>192</v>
      </c>
      <c r="N51" t="s">
        <v>192</v>
      </c>
      <c r="O51" s="23" t="s">
        <v>192</v>
      </c>
      <c r="P51" s="23" t="s">
        <v>201</v>
      </c>
      <c r="Q51" t="s">
        <v>192</v>
      </c>
      <c r="R51" t="s">
        <v>192</v>
      </c>
      <c r="S51" t="s">
        <v>192</v>
      </c>
      <c r="T51" t="s">
        <v>192</v>
      </c>
    </row>
    <row r="52" spans="1:20" ht="19">
      <c r="A52">
        <v>51</v>
      </c>
      <c r="B52" s="1" t="s">
        <v>232</v>
      </c>
      <c r="C52" s="2" t="s">
        <v>274</v>
      </c>
      <c r="D52" t="s">
        <v>84</v>
      </c>
      <c r="E52" t="s">
        <v>391</v>
      </c>
      <c r="G52" t="s">
        <v>192</v>
      </c>
      <c r="H52" t="s">
        <v>192</v>
      </c>
      <c r="I52" t="s">
        <v>192</v>
      </c>
      <c r="J52" t="s">
        <v>192</v>
      </c>
      <c r="K52" t="s">
        <v>192</v>
      </c>
      <c r="L52" t="s">
        <v>1190</v>
      </c>
      <c r="M52" t="s">
        <v>192</v>
      </c>
      <c r="N52" t="s">
        <v>192</v>
      </c>
      <c r="O52" s="24" t="s">
        <v>192</v>
      </c>
      <c r="P52" s="24" t="s">
        <v>201</v>
      </c>
      <c r="Q52" t="s">
        <v>192</v>
      </c>
      <c r="R52" t="s">
        <v>192</v>
      </c>
      <c r="S52" t="s">
        <v>192</v>
      </c>
      <c r="T52" t="s">
        <v>192</v>
      </c>
    </row>
    <row r="53" spans="1:20" ht="19">
      <c r="A53">
        <v>52</v>
      </c>
      <c r="B53" s="1" t="s">
        <v>233</v>
      </c>
      <c r="C53" s="2" t="s">
        <v>274</v>
      </c>
      <c r="D53" t="s">
        <v>84</v>
      </c>
      <c r="E53" t="s">
        <v>391</v>
      </c>
      <c r="G53" t="s">
        <v>192</v>
      </c>
      <c r="H53" t="s">
        <v>192</v>
      </c>
      <c r="I53" t="s">
        <v>192</v>
      </c>
      <c r="J53" t="s">
        <v>192</v>
      </c>
      <c r="K53" t="s">
        <v>192</v>
      </c>
      <c r="L53" t="s">
        <v>1190</v>
      </c>
      <c r="M53" t="s">
        <v>192</v>
      </c>
      <c r="N53" t="s">
        <v>192</v>
      </c>
      <c r="O53" s="24" t="s">
        <v>192</v>
      </c>
      <c r="P53" s="24" t="s">
        <v>192</v>
      </c>
      <c r="Q53" t="s">
        <v>192</v>
      </c>
      <c r="R53" t="s">
        <v>192</v>
      </c>
      <c r="S53" t="s">
        <v>192</v>
      </c>
      <c r="T53" t="s">
        <v>192</v>
      </c>
    </row>
    <row r="54" spans="1:20" ht="19">
      <c r="A54">
        <v>53</v>
      </c>
      <c r="B54" s="1" t="s">
        <v>234</v>
      </c>
      <c r="C54" s="2" t="s">
        <v>274</v>
      </c>
      <c r="D54" t="s">
        <v>84</v>
      </c>
      <c r="E54" t="s">
        <v>391</v>
      </c>
      <c r="G54" t="s">
        <v>192</v>
      </c>
      <c r="H54" t="s">
        <v>192</v>
      </c>
      <c r="I54" t="s">
        <v>192</v>
      </c>
      <c r="J54" t="s">
        <v>192</v>
      </c>
      <c r="K54" t="s">
        <v>192</v>
      </c>
      <c r="L54" t="s">
        <v>1190</v>
      </c>
      <c r="M54" t="s">
        <v>192</v>
      </c>
      <c r="N54" t="s">
        <v>201</v>
      </c>
      <c r="O54" s="24" t="s">
        <v>192</v>
      </c>
      <c r="P54" s="24" t="s">
        <v>192</v>
      </c>
      <c r="Q54" t="s">
        <v>192</v>
      </c>
      <c r="R54" t="s">
        <v>192</v>
      </c>
      <c r="S54" t="s">
        <v>192</v>
      </c>
      <c r="T54" t="s">
        <v>192</v>
      </c>
    </row>
    <row r="55" spans="1:20" ht="19">
      <c r="A55">
        <v>54</v>
      </c>
      <c r="B55" s="1" t="s">
        <v>235</v>
      </c>
      <c r="C55" s="2" t="s">
        <v>274</v>
      </c>
      <c r="D55" t="s">
        <v>84</v>
      </c>
      <c r="E55" t="s">
        <v>391</v>
      </c>
      <c r="G55" t="s">
        <v>192</v>
      </c>
      <c r="H55" t="s">
        <v>192</v>
      </c>
      <c r="I55" t="s">
        <v>192</v>
      </c>
      <c r="J55" t="s">
        <v>192</v>
      </c>
      <c r="K55" t="s">
        <v>192</v>
      </c>
      <c r="L55" t="s">
        <v>1190</v>
      </c>
      <c r="M55" t="s">
        <v>192</v>
      </c>
      <c r="N55" t="s">
        <v>192</v>
      </c>
      <c r="O55" s="24" t="s">
        <v>192</v>
      </c>
      <c r="P55" s="24" t="s">
        <v>201</v>
      </c>
      <c r="Q55" t="s">
        <v>192</v>
      </c>
      <c r="R55" t="s">
        <v>192</v>
      </c>
      <c r="S55" t="s">
        <v>192</v>
      </c>
      <c r="T55" t="s">
        <v>192</v>
      </c>
    </row>
    <row r="56" spans="1:20" ht="19">
      <c r="A56">
        <v>55</v>
      </c>
      <c r="B56" s="1" t="s">
        <v>236</v>
      </c>
      <c r="C56" s="2" t="s">
        <v>269</v>
      </c>
      <c r="D56" t="s">
        <v>84</v>
      </c>
      <c r="E56" t="s">
        <v>391</v>
      </c>
      <c r="G56" t="s">
        <v>192</v>
      </c>
      <c r="H56" t="s">
        <v>192</v>
      </c>
      <c r="I56" t="s">
        <v>192</v>
      </c>
      <c r="J56" t="s">
        <v>192</v>
      </c>
      <c r="K56" t="s">
        <v>192</v>
      </c>
      <c r="L56" t="s">
        <v>1190</v>
      </c>
      <c r="M56" t="s">
        <v>192</v>
      </c>
      <c r="N56" t="s">
        <v>192</v>
      </c>
      <c r="O56" s="24" t="s">
        <v>192</v>
      </c>
      <c r="P56" s="24" t="s">
        <v>201</v>
      </c>
      <c r="Q56" t="s">
        <v>192</v>
      </c>
      <c r="R56" t="s">
        <v>192</v>
      </c>
      <c r="S56" t="s">
        <v>192</v>
      </c>
      <c r="T56" t="s">
        <v>192</v>
      </c>
    </row>
    <row r="57" spans="1:20" ht="19">
      <c r="A57">
        <v>56</v>
      </c>
      <c r="B57" s="1" t="s">
        <v>237</v>
      </c>
      <c r="C57" s="2" t="s">
        <v>269</v>
      </c>
      <c r="D57" t="s">
        <v>84</v>
      </c>
      <c r="E57" t="s">
        <v>391</v>
      </c>
      <c r="G57" t="s">
        <v>192</v>
      </c>
      <c r="H57" t="s">
        <v>192</v>
      </c>
      <c r="I57" t="s">
        <v>192</v>
      </c>
      <c r="J57" t="s">
        <v>192</v>
      </c>
      <c r="K57" t="s">
        <v>192</v>
      </c>
      <c r="L57" t="s">
        <v>1190</v>
      </c>
      <c r="M57" t="s">
        <v>192</v>
      </c>
      <c r="N57" t="s">
        <v>201</v>
      </c>
      <c r="O57" s="24" t="s">
        <v>192</v>
      </c>
      <c r="P57" s="24" t="s">
        <v>192</v>
      </c>
      <c r="Q57" t="s">
        <v>192</v>
      </c>
      <c r="R57" t="s">
        <v>192</v>
      </c>
      <c r="S57" t="s">
        <v>192</v>
      </c>
      <c r="T57" t="s">
        <v>192</v>
      </c>
    </row>
    <row r="58" spans="1:20" ht="19">
      <c r="A58">
        <v>57</v>
      </c>
      <c r="B58" s="1" t="s">
        <v>238</v>
      </c>
      <c r="C58" s="2" t="s">
        <v>269</v>
      </c>
      <c r="D58" t="s">
        <v>84</v>
      </c>
      <c r="E58" t="s">
        <v>391</v>
      </c>
      <c r="F58">
        <v>1</v>
      </c>
      <c r="G58" t="s">
        <v>192</v>
      </c>
      <c r="H58" t="s">
        <v>192</v>
      </c>
      <c r="I58" t="s">
        <v>201</v>
      </c>
      <c r="J58" t="s">
        <v>201</v>
      </c>
      <c r="K58" t="s">
        <v>201</v>
      </c>
      <c r="L58" s="2" t="s">
        <v>1190</v>
      </c>
      <c r="M58" s="17" t="s">
        <v>192</v>
      </c>
      <c r="N58" s="17" t="s">
        <v>201</v>
      </c>
      <c r="O58" t="s">
        <v>201</v>
      </c>
      <c r="P58" t="s">
        <v>192</v>
      </c>
      <c r="Q58" t="s">
        <v>192</v>
      </c>
      <c r="R58" t="s">
        <v>201</v>
      </c>
      <c r="S58" t="s">
        <v>192</v>
      </c>
      <c r="T58" t="s">
        <v>192</v>
      </c>
    </row>
    <row r="59" spans="1:20" ht="19">
      <c r="A59">
        <v>58</v>
      </c>
      <c r="B59" s="1" t="s">
        <v>28</v>
      </c>
      <c r="C59" s="2" t="s">
        <v>271</v>
      </c>
      <c r="D59" t="s">
        <v>84</v>
      </c>
      <c r="E59" t="s">
        <v>391</v>
      </c>
      <c r="F59">
        <v>1</v>
      </c>
      <c r="G59" t="s">
        <v>192</v>
      </c>
      <c r="H59" t="s">
        <v>201</v>
      </c>
      <c r="I59" t="s">
        <v>201</v>
      </c>
      <c r="J59" t="s">
        <v>201</v>
      </c>
      <c r="K59" t="s">
        <v>201</v>
      </c>
      <c r="L59" s="19" t="s">
        <v>1190</v>
      </c>
      <c r="M59" s="17" t="s">
        <v>201</v>
      </c>
      <c r="N59" s="17" t="s">
        <v>201</v>
      </c>
      <c r="O59" s="23" t="s">
        <v>201</v>
      </c>
      <c r="P59" s="23" t="s">
        <v>192</v>
      </c>
      <c r="Q59" t="s">
        <v>192</v>
      </c>
      <c r="R59" t="s">
        <v>201</v>
      </c>
      <c r="S59" t="s">
        <v>201</v>
      </c>
      <c r="T59" t="s">
        <v>201</v>
      </c>
    </row>
    <row r="60" spans="1:20" ht="19">
      <c r="A60">
        <v>59</v>
      </c>
      <c r="B60" s="1" t="s">
        <v>29</v>
      </c>
      <c r="C60" s="2" t="s">
        <v>271</v>
      </c>
      <c r="D60" t="s">
        <v>85</v>
      </c>
      <c r="E60" t="s">
        <v>391</v>
      </c>
      <c r="F60">
        <v>1</v>
      </c>
      <c r="G60" t="s">
        <v>192</v>
      </c>
      <c r="H60" t="s">
        <v>201</v>
      </c>
      <c r="I60" t="s">
        <v>201</v>
      </c>
      <c r="J60" t="s">
        <v>201</v>
      </c>
      <c r="K60" t="s">
        <v>201</v>
      </c>
      <c r="L60" t="s">
        <v>1191</v>
      </c>
      <c r="M60" t="s">
        <v>192</v>
      </c>
      <c r="N60" t="s">
        <v>201</v>
      </c>
      <c r="O60" t="s">
        <v>201</v>
      </c>
      <c r="P60" t="s">
        <v>192</v>
      </c>
      <c r="Q60" t="s">
        <v>201</v>
      </c>
      <c r="R60" t="s">
        <v>192</v>
      </c>
      <c r="S60" t="s">
        <v>192</v>
      </c>
      <c r="T60" t="s">
        <v>192</v>
      </c>
    </row>
    <row r="61" spans="1:20" ht="19">
      <c r="A61">
        <v>60</v>
      </c>
      <c r="B61" s="1" t="s">
        <v>239</v>
      </c>
      <c r="C61" s="2" t="s">
        <v>269</v>
      </c>
      <c r="D61" t="s">
        <v>84</v>
      </c>
      <c r="E61" t="s">
        <v>391</v>
      </c>
      <c r="G61" t="s">
        <v>192</v>
      </c>
      <c r="H61" t="s">
        <v>192</v>
      </c>
      <c r="I61" t="s">
        <v>192</v>
      </c>
      <c r="J61" t="s">
        <v>192</v>
      </c>
      <c r="K61" t="s">
        <v>192</v>
      </c>
      <c r="L61" t="s">
        <v>1190</v>
      </c>
      <c r="M61" t="s">
        <v>192</v>
      </c>
      <c r="N61" t="s">
        <v>192</v>
      </c>
      <c r="O61" s="24" t="s">
        <v>192</v>
      </c>
      <c r="P61" s="24" t="s">
        <v>192</v>
      </c>
      <c r="Q61" t="s">
        <v>192</v>
      </c>
      <c r="R61" t="s">
        <v>192</v>
      </c>
      <c r="S61" t="s">
        <v>192</v>
      </c>
      <c r="T61" t="s">
        <v>192</v>
      </c>
    </row>
    <row r="62" spans="1:20" ht="19">
      <c r="A62">
        <v>61</v>
      </c>
      <c r="B62" s="1" t="s">
        <v>30</v>
      </c>
      <c r="C62" s="2" t="s">
        <v>271</v>
      </c>
      <c r="D62" t="s">
        <v>84</v>
      </c>
      <c r="E62" t="s">
        <v>391</v>
      </c>
      <c r="F62">
        <v>1</v>
      </c>
      <c r="G62" t="s">
        <v>192</v>
      </c>
      <c r="H62" t="s">
        <v>201</v>
      </c>
      <c r="I62" t="s">
        <v>201</v>
      </c>
      <c r="J62" t="s">
        <v>201</v>
      </c>
      <c r="K62" t="s">
        <v>201</v>
      </c>
      <c r="L62" t="s">
        <v>1191</v>
      </c>
      <c r="M62" t="s">
        <v>201</v>
      </c>
      <c r="N62" s="17" t="s">
        <v>201</v>
      </c>
      <c r="O62" s="23" t="s">
        <v>201</v>
      </c>
      <c r="P62" s="23" t="s">
        <v>201</v>
      </c>
      <c r="Q62" t="s">
        <v>201</v>
      </c>
      <c r="R62" t="s">
        <v>201</v>
      </c>
      <c r="S62" t="s">
        <v>201</v>
      </c>
      <c r="T62" t="s">
        <v>201</v>
      </c>
    </row>
    <row r="63" spans="1:20" ht="19">
      <c r="A63">
        <v>62</v>
      </c>
      <c r="B63" s="1" t="s">
        <v>240</v>
      </c>
      <c r="C63" s="2" t="s">
        <v>269</v>
      </c>
      <c r="D63" t="s">
        <v>84</v>
      </c>
      <c r="E63" t="s">
        <v>391</v>
      </c>
      <c r="G63" t="s">
        <v>192</v>
      </c>
      <c r="H63" t="s">
        <v>192</v>
      </c>
      <c r="I63" t="s">
        <v>192</v>
      </c>
      <c r="J63" t="s">
        <v>192</v>
      </c>
      <c r="K63" t="s">
        <v>192</v>
      </c>
      <c r="L63" t="s">
        <v>1190</v>
      </c>
      <c r="M63" t="s">
        <v>192</v>
      </c>
      <c r="N63" t="s">
        <v>201</v>
      </c>
      <c r="O63" s="24" t="s">
        <v>192</v>
      </c>
      <c r="P63" s="24" t="s">
        <v>192</v>
      </c>
      <c r="Q63" t="s">
        <v>192</v>
      </c>
      <c r="R63" t="s">
        <v>192</v>
      </c>
      <c r="S63" t="s">
        <v>192</v>
      </c>
      <c r="T63" t="s">
        <v>192</v>
      </c>
    </row>
    <row r="64" spans="1:20" ht="19">
      <c r="A64">
        <v>63</v>
      </c>
      <c r="B64" s="1" t="s">
        <v>31</v>
      </c>
      <c r="C64" s="2" t="s">
        <v>271</v>
      </c>
      <c r="D64" t="s">
        <v>85</v>
      </c>
      <c r="E64" t="s">
        <v>391</v>
      </c>
      <c r="F64">
        <v>1</v>
      </c>
      <c r="G64" t="s">
        <v>192</v>
      </c>
      <c r="H64" t="s">
        <v>201</v>
      </c>
      <c r="I64" t="s">
        <v>201</v>
      </c>
      <c r="J64" t="s">
        <v>201</v>
      </c>
      <c r="K64" t="s">
        <v>201</v>
      </c>
      <c r="L64" t="s">
        <v>1191</v>
      </c>
      <c r="M64" t="s">
        <v>201</v>
      </c>
      <c r="N64" s="17" t="s">
        <v>201</v>
      </c>
      <c r="O64" s="23" t="s">
        <v>201</v>
      </c>
      <c r="P64" s="23" t="s">
        <v>192</v>
      </c>
      <c r="Q64" t="s">
        <v>201</v>
      </c>
      <c r="R64" t="s">
        <v>201</v>
      </c>
      <c r="S64" t="s">
        <v>201</v>
      </c>
      <c r="T64" t="s">
        <v>201</v>
      </c>
    </row>
    <row r="65" spans="1:20" ht="19">
      <c r="A65">
        <v>64</v>
      </c>
      <c r="B65" s="1" t="s">
        <v>241</v>
      </c>
      <c r="C65" s="2" t="s">
        <v>269</v>
      </c>
      <c r="D65" t="s">
        <v>84</v>
      </c>
      <c r="E65" t="s">
        <v>391</v>
      </c>
      <c r="G65" t="s">
        <v>192</v>
      </c>
      <c r="H65" t="s">
        <v>192</v>
      </c>
      <c r="I65" t="s">
        <v>201</v>
      </c>
      <c r="J65" t="s">
        <v>192</v>
      </c>
      <c r="K65" t="s">
        <v>192</v>
      </c>
      <c r="L65" t="s">
        <v>1190</v>
      </c>
      <c r="M65" t="s">
        <v>192</v>
      </c>
      <c r="N65" t="s">
        <v>192</v>
      </c>
      <c r="O65" s="24" t="s">
        <v>192</v>
      </c>
      <c r="P65" s="24" t="s">
        <v>192</v>
      </c>
      <c r="Q65" t="s">
        <v>192</v>
      </c>
      <c r="R65" t="s">
        <v>192</v>
      </c>
      <c r="S65" t="s">
        <v>192</v>
      </c>
      <c r="T65" t="s">
        <v>192</v>
      </c>
    </row>
    <row r="66" spans="1:20" ht="19">
      <c r="A66">
        <v>65</v>
      </c>
      <c r="B66" s="1" t="s">
        <v>32</v>
      </c>
      <c r="C66" s="2" t="s">
        <v>271</v>
      </c>
      <c r="D66" t="s">
        <v>84</v>
      </c>
      <c r="E66" t="s">
        <v>391</v>
      </c>
      <c r="G66" t="s">
        <v>192</v>
      </c>
      <c r="H66" t="s">
        <v>192</v>
      </c>
      <c r="I66" t="s">
        <v>201</v>
      </c>
      <c r="J66" t="s">
        <v>192</v>
      </c>
      <c r="K66" t="s">
        <v>192</v>
      </c>
      <c r="L66" t="s">
        <v>1190</v>
      </c>
      <c r="M66" t="s">
        <v>192</v>
      </c>
      <c r="N66" t="s">
        <v>201</v>
      </c>
      <c r="O66" t="s">
        <v>192</v>
      </c>
      <c r="P66" t="s">
        <v>192</v>
      </c>
      <c r="Q66" t="s">
        <v>192</v>
      </c>
      <c r="R66" t="s">
        <v>192</v>
      </c>
      <c r="S66" t="s">
        <v>192</v>
      </c>
      <c r="T66" t="s">
        <v>192</v>
      </c>
    </row>
    <row r="67" spans="1:20" ht="19">
      <c r="A67">
        <v>66</v>
      </c>
      <c r="B67" s="1" t="s">
        <v>33</v>
      </c>
      <c r="C67" s="2" t="s">
        <v>271</v>
      </c>
      <c r="D67" t="s">
        <v>85</v>
      </c>
      <c r="E67" t="s">
        <v>391</v>
      </c>
      <c r="F67">
        <v>1</v>
      </c>
      <c r="G67" t="s">
        <v>192</v>
      </c>
      <c r="H67" t="s">
        <v>201</v>
      </c>
      <c r="I67" t="s">
        <v>201</v>
      </c>
      <c r="J67" t="s">
        <v>201</v>
      </c>
      <c r="K67" t="s">
        <v>192</v>
      </c>
      <c r="L67" t="s">
        <v>1191</v>
      </c>
      <c r="M67" t="s">
        <v>201</v>
      </c>
      <c r="N67" t="s">
        <v>201</v>
      </c>
      <c r="O67" s="23" t="s">
        <v>201</v>
      </c>
      <c r="P67" s="23" t="s">
        <v>192</v>
      </c>
      <c r="Q67" t="s">
        <v>192</v>
      </c>
      <c r="R67" t="s">
        <v>192</v>
      </c>
      <c r="S67" t="s">
        <v>192</v>
      </c>
      <c r="T67" t="s">
        <v>192</v>
      </c>
    </row>
    <row r="68" spans="1:20" ht="19">
      <c r="A68">
        <v>67</v>
      </c>
      <c r="B68" s="1" t="s">
        <v>34</v>
      </c>
      <c r="C68" s="2" t="s">
        <v>271</v>
      </c>
      <c r="D68" t="s">
        <v>87</v>
      </c>
      <c r="E68" t="s">
        <v>391</v>
      </c>
      <c r="F68">
        <v>1</v>
      </c>
      <c r="G68" t="s">
        <v>192</v>
      </c>
      <c r="H68" t="s">
        <v>201</v>
      </c>
      <c r="I68" t="s">
        <v>201</v>
      </c>
      <c r="J68" t="s">
        <v>201</v>
      </c>
      <c r="K68" t="s">
        <v>201</v>
      </c>
      <c r="L68" t="s">
        <v>1191</v>
      </c>
      <c r="M68" t="s">
        <v>201</v>
      </c>
      <c r="N68" t="s">
        <v>201</v>
      </c>
      <c r="O68" s="23" t="s">
        <v>201</v>
      </c>
      <c r="P68" s="23" t="s">
        <v>192</v>
      </c>
      <c r="Q68" t="s">
        <v>192</v>
      </c>
      <c r="R68" t="s">
        <v>192</v>
      </c>
      <c r="S68" t="s">
        <v>201</v>
      </c>
      <c r="T68" t="s">
        <v>201</v>
      </c>
    </row>
    <row r="69" spans="1:20" ht="19">
      <c r="A69">
        <v>68</v>
      </c>
      <c r="B69" s="1" t="s">
        <v>35</v>
      </c>
      <c r="C69" s="2" t="s">
        <v>271</v>
      </c>
      <c r="D69" t="s">
        <v>85</v>
      </c>
      <c r="E69" t="s">
        <v>391</v>
      </c>
      <c r="G69" t="s">
        <v>192</v>
      </c>
      <c r="H69" t="s">
        <v>192</v>
      </c>
      <c r="I69" t="s">
        <v>192</v>
      </c>
      <c r="J69" t="s">
        <v>192</v>
      </c>
      <c r="K69" t="s">
        <v>192</v>
      </c>
      <c r="L69" t="s">
        <v>192</v>
      </c>
      <c r="M69" t="s">
        <v>192</v>
      </c>
      <c r="N69" t="s">
        <v>192</v>
      </c>
      <c r="O69" t="s">
        <v>192</v>
      </c>
      <c r="P69" t="s">
        <v>192</v>
      </c>
      <c r="Q69" t="s">
        <v>192</v>
      </c>
      <c r="R69" t="s">
        <v>192</v>
      </c>
      <c r="S69" t="s">
        <v>192</v>
      </c>
      <c r="T69" t="s">
        <v>192</v>
      </c>
    </row>
    <row r="70" spans="1:20" ht="19">
      <c r="A70">
        <v>69</v>
      </c>
      <c r="B70" s="1" t="s">
        <v>36</v>
      </c>
      <c r="C70" s="2" t="s">
        <v>271</v>
      </c>
      <c r="D70" t="s">
        <v>85</v>
      </c>
      <c r="E70" t="s">
        <v>391</v>
      </c>
      <c r="G70" t="s">
        <v>192</v>
      </c>
      <c r="H70" t="s">
        <v>201</v>
      </c>
      <c r="I70" t="s">
        <v>192</v>
      </c>
      <c r="J70" t="s">
        <v>192</v>
      </c>
      <c r="K70" t="s">
        <v>192</v>
      </c>
      <c r="L70" t="s">
        <v>192</v>
      </c>
      <c r="M70" t="s">
        <v>192</v>
      </c>
      <c r="N70" t="s">
        <v>192</v>
      </c>
      <c r="O70" t="s">
        <v>192</v>
      </c>
      <c r="P70" t="s">
        <v>192</v>
      </c>
      <c r="Q70" t="s">
        <v>192</v>
      </c>
      <c r="R70" t="s">
        <v>192</v>
      </c>
      <c r="S70" t="s">
        <v>192</v>
      </c>
      <c r="T70" t="s">
        <v>192</v>
      </c>
    </row>
    <row r="71" spans="1:20" ht="19">
      <c r="A71">
        <v>70</v>
      </c>
      <c r="B71" s="1" t="s">
        <v>37</v>
      </c>
      <c r="C71" s="2" t="s">
        <v>271</v>
      </c>
      <c r="D71" t="s">
        <v>85</v>
      </c>
      <c r="E71" t="s">
        <v>391</v>
      </c>
      <c r="F71">
        <v>1</v>
      </c>
      <c r="G71" t="s">
        <v>192</v>
      </c>
      <c r="H71" t="s">
        <v>201</v>
      </c>
      <c r="I71" t="s">
        <v>201</v>
      </c>
      <c r="J71" t="s">
        <v>192</v>
      </c>
      <c r="K71" t="s">
        <v>201</v>
      </c>
      <c r="L71" t="s">
        <v>201</v>
      </c>
      <c r="M71" t="s">
        <v>192</v>
      </c>
      <c r="N71" t="s">
        <v>192</v>
      </c>
      <c r="O71" s="23" t="s">
        <v>192</v>
      </c>
      <c r="P71" s="23" t="s">
        <v>201</v>
      </c>
      <c r="Q71" t="s">
        <v>192</v>
      </c>
      <c r="R71" t="s">
        <v>192</v>
      </c>
      <c r="S71" t="s">
        <v>192</v>
      </c>
      <c r="T71" t="s">
        <v>192</v>
      </c>
    </row>
    <row r="72" spans="1:20" ht="19">
      <c r="A72">
        <v>71</v>
      </c>
      <c r="B72" s="1" t="s">
        <v>38</v>
      </c>
      <c r="C72" s="2" t="s">
        <v>271</v>
      </c>
      <c r="D72" t="s">
        <v>84</v>
      </c>
      <c r="E72" t="s">
        <v>391</v>
      </c>
      <c r="F72">
        <v>1</v>
      </c>
      <c r="G72" t="s">
        <v>192</v>
      </c>
      <c r="H72" t="s">
        <v>192</v>
      </c>
      <c r="I72" t="s">
        <v>201</v>
      </c>
      <c r="J72" t="s">
        <v>192</v>
      </c>
      <c r="K72" t="s">
        <v>201</v>
      </c>
      <c r="L72" t="s">
        <v>192</v>
      </c>
      <c r="M72" t="s">
        <v>192</v>
      </c>
      <c r="N72" s="17" t="s">
        <v>192</v>
      </c>
      <c r="O72" s="23" t="s">
        <v>192</v>
      </c>
      <c r="P72" s="23" t="s">
        <v>192</v>
      </c>
      <c r="Q72" t="s">
        <v>192</v>
      </c>
      <c r="R72" t="s">
        <v>192</v>
      </c>
      <c r="S72" t="s">
        <v>192</v>
      </c>
      <c r="T72" t="s">
        <v>192</v>
      </c>
    </row>
    <row r="73" spans="1:20" ht="19">
      <c r="A73">
        <v>72</v>
      </c>
      <c r="B73" s="1" t="s">
        <v>39</v>
      </c>
      <c r="C73" s="2" t="s">
        <v>271</v>
      </c>
      <c r="D73" t="s">
        <v>84</v>
      </c>
      <c r="E73" t="s">
        <v>391</v>
      </c>
      <c r="G73" t="s">
        <v>192</v>
      </c>
      <c r="H73" t="s">
        <v>192</v>
      </c>
      <c r="I73" t="s">
        <v>192</v>
      </c>
      <c r="J73" t="s">
        <v>192</v>
      </c>
      <c r="K73" t="s">
        <v>201</v>
      </c>
      <c r="L73" t="s">
        <v>192</v>
      </c>
      <c r="M73" t="s">
        <v>192</v>
      </c>
      <c r="N73" t="s">
        <v>192</v>
      </c>
      <c r="O73" t="s">
        <v>192</v>
      </c>
      <c r="P73" t="s">
        <v>201</v>
      </c>
      <c r="Q73" t="s">
        <v>192</v>
      </c>
      <c r="R73" t="s">
        <v>192</v>
      </c>
      <c r="S73" t="s">
        <v>192</v>
      </c>
      <c r="T73" t="s">
        <v>192</v>
      </c>
    </row>
    <row r="74" spans="1:20" ht="19">
      <c r="A74">
        <v>73</v>
      </c>
      <c r="B74" s="1" t="s">
        <v>242</v>
      </c>
      <c r="C74" s="2" t="s">
        <v>267</v>
      </c>
      <c r="D74" t="s">
        <v>84</v>
      </c>
      <c r="E74" t="s">
        <v>391</v>
      </c>
      <c r="G74" t="s">
        <v>192</v>
      </c>
      <c r="H74" t="s">
        <v>192</v>
      </c>
      <c r="I74" t="s">
        <v>192</v>
      </c>
      <c r="J74" t="s">
        <v>192</v>
      </c>
      <c r="K74" t="s">
        <v>192</v>
      </c>
      <c r="L74" t="s">
        <v>192</v>
      </c>
      <c r="M74" t="s">
        <v>192</v>
      </c>
      <c r="N74" t="s">
        <v>192</v>
      </c>
      <c r="O74" t="s">
        <v>192</v>
      </c>
      <c r="P74" t="s">
        <v>192</v>
      </c>
      <c r="Q74" t="s">
        <v>192</v>
      </c>
      <c r="R74" t="s">
        <v>192</v>
      </c>
      <c r="S74" t="s">
        <v>192</v>
      </c>
      <c r="T74" t="s">
        <v>192</v>
      </c>
    </row>
    <row r="75" spans="1:20" ht="19">
      <c r="A75">
        <v>74</v>
      </c>
      <c r="B75" s="1" t="s">
        <v>40</v>
      </c>
      <c r="C75" s="2" t="s">
        <v>271</v>
      </c>
      <c r="D75" t="s">
        <v>84</v>
      </c>
      <c r="E75" t="s">
        <v>391</v>
      </c>
      <c r="F75">
        <v>1</v>
      </c>
      <c r="G75" t="s">
        <v>192</v>
      </c>
      <c r="H75" t="s">
        <v>201</v>
      </c>
      <c r="I75" t="s">
        <v>201</v>
      </c>
      <c r="J75" t="s">
        <v>201</v>
      </c>
      <c r="K75" t="s">
        <v>201</v>
      </c>
      <c r="L75" t="s">
        <v>201</v>
      </c>
      <c r="M75" t="s">
        <v>192</v>
      </c>
      <c r="N75" t="s">
        <v>192</v>
      </c>
      <c r="O75" s="23" t="s">
        <v>192</v>
      </c>
      <c r="P75" s="23" t="s">
        <v>192</v>
      </c>
      <c r="Q75" t="s">
        <v>192</v>
      </c>
      <c r="R75" t="s">
        <v>201</v>
      </c>
      <c r="S75" t="s">
        <v>201</v>
      </c>
      <c r="T75" t="s">
        <v>192</v>
      </c>
    </row>
    <row r="76" spans="1:20" ht="19" hidden="1">
      <c r="A76">
        <v>75</v>
      </c>
      <c r="B76" s="1" t="s">
        <v>243</v>
      </c>
      <c r="C76" s="2" t="s">
        <v>269</v>
      </c>
      <c r="D76" t="s">
        <v>84</v>
      </c>
      <c r="E76" t="s">
        <v>391</v>
      </c>
      <c r="G76" t="s">
        <v>201</v>
      </c>
      <c r="H76" t="s">
        <v>192</v>
      </c>
      <c r="I76" t="s">
        <v>201</v>
      </c>
      <c r="J76" t="s">
        <v>192</v>
      </c>
      <c r="O76">
        <v>1</v>
      </c>
      <c r="P76" t="s">
        <v>1717</v>
      </c>
      <c r="Q76" t="s">
        <v>1717</v>
      </c>
      <c r="R76" t="s">
        <v>1717</v>
      </c>
      <c r="S76" t="s">
        <v>1717</v>
      </c>
      <c r="T76" t="s">
        <v>1717</v>
      </c>
    </row>
    <row r="77" spans="1:20" ht="19" hidden="1">
      <c r="A77">
        <v>76</v>
      </c>
      <c r="B77" s="1" t="s">
        <v>41</v>
      </c>
      <c r="C77" s="2" t="s">
        <v>271</v>
      </c>
      <c r="D77" t="s">
        <v>84</v>
      </c>
      <c r="E77" t="s">
        <v>391</v>
      </c>
      <c r="G77" t="s">
        <v>201</v>
      </c>
      <c r="H77" t="s">
        <v>192</v>
      </c>
      <c r="I77" t="s">
        <v>192</v>
      </c>
      <c r="J77" t="s">
        <v>192</v>
      </c>
      <c r="O77">
        <v>1</v>
      </c>
      <c r="P77" t="s">
        <v>1717</v>
      </c>
      <c r="Q77" t="s">
        <v>1717</v>
      </c>
      <c r="R77" t="s">
        <v>1717</v>
      </c>
      <c r="S77" t="s">
        <v>1717</v>
      </c>
      <c r="T77" t="s">
        <v>1717</v>
      </c>
    </row>
    <row r="78" spans="1:20" ht="19" hidden="1">
      <c r="A78">
        <v>77</v>
      </c>
      <c r="B78" s="1" t="s">
        <v>244</v>
      </c>
      <c r="C78" s="2" t="s">
        <v>274</v>
      </c>
      <c r="D78" t="s">
        <v>84</v>
      </c>
      <c r="E78" t="s">
        <v>391</v>
      </c>
      <c r="G78" t="s">
        <v>201</v>
      </c>
      <c r="H78" t="s">
        <v>192</v>
      </c>
      <c r="I78" t="s">
        <v>201</v>
      </c>
      <c r="J78" t="s">
        <v>192</v>
      </c>
      <c r="O78">
        <v>1</v>
      </c>
      <c r="P78" t="s">
        <v>1717</v>
      </c>
      <c r="Q78" t="s">
        <v>1717</v>
      </c>
      <c r="R78" t="s">
        <v>1717</v>
      </c>
      <c r="S78" t="s">
        <v>1717</v>
      </c>
      <c r="T78" t="s">
        <v>1717</v>
      </c>
    </row>
    <row r="79" spans="1:20" ht="19" hidden="1">
      <c r="A79">
        <v>78</v>
      </c>
      <c r="B79" s="1" t="s">
        <v>245</v>
      </c>
      <c r="C79" s="2" t="s">
        <v>269</v>
      </c>
      <c r="D79" t="s">
        <v>84</v>
      </c>
      <c r="E79" t="s">
        <v>391</v>
      </c>
      <c r="G79" t="s">
        <v>201</v>
      </c>
      <c r="H79" t="s">
        <v>192</v>
      </c>
      <c r="I79" t="s">
        <v>201</v>
      </c>
      <c r="J79" t="s">
        <v>192</v>
      </c>
      <c r="O79">
        <v>1</v>
      </c>
      <c r="P79" t="s">
        <v>1717</v>
      </c>
      <c r="Q79" t="s">
        <v>1717</v>
      </c>
      <c r="R79" t="s">
        <v>1717</v>
      </c>
      <c r="S79" t="s">
        <v>1717</v>
      </c>
      <c r="T79" t="s">
        <v>1717</v>
      </c>
    </row>
    <row r="80" spans="1:20" ht="19" hidden="1">
      <c r="A80">
        <v>79</v>
      </c>
      <c r="B80" s="1" t="s">
        <v>42</v>
      </c>
      <c r="C80" s="2" t="s">
        <v>271</v>
      </c>
      <c r="D80" t="s">
        <v>87</v>
      </c>
      <c r="E80" t="s">
        <v>391</v>
      </c>
      <c r="G80" t="s">
        <v>201</v>
      </c>
      <c r="H80" t="s">
        <v>201</v>
      </c>
      <c r="I80" t="s">
        <v>201</v>
      </c>
      <c r="J80" t="s">
        <v>192</v>
      </c>
      <c r="O80">
        <v>1</v>
      </c>
      <c r="P80" t="s">
        <v>1717</v>
      </c>
      <c r="Q80" t="s">
        <v>1717</v>
      </c>
      <c r="R80" t="s">
        <v>1717</v>
      </c>
      <c r="S80" t="s">
        <v>1717</v>
      </c>
      <c r="T80" t="s">
        <v>1717</v>
      </c>
    </row>
    <row r="81" spans="1:20" ht="19" hidden="1">
      <c r="A81">
        <v>80</v>
      </c>
      <c r="B81" s="1" t="s">
        <v>43</v>
      </c>
      <c r="C81" s="2" t="s">
        <v>271</v>
      </c>
      <c r="D81" t="s">
        <v>87</v>
      </c>
      <c r="E81" t="s">
        <v>391</v>
      </c>
      <c r="G81" t="s">
        <v>201</v>
      </c>
      <c r="H81" t="s">
        <v>201</v>
      </c>
      <c r="I81" t="s">
        <v>201</v>
      </c>
      <c r="J81" t="s">
        <v>201</v>
      </c>
      <c r="O81">
        <v>1</v>
      </c>
      <c r="P81" t="s">
        <v>1717</v>
      </c>
      <c r="Q81" t="s">
        <v>1717</v>
      </c>
      <c r="R81" t="s">
        <v>1717</v>
      </c>
      <c r="S81" t="s">
        <v>1717</v>
      </c>
      <c r="T81" t="s">
        <v>1717</v>
      </c>
    </row>
    <row r="82" spans="1:20" ht="19" hidden="1">
      <c r="A82">
        <v>81</v>
      </c>
      <c r="B82" s="1" t="s">
        <v>246</v>
      </c>
      <c r="C82" s="2" t="s">
        <v>273</v>
      </c>
      <c r="D82" t="s">
        <v>84</v>
      </c>
      <c r="E82" t="s">
        <v>391</v>
      </c>
      <c r="G82" t="s">
        <v>201</v>
      </c>
      <c r="H82" t="s">
        <v>192</v>
      </c>
      <c r="I82" t="s">
        <v>192</v>
      </c>
      <c r="J82" t="s">
        <v>192</v>
      </c>
      <c r="O82">
        <v>1</v>
      </c>
      <c r="P82" t="s">
        <v>1717</v>
      </c>
      <c r="Q82" t="s">
        <v>1717</v>
      </c>
      <c r="R82" t="s">
        <v>1717</v>
      </c>
      <c r="S82" t="s">
        <v>1717</v>
      </c>
      <c r="T82" t="s">
        <v>1717</v>
      </c>
    </row>
    <row r="83" spans="1:20" ht="19" hidden="1">
      <c r="A83">
        <v>82</v>
      </c>
      <c r="B83" s="1" t="s">
        <v>247</v>
      </c>
      <c r="C83" s="2" t="s">
        <v>269</v>
      </c>
      <c r="D83" t="s">
        <v>84</v>
      </c>
      <c r="E83" t="s">
        <v>391</v>
      </c>
      <c r="G83" t="s">
        <v>201</v>
      </c>
      <c r="H83" t="s">
        <v>192</v>
      </c>
      <c r="I83" t="s">
        <v>192</v>
      </c>
      <c r="J83" t="s">
        <v>192</v>
      </c>
      <c r="O83">
        <v>1</v>
      </c>
      <c r="P83" t="s">
        <v>1717</v>
      </c>
      <c r="Q83" t="s">
        <v>1717</v>
      </c>
      <c r="R83" t="s">
        <v>1717</v>
      </c>
      <c r="S83" t="s">
        <v>1717</v>
      </c>
      <c r="T83" t="s">
        <v>1717</v>
      </c>
    </row>
    <row r="84" spans="1:20" ht="19" hidden="1">
      <c r="A84">
        <v>83</v>
      </c>
      <c r="B84" s="1" t="s">
        <v>248</v>
      </c>
      <c r="C84" s="2" t="s">
        <v>269</v>
      </c>
      <c r="D84" t="s">
        <v>84</v>
      </c>
      <c r="E84" t="s">
        <v>391</v>
      </c>
      <c r="G84" t="s">
        <v>201</v>
      </c>
      <c r="H84" t="s">
        <v>192</v>
      </c>
      <c r="I84" t="s">
        <v>192</v>
      </c>
      <c r="J84" t="s">
        <v>192</v>
      </c>
      <c r="O84">
        <v>1</v>
      </c>
      <c r="P84" t="s">
        <v>1717</v>
      </c>
      <c r="Q84" t="s">
        <v>1717</v>
      </c>
      <c r="R84" t="s">
        <v>1717</v>
      </c>
      <c r="S84" t="s">
        <v>1717</v>
      </c>
      <c r="T84" t="s">
        <v>1717</v>
      </c>
    </row>
    <row r="85" spans="1:20" ht="19" hidden="1">
      <c r="A85">
        <v>84</v>
      </c>
      <c r="B85" s="1" t="s">
        <v>44</v>
      </c>
      <c r="C85" s="2" t="s">
        <v>271</v>
      </c>
      <c r="D85" t="s">
        <v>87</v>
      </c>
      <c r="E85" t="s">
        <v>391</v>
      </c>
      <c r="G85" t="s">
        <v>201</v>
      </c>
      <c r="H85" t="s">
        <v>201</v>
      </c>
      <c r="I85" t="s">
        <v>201</v>
      </c>
      <c r="J85" t="s">
        <v>201</v>
      </c>
      <c r="O85">
        <v>1</v>
      </c>
      <c r="P85" t="s">
        <v>1717</v>
      </c>
      <c r="Q85" t="s">
        <v>1717</v>
      </c>
      <c r="R85" t="s">
        <v>1717</v>
      </c>
      <c r="S85" t="s">
        <v>1717</v>
      </c>
      <c r="T85" t="s">
        <v>1717</v>
      </c>
    </row>
    <row r="86" spans="1:20" ht="19" hidden="1">
      <c r="A86">
        <v>85</v>
      </c>
      <c r="B86" s="1" t="s">
        <v>249</v>
      </c>
      <c r="C86" s="2" t="s">
        <v>274</v>
      </c>
      <c r="D86" t="s">
        <v>84</v>
      </c>
      <c r="E86" t="s">
        <v>391</v>
      </c>
      <c r="G86" t="s">
        <v>201</v>
      </c>
      <c r="H86" t="s">
        <v>192</v>
      </c>
      <c r="I86" t="s">
        <v>201</v>
      </c>
      <c r="J86" t="s">
        <v>192</v>
      </c>
      <c r="O86">
        <v>1</v>
      </c>
      <c r="P86" t="s">
        <v>1717</v>
      </c>
      <c r="Q86" t="s">
        <v>1717</v>
      </c>
      <c r="R86" t="s">
        <v>1717</v>
      </c>
      <c r="S86" t="s">
        <v>1717</v>
      </c>
      <c r="T86" t="s">
        <v>1717</v>
      </c>
    </row>
    <row r="87" spans="1:20" ht="19" hidden="1">
      <c r="A87">
        <v>86</v>
      </c>
      <c r="B87" s="1" t="s">
        <v>45</v>
      </c>
      <c r="C87" s="2" t="s">
        <v>271</v>
      </c>
      <c r="D87" t="s">
        <v>84</v>
      </c>
      <c r="E87" t="s">
        <v>391</v>
      </c>
      <c r="G87" t="s">
        <v>201</v>
      </c>
      <c r="H87" t="s">
        <v>192</v>
      </c>
      <c r="I87" t="s">
        <v>192</v>
      </c>
      <c r="J87" t="s">
        <v>192</v>
      </c>
      <c r="O87">
        <v>1</v>
      </c>
      <c r="P87" t="s">
        <v>1717</v>
      </c>
      <c r="Q87" t="s">
        <v>1717</v>
      </c>
      <c r="R87" t="s">
        <v>1717</v>
      </c>
      <c r="S87" t="s">
        <v>1717</v>
      </c>
      <c r="T87" t="s">
        <v>1717</v>
      </c>
    </row>
    <row r="88" spans="1:20" ht="19" hidden="1">
      <c r="A88">
        <v>87</v>
      </c>
      <c r="B88" s="1" t="s">
        <v>250</v>
      </c>
      <c r="C88" s="2" t="s">
        <v>268</v>
      </c>
      <c r="D88" t="s">
        <v>84</v>
      </c>
      <c r="E88" t="s">
        <v>391</v>
      </c>
      <c r="G88" t="s">
        <v>201</v>
      </c>
      <c r="H88" t="s">
        <v>192</v>
      </c>
      <c r="I88" t="s">
        <v>192</v>
      </c>
      <c r="J88" t="s">
        <v>192</v>
      </c>
      <c r="O88">
        <v>1</v>
      </c>
      <c r="P88" t="s">
        <v>1717</v>
      </c>
      <c r="Q88" t="s">
        <v>1717</v>
      </c>
      <c r="R88" t="s">
        <v>1717</v>
      </c>
      <c r="S88" t="s">
        <v>1717</v>
      </c>
      <c r="T88" t="s">
        <v>1717</v>
      </c>
    </row>
    <row r="89" spans="1:20" ht="19" hidden="1">
      <c r="A89">
        <v>88</v>
      </c>
      <c r="B89" s="1" t="s">
        <v>46</v>
      </c>
      <c r="C89" s="2" t="s">
        <v>271</v>
      </c>
      <c r="D89" t="s">
        <v>84</v>
      </c>
      <c r="E89" t="s">
        <v>391</v>
      </c>
      <c r="G89" t="s">
        <v>201</v>
      </c>
      <c r="H89" t="s">
        <v>192</v>
      </c>
      <c r="I89" t="s">
        <v>192</v>
      </c>
      <c r="J89" t="s">
        <v>192</v>
      </c>
      <c r="O89">
        <v>1</v>
      </c>
      <c r="P89" t="s">
        <v>1717</v>
      </c>
      <c r="Q89" t="s">
        <v>1717</v>
      </c>
      <c r="R89" t="s">
        <v>1717</v>
      </c>
      <c r="S89" t="s">
        <v>1717</v>
      </c>
      <c r="T89" t="s">
        <v>1717</v>
      </c>
    </row>
    <row r="90" spans="1:20" ht="19" hidden="1">
      <c r="A90">
        <v>89</v>
      </c>
      <c r="B90" s="1" t="s">
        <v>47</v>
      </c>
      <c r="C90" s="2" t="s">
        <v>271</v>
      </c>
      <c r="D90" t="s">
        <v>84</v>
      </c>
      <c r="E90" t="s">
        <v>391</v>
      </c>
      <c r="G90" t="s">
        <v>201</v>
      </c>
      <c r="H90" t="s">
        <v>192</v>
      </c>
      <c r="I90" t="s">
        <v>192</v>
      </c>
      <c r="J90" t="s">
        <v>192</v>
      </c>
      <c r="O90">
        <v>11</v>
      </c>
      <c r="P90" t="s">
        <v>1717</v>
      </c>
      <c r="Q90" t="s">
        <v>1717</v>
      </c>
      <c r="R90" t="s">
        <v>1717</v>
      </c>
      <c r="S90" t="s">
        <v>1717</v>
      </c>
      <c r="T90" t="s">
        <v>1717</v>
      </c>
    </row>
    <row r="91" spans="1:20" ht="19" hidden="1">
      <c r="A91">
        <v>90</v>
      </c>
      <c r="B91" s="1" t="s">
        <v>48</v>
      </c>
      <c r="C91" s="2" t="s">
        <v>271</v>
      </c>
      <c r="D91" t="s">
        <v>84</v>
      </c>
      <c r="E91" t="s">
        <v>391</v>
      </c>
      <c r="G91" t="s">
        <v>201</v>
      </c>
      <c r="H91" t="s">
        <v>192</v>
      </c>
      <c r="I91" t="s">
        <v>192</v>
      </c>
      <c r="J91" t="s">
        <v>192</v>
      </c>
      <c r="O91">
        <v>1</v>
      </c>
      <c r="P91" t="s">
        <v>1717</v>
      </c>
      <c r="Q91" t="s">
        <v>1717</v>
      </c>
      <c r="R91" t="s">
        <v>1717</v>
      </c>
      <c r="S91" t="s">
        <v>1717</v>
      </c>
      <c r="T91" t="s">
        <v>1717</v>
      </c>
    </row>
    <row r="92" spans="1:20" ht="19" hidden="1">
      <c r="A92">
        <v>91</v>
      </c>
      <c r="B92" s="1" t="s">
        <v>49</v>
      </c>
      <c r="C92" s="2" t="s">
        <v>271</v>
      </c>
      <c r="D92" t="s">
        <v>84</v>
      </c>
      <c r="E92" t="s">
        <v>391</v>
      </c>
      <c r="G92" t="s">
        <v>201</v>
      </c>
      <c r="H92" t="s">
        <v>192</v>
      </c>
      <c r="I92" t="s">
        <v>192</v>
      </c>
      <c r="J92" t="s">
        <v>192</v>
      </c>
      <c r="O92">
        <v>1</v>
      </c>
      <c r="P92" t="s">
        <v>1717</v>
      </c>
      <c r="Q92" t="s">
        <v>1717</v>
      </c>
      <c r="R92" t="s">
        <v>1717</v>
      </c>
      <c r="S92" t="s">
        <v>1717</v>
      </c>
      <c r="T92" t="s">
        <v>1717</v>
      </c>
    </row>
    <row r="93" spans="1:20" ht="19" hidden="1">
      <c r="A93">
        <v>92</v>
      </c>
      <c r="B93" s="1" t="s">
        <v>50</v>
      </c>
      <c r="C93" s="2" t="s">
        <v>271</v>
      </c>
      <c r="D93" t="s">
        <v>84</v>
      </c>
      <c r="E93" t="s">
        <v>391</v>
      </c>
      <c r="G93" t="s">
        <v>201</v>
      </c>
      <c r="H93" t="s">
        <v>192</v>
      </c>
      <c r="I93" t="s">
        <v>192</v>
      </c>
      <c r="J93" t="s">
        <v>192</v>
      </c>
      <c r="O93">
        <v>1</v>
      </c>
      <c r="P93" t="s">
        <v>1717</v>
      </c>
      <c r="Q93" t="s">
        <v>1717</v>
      </c>
      <c r="R93" t="s">
        <v>1717</v>
      </c>
      <c r="S93" t="s">
        <v>1717</v>
      </c>
      <c r="T93" t="s">
        <v>1717</v>
      </c>
    </row>
    <row r="94" spans="1:20" ht="19" hidden="1">
      <c r="A94">
        <v>93</v>
      </c>
      <c r="B94" s="1" t="s">
        <v>51</v>
      </c>
      <c r="C94" s="2" t="s">
        <v>271</v>
      </c>
      <c r="D94" t="s">
        <v>84</v>
      </c>
      <c r="E94" t="s">
        <v>391</v>
      </c>
      <c r="G94" t="s">
        <v>201</v>
      </c>
      <c r="H94" t="s">
        <v>192</v>
      </c>
      <c r="I94" t="s">
        <v>192</v>
      </c>
      <c r="J94" t="s">
        <v>192</v>
      </c>
      <c r="O94">
        <v>1</v>
      </c>
      <c r="P94" t="s">
        <v>1717</v>
      </c>
      <c r="Q94" t="s">
        <v>1717</v>
      </c>
      <c r="R94" t="s">
        <v>1717</v>
      </c>
      <c r="S94" t="s">
        <v>1717</v>
      </c>
      <c r="T94" t="s">
        <v>1717</v>
      </c>
    </row>
    <row r="95" spans="1:20" ht="19" hidden="1">
      <c r="A95">
        <v>94</v>
      </c>
      <c r="B95" s="1" t="s">
        <v>52</v>
      </c>
      <c r="C95" s="2" t="s">
        <v>271</v>
      </c>
      <c r="D95" t="s">
        <v>84</v>
      </c>
      <c r="E95" t="s">
        <v>391</v>
      </c>
      <c r="G95" t="s">
        <v>201</v>
      </c>
      <c r="H95" t="s">
        <v>192</v>
      </c>
      <c r="I95" t="s">
        <v>192</v>
      </c>
      <c r="J95" t="s">
        <v>192</v>
      </c>
      <c r="O95">
        <v>1</v>
      </c>
      <c r="P95" t="s">
        <v>1717</v>
      </c>
      <c r="Q95" t="s">
        <v>1717</v>
      </c>
      <c r="R95" t="s">
        <v>1717</v>
      </c>
      <c r="S95" t="s">
        <v>1717</v>
      </c>
      <c r="T95" t="s">
        <v>1717</v>
      </c>
    </row>
    <row r="96" spans="1:20" ht="19" hidden="1">
      <c r="A96">
        <v>95</v>
      </c>
      <c r="B96" s="1" t="s">
        <v>53</v>
      </c>
      <c r="C96" s="2" t="s">
        <v>271</v>
      </c>
      <c r="D96" t="s">
        <v>84</v>
      </c>
      <c r="E96" t="s">
        <v>391</v>
      </c>
      <c r="G96" t="s">
        <v>201</v>
      </c>
      <c r="H96" t="s">
        <v>192</v>
      </c>
      <c r="I96" t="s">
        <v>192</v>
      </c>
      <c r="J96" t="s">
        <v>192</v>
      </c>
      <c r="O96">
        <v>1</v>
      </c>
      <c r="P96" t="s">
        <v>1717</v>
      </c>
      <c r="Q96" t="s">
        <v>1717</v>
      </c>
      <c r="R96" t="s">
        <v>1717</v>
      </c>
      <c r="S96" t="s">
        <v>1717</v>
      </c>
      <c r="T96" t="s">
        <v>1717</v>
      </c>
    </row>
    <row r="97" spans="1:20" ht="19">
      <c r="A97">
        <v>96</v>
      </c>
      <c r="B97" s="1" t="s">
        <v>251</v>
      </c>
      <c r="C97" s="2" t="s">
        <v>267</v>
      </c>
      <c r="D97" t="s">
        <v>84</v>
      </c>
      <c r="E97" t="s">
        <v>391</v>
      </c>
      <c r="G97" t="s">
        <v>192</v>
      </c>
      <c r="H97" t="s">
        <v>192</v>
      </c>
      <c r="I97" t="s">
        <v>192</v>
      </c>
      <c r="J97" t="s">
        <v>192</v>
      </c>
      <c r="K97" t="s">
        <v>192</v>
      </c>
      <c r="L97" t="s">
        <v>192</v>
      </c>
      <c r="M97" t="s">
        <v>192</v>
      </c>
      <c r="N97" t="s">
        <v>192</v>
      </c>
      <c r="O97" t="s">
        <v>192</v>
      </c>
      <c r="P97" t="s">
        <v>192</v>
      </c>
      <c r="Q97" t="s">
        <v>192</v>
      </c>
      <c r="R97" t="s">
        <v>192</v>
      </c>
      <c r="S97" t="s">
        <v>192</v>
      </c>
      <c r="T97" t="s">
        <v>192</v>
      </c>
    </row>
    <row r="98" spans="1:20" ht="19">
      <c r="A98">
        <v>97</v>
      </c>
      <c r="B98" s="1" t="s">
        <v>54</v>
      </c>
      <c r="C98" s="2" t="s">
        <v>271</v>
      </c>
      <c r="D98" t="s">
        <v>84</v>
      </c>
      <c r="E98" t="s">
        <v>391</v>
      </c>
      <c r="G98" t="s">
        <v>192</v>
      </c>
      <c r="H98" t="s">
        <v>192</v>
      </c>
      <c r="I98" t="s">
        <v>192</v>
      </c>
      <c r="J98" t="s">
        <v>192</v>
      </c>
      <c r="K98" t="s">
        <v>192</v>
      </c>
      <c r="L98" t="s">
        <v>192</v>
      </c>
      <c r="M98" t="s">
        <v>192</v>
      </c>
      <c r="N98" t="s">
        <v>192</v>
      </c>
      <c r="O98" t="s">
        <v>192</v>
      </c>
      <c r="P98" t="s">
        <v>192</v>
      </c>
      <c r="Q98" t="s">
        <v>192</v>
      </c>
      <c r="R98" t="s">
        <v>192</v>
      </c>
      <c r="S98" t="s">
        <v>192</v>
      </c>
      <c r="T98" t="s">
        <v>192</v>
      </c>
    </row>
    <row r="99" spans="1:20" ht="19">
      <c r="A99">
        <v>98</v>
      </c>
      <c r="B99" s="1" t="s">
        <v>55</v>
      </c>
      <c r="C99" s="2" t="s">
        <v>271</v>
      </c>
      <c r="D99" t="s">
        <v>84</v>
      </c>
      <c r="E99" t="s">
        <v>391</v>
      </c>
      <c r="F99">
        <v>1</v>
      </c>
      <c r="G99" t="s">
        <v>192</v>
      </c>
      <c r="H99" t="s">
        <v>201</v>
      </c>
      <c r="I99" t="s">
        <v>201</v>
      </c>
      <c r="J99" t="s">
        <v>192</v>
      </c>
      <c r="K99" t="s">
        <v>201</v>
      </c>
      <c r="L99" t="s">
        <v>201</v>
      </c>
      <c r="M99" t="s">
        <v>192</v>
      </c>
      <c r="N99" s="17" t="s">
        <v>192</v>
      </c>
      <c r="O99" s="23" t="s">
        <v>192</v>
      </c>
      <c r="P99" s="23" t="s">
        <v>192</v>
      </c>
      <c r="Q99" t="s">
        <v>192</v>
      </c>
      <c r="R99" t="s">
        <v>192</v>
      </c>
      <c r="S99" t="s">
        <v>192</v>
      </c>
      <c r="T99" t="s">
        <v>192</v>
      </c>
    </row>
    <row r="100" spans="1:20" ht="19">
      <c r="A100">
        <v>99</v>
      </c>
      <c r="B100" s="1" t="s">
        <v>252</v>
      </c>
      <c r="C100" s="2" t="s">
        <v>274</v>
      </c>
      <c r="D100" t="s">
        <v>84</v>
      </c>
      <c r="E100" t="s">
        <v>391</v>
      </c>
      <c r="G100" t="s">
        <v>192</v>
      </c>
      <c r="H100" t="s">
        <v>192</v>
      </c>
      <c r="I100" t="s">
        <v>192</v>
      </c>
      <c r="J100" t="s">
        <v>192</v>
      </c>
      <c r="K100" t="s">
        <v>192</v>
      </c>
      <c r="L100" t="s">
        <v>192</v>
      </c>
      <c r="M100" t="s">
        <v>192</v>
      </c>
      <c r="N100" t="s">
        <v>192</v>
      </c>
      <c r="O100" t="s">
        <v>192</v>
      </c>
      <c r="P100" t="s">
        <v>192</v>
      </c>
      <c r="Q100" t="s">
        <v>192</v>
      </c>
      <c r="R100" t="s">
        <v>192</v>
      </c>
      <c r="S100" t="s">
        <v>192</v>
      </c>
      <c r="T100" t="s">
        <v>192</v>
      </c>
    </row>
    <row r="101" spans="1:20" ht="19">
      <c r="A101">
        <v>100</v>
      </c>
      <c r="B101" s="1" t="s">
        <v>56</v>
      </c>
      <c r="C101" s="2" t="s">
        <v>271</v>
      </c>
      <c r="D101" t="s">
        <v>84</v>
      </c>
      <c r="E101" t="s">
        <v>391</v>
      </c>
      <c r="G101" t="s">
        <v>192</v>
      </c>
      <c r="H101" t="s">
        <v>192</v>
      </c>
      <c r="I101" t="s">
        <v>192</v>
      </c>
      <c r="J101" t="s">
        <v>192</v>
      </c>
      <c r="K101" t="s">
        <v>192</v>
      </c>
      <c r="L101" t="s">
        <v>192</v>
      </c>
      <c r="M101" t="s">
        <v>192</v>
      </c>
      <c r="N101" t="s">
        <v>192</v>
      </c>
      <c r="O101" t="s">
        <v>192</v>
      </c>
      <c r="P101" t="s">
        <v>192</v>
      </c>
      <c r="Q101" t="s">
        <v>192</v>
      </c>
      <c r="R101" t="s">
        <v>192</v>
      </c>
      <c r="S101" t="s">
        <v>192</v>
      </c>
      <c r="T101" t="s">
        <v>192</v>
      </c>
    </row>
    <row r="102" spans="1:20" ht="19">
      <c r="A102">
        <v>101</v>
      </c>
      <c r="B102" s="1" t="s">
        <v>253</v>
      </c>
      <c r="C102" s="2" t="s">
        <v>267</v>
      </c>
      <c r="D102" t="s">
        <v>84</v>
      </c>
      <c r="E102" t="s">
        <v>391</v>
      </c>
      <c r="G102" t="s">
        <v>192</v>
      </c>
      <c r="H102" t="s">
        <v>192</v>
      </c>
      <c r="I102" t="s">
        <v>192</v>
      </c>
      <c r="J102" t="s">
        <v>192</v>
      </c>
      <c r="K102" t="s">
        <v>192</v>
      </c>
      <c r="L102" t="s">
        <v>192</v>
      </c>
      <c r="M102" t="s">
        <v>192</v>
      </c>
      <c r="N102" t="s">
        <v>192</v>
      </c>
      <c r="O102" t="s">
        <v>192</v>
      </c>
      <c r="P102" t="s">
        <v>201</v>
      </c>
      <c r="Q102" t="s">
        <v>192</v>
      </c>
      <c r="R102" t="s">
        <v>192</v>
      </c>
      <c r="S102" t="s">
        <v>192</v>
      </c>
      <c r="T102" t="s">
        <v>192</v>
      </c>
    </row>
    <row r="103" spans="1:20" ht="19">
      <c r="A103">
        <v>102</v>
      </c>
      <c r="B103" s="1" t="s">
        <v>57</v>
      </c>
      <c r="C103" s="2" t="s">
        <v>271</v>
      </c>
      <c r="D103" t="s">
        <v>84</v>
      </c>
      <c r="E103" t="s">
        <v>391</v>
      </c>
      <c r="G103" t="s">
        <v>192</v>
      </c>
      <c r="H103" t="s">
        <v>192</v>
      </c>
      <c r="I103" t="s">
        <v>192</v>
      </c>
      <c r="J103" t="s">
        <v>192</v>
      </c>
      <c r="K103" t="s">
        <v>192</v>
      </c>
      <c r="L103" t="s">
        <v>192</v>
      </c>
      <c r="M103" t="s">
        <v>192</v>
      </c>
      <c r="N103" t="s">
        <v>192</v>
      </c>
      <c r="O103" t="s">
        <v>192</v>
      </c>
      <c r="P103" t="s">
        <v>201</v>
      </c>
      <c r="Q103" t="s">
        <v>192</v>
      </c>
      <c r="R103" t="s">
        <v>192</v>
      </c>
      <c r="S103" t="s">
        <v>192</v>
      </c>
      <c r="T103" t="s">
        <v>192</v>
      </c>
    </row>
    <row r="104" spans="1:20" ht="19">
      <c r="A104">
        <v>103</v>
      </c>
      <c r="B104" s="1" t="s">
        <v>58</v>
      </c>
      <c r="C104" s="2" t="s">
        <v>271</v>
      </c>
      <c r="D104" t="s">
        <v>85</v>
      </c>
      <c r="E104" t="s">
        <v>391</v>
      </c>
      <c r="F104">
        <v>1</v>
      </c>
      <c r="G104" t="s">
        <v>192</v>
      </c>
      <c r="H104" t="s">
        <v>201</v>
      </c>
      <c r="I104" t="s">
        <v>201</v>
      </c>
      <c r="J104" t="s">
        <v>192</v>
      </c>
      <c r="K104" t="s">
        <v>201</v>
      </c>
      <c r="L104" t="s">
        <v>201</v>
      </c>
      <c r="M104" t="s">
        <v>201</v>
      </c>
      <c r="N104" t="s">
        <v>201</v>
      </c>
      <c r="O104" s="23" t="s">
        <v>201</v>
      </c>
      <c r="P104" s="23" t="s">
        <v>201</v>
      </c>
      <c r="Q104" t="s">
        <v>192</v>
      </c>
      <c r="R104" t="s">
        <v>201</v>
      </c>
      <c r="S104" t="s">
        <v>201</v>
      </c>
      <c r="T104" t="s">
        <v>201</v>
      </c>
    </row>
    <row r="105" spans="1:20" ht="19">
      <c r="A105">
        <v>104</v>
      </c>
      <c r="B105" s="1" t="s">
        <v>254</v>
      </c>
      <c r="C105" s="2" t="s">
        <v>269</v>
      </c>
      <c r="D105" t="s">
        <v>84</v>
      </c>
      <c r="E105" t="s">
        <v>391</v>
      </c>
      <c r="G105" t="s">
        <v>192</v>
      </c>
      <c r="H105" t="s">
        <v>192</v>
      </c>
      <c r="I105" t="s">
        <v>192</v>
      </c>
      <c r="J105" t="s">
        <v>192</v>
      </c>
      <c r="K105" t="s">
        <v>192</v>
      </c>
      <c r="L105" t="s">
        <v>201</v>
      </c>
      <c r="M105" t="s">
        <v>192</v>
      </c>
      <c r="N105" t="s">
        <v>201</v>
      </c>
      <c r="O105" t="s">
        <v>192</v>
      </c>
      <c r="P105" t="s">
        <v>192</v>
      </c>
      <c r="Q105" t="s">
        <v>192</v>
      </c>
      <c r="R105" t="s">
        <v>192</v>
      </c>
      <c r="S105" t="s">
        <v>192</v>
      </c>
      <c r="T105" t="s">
        <v>192</v>
      </c>
    </row>
    <row r="106" spans="1:20" ht="19">
      <c r="A106">
        <v>105</v>
      </c>
      <c r="B106" s="1" t="s">
        <v>255</v>
      </c>
      <c r="C106" s="2" t="s">
        <v>269</v>
      </c>
      <c r="D106" t="s">
        <v>84</v>
      </c>
      <c r="E106" t="s">
        <v>391</v>
      </c>
      <c r="F106">
        <v>1</v>
      </c>
      <c r="G106" t="s">
        <v>192</v>
      </c>
      <c r="H106" t="s">
        <v>201</v>
      </c>
      <c r="I106" t="s">
        <v>192</v>
      </c>
      <c r="J106" t="s">
        <v>201</v>
      </c>
      <c r="K106" t="s">
        <v>201</v>
      </c>
      <c r="L106" t="s">
        <v>201</v>
      </c>
      <c r="M106" t="s">
        <v>192</v>
      </c>
      <c r="N106" s="17" t="s">
        <v>192</v>
      </c>
      <c r="O106" t="s">
        <v>192</v>
      </c>
      <c r="P106" t="s">
        <v>201</v>
      </c>
      <c r="Q106" t="s">
        <v>192</v>
      </c>
      <c r="R106" t="s">
        <v>192</v>
      </c>
      <c r="S106" t="s">
        <v>192</v>
      </c>
      <c r="T106" t="s">
        <v>192</v>
      </c>
    </row>
    <row r="107" spans="1:20" ht="19" hidden="1">
      <c r="A107">
        <v>106</v>
      </c>
      <c r="B107" s="1" t="s">
        <v>256</v>
      </c>
      <c r="C107" s="2" t="s">
        <v>269</v>
      </c>
      <c r="D107" t="s">
        <v>84</v>
      </c>
      <c r="E107" t="s">
        <v>391</v>
      </c>
      <c r="G107" t="s">
        <v>201</v>
      </c>
      <c r="H107" t="s">
        <v>192</v>
      </c>
      <c r="I107" t="s">
        <v>192</v>
      </c>
      <c r="J107" t="s">
        <v>192</v>
      </c>
      <c r="O107">
        <v>1</v>
      </c>
      <c r="P107" t="s">
        <v>1717</v>
      </c>
      <c r="Q107" t="s">
        <v>1717</v>
      </c>
      <c r="R107" t="s">
        <v>1717</v>
      </c>
      <c r="S107" t="s">
        <v>1717</v>
      </c>
      <c r="T107" t="s">
        <v>1717</v>
      </c>
    </row>
    <row r="108" spans="1:20" ht="19">
      <c r="A108">
        <v>107</v>
      </c>
      <c r="B108" s="1" t="s">
        <v>257</v>
      </c>
      <c r="C108" s="2" t="s">
        <v>274</v>
      </c>
      <c r="D108" t="s">
        <v>84</v>
      </c>
      <c r="E108" t="s">
        <v>391</v>
      </c>
      <c r="G108" t="s">
        <v>192</v>
      </c>
      <c r="H108" t="s">
        <v>192</v>
      </c>
      <c r="I108" t="s">
        <v>192</v>
      </c>
      <c r="J108" t="s">
        <v>192</v>
      </c>
      <c r="K108" t="s">
        <v>192</v>
      </c>
      <c r="L108" t="s">
        <v>192</v>
      </c>
      <c r="M108" t="s">
        <v>192</v>
      </c>
      <c r="N108" t="s">
        <v>192</v>
      </c>
      <c r="O108" t="s">
        <v>192</v>
      </c>
      <c r="P108" t="s">
        <v>192</v>
      </c>
      <c r="Q108" t="s">
        <v>192</v>
      </c>
      <c r="R108" t="s">
        <v>192</v>
      </c>
      <c r="S108" t="s">
        <v>192</v>
      </c>
      <c r="T108" t="s">
        <v>192</v>
      </c>
    </row>
    <row r="109" spans="1:20" ht="19" hidden="1">
      <c r="A109">
        <v>108</v>
      </c>
      <c r="B109" s="1" t="s">
        <v>258</v>
      </c>
      <c r="C109" s="2" t="s">
        <v>267</v>
      </c>
      <c r="D109" t="s">
        <v>84</v>
      </c>
      <c r="E109" t="s">
        <v>391</v>
      </c>
      <c r="G109" t="s">
        <v>201</v>
      </c>
      <c r="H109" t="s">
        <v>192</v>
      </c>
      <c r="I109" t="s">
        <v>192</v>
      </c>
      <c r="J109" t="s">
        <v>201</v>
      </c>
      <c r="O109">
        <v>1</v>
      </c>
      <c r="P109" t="s">
        <v>1717</v>
      </c>
      <c r="Q109" t="s">
        <v>1717</v>
      </c>
      <c r="R109" t="s">
        <v>1717</v>
      </c>
      <c r="S109" t="s">
        <v>1717</v>
      </c>
      <c r="T109" t="s">
        <v>1717</v>
      </c>
    </row>
    <row r="110" spans="1:20" ht="19" hidden="1">
      <c r="A110">
        <v>109</v>
      </c>
      <c r="B110" s="1" t="s">
        <v>259</v>
      </c>
      <c r="C110" s="2" t="s">
        <v>274</v>
      </c>
      <c r="D110" t="s">
        <v>84</v>
      </c>
      <c r="E110" t="s">
        <v>391</v>
      </c>
      <c r="G110" t="s">
        <v>201</v>
      </c>
      <c r="H110" t="s">
        <v>192</v>
      </c>
      <c r="I110" t="s">
        <v>192</v>
      </c>
      <c r="J110" t="s">
        <v>192</v>
      </c>
      <c r="O110">
        <v>1</v>
      </c>
      <c r="P110" t="s">
        <v>1717</v>
      </c>
      <c r="Q110" t="s">
        <v>1717</v>
      </c>
      <c r="R110" t="s">
        <v>1717</v>
      </c>
      <c r="S110" t="s">
        <v>1717</v>
      </c>
      <c r="T110" t="s">
        <v>1717</v>
      </c>
    </row>
    <row r="111" spans="1:20" ht="19" hidden="1">
      <c r="A111">
        <v>110</v>
      </c>
      <c r="B111" s="1" t="s">
        <v>260</v>
      </c>
      <c r="C111" s="2" t="s">
        <v>269</v>
      </c>
      <c r="D111" t="s">
        <v>84</v>
      </c>
      <c r="E111" t="s">
        <v>391</v>
      </c>
      <c r="G111" t="s">
        <v>201</v>
      </c>
      <c r="H111" t="s">
        <v>192</v>
      </c>
      <c r="I111" t="s">
        <v>192</v>
      </c>
      <c r="J111" t="s">
        <v>201</v>
      </c>
      <c r="O111">
        <v>1</v>
      </c>
      <c r="P111" t="s">
        <v>1717</v>
      </c>
      <c r="Q111" t="s">
        <v>1717</v>
      </c>
      <c r="R111" t="s">
        <v>1717</v>
      </c>
      <c r="S111" t="s">
        <v>1717</v>
      </c>
      <c r="T111" t="s">
        <v>1717</v>
      </c>
    </row>
    <row r="112" spans="1:20" ht="19" hidden="1">
      <c r="A112">
        <v>111</v>
      </c>
      <c r="B112" s="1" t="s">
        <v>261</v>
      </c>
      <c r="C112" s="2" t="s">
        <v>274</v>
      </c>
      <c r="D112" t="s">
        <v>84</v>
      </c>
      <c r="E112" t="s">
        <v>391</v>
      </c>
      <c r="G112" t="s">
        <v>201</v>
      </c>
      <c r="H112" t="s">
        <v>192</v>
      </c>
      <c r="I112" t="s">
        <v>192</v>
      </c>
      <c r="J112" t="s">
        <v>192</v>
      </c>
      <c r="O112">
        <v>1</v>
      </c>
      <c r="P112" t="s">
        <v>1717</v>
      </c>
      <c r="Q112" t="s">
        <v>1717</v>
      </c>
      <c r="R112" t="s">
        <v>1717</v>
      </c>
      <c r="S112" t="s">
        <v>1717</v>
      </c>
      <c r="T112" t="s">
        <v>1717</v>
      </c>
    </row>
    <row r="113" spans="1:20" ht="19" hidden="1">
      <c r="A113">
        <v>112</v>
      </c>
      <c r="B113" s="1" t="s">
        <v>262</v>
      </c>
      <c r="C113" s="2" t="s">
        <v>269</v>
      </c>
      <c r="D113" t="s">
        <v>84</v>
      </c>
      <c r="E113" t="s">
        <v>391</v>
      </c>
      <c r="G113" t="s">
        <v>201</v>
      </c>
      <c r="H113" t="s">
        <v>192</v>
      </c>
      <c r="I113" t="s">
        <v>192</v>
      </c>
      <c r="J113" t="s">
        <v>192</v>
      </c>
      <c r="O113">
        <v>1</v>
      </c>
      <c r="P113" t="s">
        <v>1717</v>
      </c>
      <c r="Q113" t="s">
        <v>1717</v>
      </c>
      <c r="R113" t="s">
        <v>1717</v>
      </c>
      <c r="S113" t="s">
        <v>1717</v>
      </c>
      <c r="T113" t="s">
        <v>1717</v>
      </c>
    </row>
    <row r="114" spans="1:20" ht="19" hidden="1">
      <c r="A114">
        <v>113</v>
      </c>
      <c r="B114" s="1" t="s">
        <v>263</v>
      </c>
      <c r="C114" s="2" t="s">
        <v>269</v>
      </c>
      <c r="D114" t="s">
        <v>84</v>
      </c>
      <c r="E114" t="s">
        <v>391</v>
      </c>
      <c r="G114" t="s">
        <v>201</v>
      </c>
      <c r="H114" t="s">
        <v>192</v>
      </c>
      <c r="I114" t="s">
        <v>192</v>
      </c>
      <c r="J114" t="s">
        <v>192</v>
      </c>
      <c r="O114">
        <v>1</v>
      </c>
      <c r="P114" t="s">
        <v>1717</v>
      </c>
      <c r="Q114" t="s">
        <v>1717</v>
      </c>
      <c r="R114" t="s">
        <v>1717</v>
      </c>
      <c r="S114" t="s">
        <v>1717</v>
      </c>
      <c r="T114" t="s">
        <v>1717</v>
      </c>
    </row>
    <row r="115" spans="1:20" ht="19">
      <c r="A115">
        <v>114</v>
      </c>
      <c r="B115" s="1" t="s">
        <v>264</v>
      </c>
      <c r="C115" s="2" t="s">
        <v>267</v>
      </c>
      <c r="D115" t="s">
        <v>85</v>
      </c>
      <c r="E115" t="s">
        <v>391</v>
      </c>
      <c r="G115" t="s">
        <v>192</v>
      </c>
      <c r="H115" t="s">
        <v>192</v>
      </c>
      <c r="I115" t="s">
        <v>192</v>
      </c>
      <c r="J115" t="s">
        <v>192</v>
      </c>
      <c r="K115" t="s">
        <v>192</v>
      </c>
      <c r="L115" t="s">
        <v>192</v>
      </c>
      <c r="M115" t="s">
        <v>192</v>
      </c>
      <c r="N115" t="s">
        <v>192</v>
      </c>
      <c r="O115" t="s">
        <v>192</v>
      </c>
      <c r="P115" t="s">
        <v>192</v>
      </c>
      <c r="Q115" t="s">
        <v>192</v>
      </c>
      <c r="R115" t="s">
        <v>192</v>
      </c>
      <c r="S115" t="s">
        <v>192</v>
      </c>
      <c r="T115" t="s">
        <v>192</v>
      </c>
    </row>
    <row r="116" spans="1:20" ht="19">
      <c r="A116">
        <v>115</v>
      </c>
      <c r="B116" s="1" t="s">
        <v>59</v>
      </c>
      <c r="C116" s="2" t="s">
        <v>271</v>
      </c>
      <c r="D116" t="s">
        <v>85</v>
      </c>
      <c r="E116" t="s">
        <v>391</v>
      </c>
      <c r="F116">
        <v>1</v>
      </c>
      <c r="G116" t="s">
        <v>192</v>
      </c>
      <c r="H116" t="s">
        <v>201</v>
      </c>
      <c r="I116" t="s">
        <v>201</v>
      </c>
      <c r="J116" t="s">
        <v>201</v>
      </c>
      <c r="K116" t="s">
        <v>201</v>
      </c>
      <c r="L116" t="s">
        <v>201</v>
      </c>
      <c r="M116" t="s">
        <v>201</v>
      </c>
      <c r="N116" t="s">
        <v>201</v>
      </c>
      <c r="O116" s="23" t="s">
        <v>201</v>
      </c>
      <c r="P116" s="23" t="s">
        <v>192</v>
      </c>
      <c r="Q116" t="s">
        <v>201</v>
      </c>
      <c r="R116" t="s">
        <v>201</v>
      </c>
      <c r="S116" t="s">
        <v>201</v>
      </c>
      <c r="T116" t="s">
        <v>201</v>
      </c>
    </row>
    <row r="117" spans="1:20" ht="19">
      <c r="A117">
        <v>116</v>
      </c>
      <c r="B117" s="1" t="s">
        <v>60</v>
      </c>
      <c r="C117" s="2" t="s">
        <v>271</v>
      </c>
      <c r="D117" t="s">
        <v>84</v>
      </c>
      <c r="E117" t="s">
        <v>391</v>
      </c>
      <c r="G117" t="s">
        <v>192</v>
      </c>
      <c r="H117" t="s">
        <v>192</v>
      </c>
      <c r="I117" t="s">
        <v>192</v>
      </c>
      <c r="J117" t="s">
        <v>192</v>
      </c>
      <c r="K117" t="s">
        <v>192</v>
      </c>
      <c r="L117" t="s">
        <v>192</v>
      </c>
      <c r="M117" t="s">
        <v>192</v>
      </c>
      <c r="N117" t="s">
        <v>192</v>
      </c>
      <c r="O117" t="s">
        <v>192</v>
      </c>
      <c r="P117" t="s">
        <v>192</v>
      </c>
      <c r="Q117" t="s">
        <v>192</v>
      </c>
      <c r="R117" t="s">
        <v>192</v>
      </c>
      <c r="S117" t="s">
        <v>192</v>
      </c>
      <c r="T117" t="s">
        <v>192</v>
      </c>
    </row>
    <row r="118" spans="1:20" ht="19">
      <c r="A118">
        <v>117</v>
      </c>
      <c r="B118" s="1" t="s">
        <v>265</v>
      </c>
      <c r="C118" s="2" t="s">
        <v>267</v>
      </c>
      <c r="D118" t="s">
        <v>84</v>
      </c>
      <c r="E118" t="s">
        <v>391</v>
      </c>
      <c r="G118" t="s">
        <v>192</v>
      </c>
      <c r="H118" t="s">
        <v>192</v>
      </c>
      <c r="I118" t="s">
        <v>192</v>
      </c>
      <c r="J118" t="s">
        <v>192</v>
      </c>
      <c r="K118" t="s">
        <v>192</v>
      </c>
      <c r="L118" t="s">
        <v>192</v>
      </c>
      <c r="M118" t="s">
        <v>192</v>
      </c>
      <c r="N118" t="s">
        <v>192</v>
      </c>
      <c r="O118" t="s">
        <v>192</v>
      </c>
      <c r="P118" t="s">
        <v>201</v>
      </c>
      <c r="Q118" t="s">
        <v>192</v>
      </c>
      <c r="R118" t="s">
        <v>192</v>
      </c>
      <c r="S118" t="s">
        <v>192</v>
      </c>
      <c r="T118" t="s">
        <v>192</v>
      </c>
    </row>
    <row r="119" spans="1:20" ht="19">
      <c r="A119">
        <v>118</v>
      </c>
      <c r="B119" s="1" t="s">
        <v>61</v>
      </c>
      <c r="C119" s="2" t="s">
        <v>271</v>
      </c>
      <c r="D119" t="s">
        <v>85</v>
      </c>
      <c r="E119" t="s">
        <v>391</v>
      </c>
      <c r="F119">
        <v>1</v>
      </c>
      <c r="G119" t="s">
        <v>192</v>
      </c>
      <c r="H119" t="s">
        <v>201</v>
      </c>
      <c r="I119" t="s">
        <v>201</v>
      </c>
      <c r="J119" t="s">
        <v>201</v>
      </c>
      <c r="K119" t="s">
        <v>201</v>
      </c>
      <c r="L119" t="s">
        <v>201</v>
      </c>
      <c r="M119" t="s">
        <v>201</v>
      </c>
      <c r="N119" t="s">
        <v>192</v>
      </c>
      <c r="O119" t="s">
        <v>201</v>
      </c>
      <c r="P119" t="s">
        <v>201</v>
      </c>
      <c r="Q119" t="s">
        <v>201</v>
      </c>
      <c r="R119" t="s">
        <v>201</v>
      </c>
      <c r="S119" t="s">
        <v>201</v>
      </c>
      <c r="T119" t="s">
        <v>201</v>
      </c>
    </row>
    <row r="120" spans="1:20" ht="19">
      <c r="A120">
        <v>119</v>
      </c>
      <c r="B120" s="1" t="s">
        <v>266</v>
      </c>
      <c r="C120" s="2" t="s">
        <v>269</v>
      </c>
      <c r="D120" t="s">
        <v>84</v>
      </c>
      <c r="E120" t="s">
        <v>391</v>
      </c>
      <c r="G120" t="s">
        <v>192</v>
      </c>
      <c r="H120" t="s">
        <v>192</v>
      </c>
      <c r="I120" t="s">
        <v>192</v>
      </c>
      <c r="J120" t="s">
        <v>192</v>
      </c>
      <c r="K120" t="s">
        <v>192</v>
      </c>
      <c r="L120" t="s">
        <v>192</v>
      </c>
      <c r="M120" t="s">
        <v>192</v>
      </c>
      <c r="N120" t="s">
        <v>192</v>
      </c>
      <c r="O120" t="s">
        <v>192</v>
      </c>
      <c r="P120" t="s">
        <v>192</v>
      </c>
      <c r="Q120" t="s">
        <v>192</v>
      </c>
      <c r="R120" t="s">
        <v>192</v>
      </c>
      <c r="S120" t="s">
        <v>192</v>
      </c>
      <c r="T120" t="s">
        <v>192</v>
      </c>
    </row>
    <row r="121" spans="1:20" ht="19">
      <c r="A121">
        <v>120</v>
      </c>
      <c r="B121" s="1" t="s">
        <v>62</v>
      </c>
      <c r="C121" s="2" t="s">
        <v>271</v>
      </c>
      <c r="D121" t="s">
        <v>84</v>
      </c>
      <c r="E121" t="s">
        <v>391</v>
      </c>
      <c r="G121" t="s">
        <v>192</v>
      </c>
      <c r="H121" t="s">
        <v>192</v>
      </c>
      <c r="I121" t="s">
        <v>192</v>
      </c>
      <c r="J121" t="s">
        <v>192</v>
      </c>
      <c r="K121" t="s">
        <v>192</v>
      </c>
      <c r="L121" t="s">
        <v>192</v>
      </c>
      <c r="M121" t="s">
        <v>192</v>
      </c>
      <c r="N121" t="s">
        <v>192</v>
      </c>
      <c r="O121" t="s">
        <v>192</v>
      </c>
      <c r="P121" t="s">
        <v>201</v>
      </c>
      <c r="Q121" t="s">
        <v>192</v>
      </c>
      <c r="R121" t="s">
        <v>192</v>
      </c>
      <c r="S121" t="s">
        <v>192</v>
      </c>
      <c r="T121" t="s">
        <v>192</v>
      </c>
    </row>
    <row r="122" spans="1:20" ht="19">
      <c r="A122">
        <v>121</v>
      </c>
      <c r="B122" s="1" t="s">
        <v>63</v>
      </c>
      <c r="C122" s="2" t="s">
        <v>271</v>
      </c>
      <c r="D122" t="s">
        <v>84</v>
      </c>
      <c r="E122" t="s">
        <v>391</v>
      </c>
      <c r="G122" t="s">
        <v>192</v>
      </c>
      <c r="H122" t="s">
        <v>201</v>
      </c>
      <c r="I122" t="s">
        <v>192</v>
      </c>
      <c r="J122" t="s">
        <v>192</v>
      </c>
      <c r="K122" t="s">
        <v>192</v>
      </c>
      <c r="L122" t="s">
        <v>201</v>
      </c>
      <c r="M122" t="s">
        <v>201</v>
      </c>
      <c r="N122" t="s">
        <v>201</v>
      </c>
      <c r="O122" t="s">
        <v>192</v>
      </c>
      <c r="P122" t="s">
        <v>201</v>
      </c>
      <c r="Q122" t="s">
        <v>192</v>
      </c>
      <c r="R122" t="s">
        <v>192</v>
      </c>
      <c r="S122" t="s">
        <v>192</v>
      </c>
      <c r="T122" t="s">
        <v>192</v>
      </c>
    </row>
    <row r="123" spans="1:20" ht="19" hidden="1">
      <c r="A123">
        <v>122</v>
      </c>
      <c r="B123" s="1" t="s">
        <v>64</v>
      </c>
      <c r="C123" s="2" t="s">
        <v>271</v>
      </c>
      <c r="D123" t="s">
        <v>84</v>
      </c>
      <c r="E123" t="s">
        <v>391</v>
      </c>
      <c r="G123" t="s">
        <v>201</v>
      </c>
      <c r="H123" t="s">
        <v>201</v>
      </c>
      <c r="I123" t="s">
        <v>201</v>
      </c>
      <c r="J123" t="s">
        <v>201</v>
      </c>
      <c r="O123">
        <v>1</v>
      </c>
      <c r="P123" t="s">
        <v>1717</v>
      </c>
      <c r="Q123" t="s">
        <v>1717</v>
      </c>
      <c r="R123" t="s">
        <v>1717</v>
      </c>
      <c r="S123" t="s">
        <v>1717</v>
      </c>
      <c r="T123" t="s">
        <v>1717</v>
      </c>
    </row>
    <row r="124" spans="1:20" ht="19" hidden="1">
      <c r="A124">
        <v>123</v>
      </c>
      <c r="B124" s="1" t="s">
        <v>65</v>
      </c>
      <c r="C124" s="2" t="s">
        <v>271</v>
      </c>
      <c r="D124" t="s">
        <v>84</v>
      </c>
      <c r="E124" t="s">
        <v>391</v>
      </c>
      <c r="G124" t="s">
        <v>201</v>
      </c>
      <c r="H124" t="s">
        <v>201</v>
      </c>
      <c r="I124" t="s">
        <v>201</v>
      </c>
      <c r="J124" t="s">
        <v>201</v>
      </c>
      <c r="O124">
        <v>1</v>
      </c>
      <c r="P124" t="s">
        <v>1717</v>
      </c>
      <c r="Q124" t="s">
        <v>1717</v>
      </c>
      <c r="R124" t="s">
        <v>1717</v>
      </c>
      <c r="S124" t="s">
        <v>1717</v>
      </c>
      <c r="T124" t="s">
        <v>1717</v>
      </c>
    </row>
    <row r="125" spans="1:20" ht="19" hidden="1">
      <c r="A125">
        <v>124</v>
      </c>
      <c r="B125" s="1" t="s">
        <v>66</v>
      </c>
      <c r="C125" s="2" t="s">
        <v>271</v>
      </c>
      <c r="D125" t="s">
        <v>84</v>
      </c>
      <c r="E125" t="s">
        <v>391</v>
      </c>
      <c r="G125" t="s">
        <v>201</v>
      </c>
      <c r="H125" t="s">
        <v>201</v>
      </c>
      <c r="I125" t="s">
        <v>201</v>
      </c>
      <c r="J125" t="s">
        <v>201</v>
      </c>
      <c r="O125">
        <v>1</v>
      </c>
      <c r="P125" t="s">
        <v>1717</v>
      </c>
      <c r="Q125" t="s">
        <v>1717</v>
      </c>
      <c r="R125" t="s">
        <v>1717</v>
      </c>
      <c r="S125" t="s">
        <v>1717</v>
      </c>
      <c r="T125" t="s">
        <v>1717</v>
      </c>
    </row>
    <row r="126" spans="1:20" ht="19" hidden="1">
      <c r="A126">
        <v>125</v>
      </c>
      <c r="B126" s="1" t="s">
        <v>67</v>
      </c>
      <c r="C126" s="2" t="s">
        <v>271</v>
      </c>
      <c r="D126" t="s">
        <v>84</v>
      </c>
      <c r="E126" t="s">
        <v>391</v>
      </c>
      <c r="G126" t="s">
        <v>201</v>
      </c>
      <c r="H126" t="s">
        <v>201</v>
      </c>
      <c r="I126" t="s">
        <v>201</v>
      </c>
      <c r="J126" t="s">
        <v>201</v>
      </c>
      <c r="O126">
        <v>1</v>
      </c>
      <c r="P126" t="s">
        <v>1717</v>
      </c>
      <c r="Q126" t="s">
        <v>1717</v>
      </c>
      <c r="R126" t="s">
        <v>1717</v>
      </c>
      <c r="S126" t="s">
        <v>1717</v>
      </c>
      <c r="T126" t="s">
        <v>1717</v>
      </c>
    </row>
    <row r="127" spans="1:20" ht="19" hidden="1">
      <c r="A127">
        <v>126</v>
      </c>
      <c r="B127" s="1" t="s">
        <v>68</v>
      </c>
      <c r="C127" s="2" t="s">
        <v>271</v>
      </c>
      <c r="D127" t="s">
        <v>84</v>
      </c>
      <c r="E127" t="s">
        <v>391</v>
      </c>
      <c r="G127" t="s">
        <v>201</v>
      </c>
      <c r="H127" t="s">
        <v>201</v>
      </c>
      <c r="I127" t="s">
        <v>201</v>
      </c>
      <c r="J127" t="s">
        <v>201</v>
      </c>
      <c r="O127">
        <v>1</v>
      </c>
      <c r="P127" t="s">
        <v>1717</v>
      </c>
      <c r="Q127" t="s">
        <v>1717</v>
      </c>
      <c r="R127" t="s">
        <v>1717</v>
      </c>
      <c r="S127" t="s">
        <v>1717</v>
      </c>
      <c r="T127" t="s">
        <v>1717</v>
      </c>
    </row>
    <row r="128" spans="1:20" ht="19" hidden="1">
      <c r="A128">
        <v>127</v>
      </c>
      <c r="B128" s="1" t="s">
        <v>69</v>
      </c>
      <c r="C128" s="2" t="s">
        <v>271</v>
      </c>
      <c r="D128" t="s">
        <v>84</v>
      </c>
      <c r="E128" t="s">
        <v>391</v>
      </c>
      <c r="G128" t="s">
        <v>201</v>
      </c>
      <c r="H128" t="s">
        <v>201</v>
      </c>
      <c r="I128" t="s">
        <v>201</v>
      </c>
      <c r="J128" t="s">
        <v>201</v>
      </c>
      <c r="O128">
        <v>1</v>
      </c>
      <c r="P128" t="s">
        <v>1717</v>
      </c>
      <c r="Q128" t="s">
        <v>1717</v>
      </c>
      <c r="R128" t="s">
        <v>1717</v>
      </c>
      <c r="S128" t="s">
        <v>1717</v>
      </c>
      <c r="T128" t="s">
        <v>1717</v>
      </c>
    </row>
    <row r="129" spans="1:20" ht="19" hidden="1">
      <c r="A129">
        <v>128</v>
      </c>
      <c r="B129" s="1" t="s">
        <v>70</v>
      </c>
      <c r="C129" s="2" t="s">
        <v>271</v>
      </c>
      <c r="D129" t="s">
        <v>84</v>
      </c>
      <c r="E129" t="s">
        <v>391</v>
      </c>
      <c r="G129" t="s">
        <v>201</v>
      </c>
      <c r="H129" t="s">
        <v>201</v>
      </c>
      <c r="I129" t="s">
        <v>201</v>
      </c>
      <c r="J129" t="s">
        <v>201</v>
      </c>
      <c r="O129">
        <v>1</v>
      </c>
      <c r="P129" t="s">
        <v>1717</v>
      </c>
      <c r="Q129" t="s">
        <v>1717</v>
      </c>
      <c r="R129" t="s">
        <v>1717</v>
      </c>
      <c r="S129" t="s">
        <v>1717</v>
      </c>
      <c r="T129" t="s">
        <v>1717</v>
      </c>
    </row>
    <row r="130" spans="1:20" ht="19" hidden="1">
      <c r="A130">
        <v>129</v>
      </c>
      <c r="B130" s="1" t="s">
        <v>71</v>
      </c>
      <c r="C130" s="2" t="s">
        <v>271</v>
      </c>
      <c r="D130" t="s">
        <v>84</v>
      </c>
      <c r="E130" t="s">
        <v>391</v>
      </c>
      <c r="G130" t="s">
        <v>201</v>
      </c>
      <c r="H130" t="s">
        <v>201</v>
      </c>
      <c r="I130" t="s">
        <v>201</v>
      </c>
      <c r="J130" t="s">
        <v>201</v>
      </c>
      <c r="O130">
        <v>1</v>
      </c>
      <c r="P130" t="s">
        <v>1717</v>
      </c>
      <c r="Q130" t="s">
        <v>1717</v>
      </c>
      <c r="R130" t="s">
        <v>1717</v>
      </c>
      <c r="S130" t="s">
        <v>1717</v>
      </c>
      <c r="T130" t="s">
        <v>1717</v>
      </c>
    </row>
    <row r="131" spans="1:20" ht="19" hidden="1">
      <c r="A131">
        <v>130</v>
      </c>
      <c r="B131" s="1" t="s">
        <v>72</v>
      </c>
      <c r="C131" s="2" t="s">
        <v>271</v>
      </c>
      <c r="D131" t="s">
        <v>84</v>
      </c>
      <c r="E131" t="s">
        <v>391</v>
      </c>
      <c r="G131" t="s">
        <v>201</v>
      </c>
      <c r="H131" t="s">
        <v>201</v>
      </c>
      <c r="I131" t="s">
        <v>201</v>
      </c>
      <c r="J131" t="s">
        <v>201</v>
      </c>
      <c r="O131">
        <v>1</v>
      </c>
      <c r="P131" t="s">
        <v>1717</v>
      </c>
      <c r="Q131" t="s">
        <v>1717</v>
      </c>
      <c r="R131" t="s">
        <v>1717</v>
      </c>
      <c r="S131" t="s">
        <v>1717</v>
      </c>
      <c r="T131" t="s">
        <v>1717</v>
      </c>
    </row>
    <row r="132" spans="1:20" ht="19" hidden="1">
      <c r="A132">
        <v>131</v>
      </c>
      <c r="B132" s="1" t="s">
        <v>73</v>
      </c>
      <c r="C132" s="2" t="s">
        <v>271</v>
      </c>
      <c r="D132" t="s">
        <v>84</v>
      </c>
      <c r="E132" t="s">
        <v>391</v>
      </c>
      <c r="G132" t="s">
        <v>201</v>
      </c>
      <c r="H132" t="s">
        <v>201</v>
      </c>
      <c r="I132" t="s">
        <v>201</v>
      </c>
      <c r="J132" t="s">
        <v>201</v>
      </c>
      <c r="O132">
        <v>1</v>
      </c>
      <c r="P132" t="s">
        <v>1717</v>
      </c>
      <c r="Q132" t="s">
        <v>1717</v>
      </c>
      <c r="R132" t="s">
        <v>1717</v>
      </c>
      <c r="S132" t="s">
        <v>1717</v>
      </c>
      <c r="T132" t="s">
        <v>1717</v>
      </c>
    </row>
    <row r="133" spans="1:20" ht="19" hidden="1">
      <c r="A133">
        <v>132</v>
      </c>
      <c r="B133" s="1" t="s">
        <v>74</v>
      </c>
      <c r="C133" s="2" t="s">
        <v>271</v>
      </c>
      <c r="D133" t="s">
        <v>84</v>
      </c>
      <c r="E133" t="s">
        <v>391</v>
      </c>
      <c r="G133" t="s">
        <v>201</v>
      </c>
      <c r="H133" t="s">
        <v>201</v>
      </c>
      <c r="I133" t="s">
        <v>201</v>
      </c>
      <c r="J133" t="s">
        <v>201</v>
      </c>
      <c r="O133">
        <v>1</v>
      </c>
      <c r="P133" t="s">
        <v>1717</v>
      </c>
      <c r="Q133" t="s">
        <v>1717</v>
      </c>
      <c r="R133" t="s">
        <v>1717</v>
      </c>
      <c r="S133" t="s">
        <v>1717</v>
      </c>
      <c r="T133" t="s">
        <v>1717</v>
      </c>
    </row>
    <row r="134" spans="1:20" ht="19" hidden="1">
      <c r="A134">
        <v>133</v>
      </c>
      <c r="B134" s="1" t="s">
        <v>75</v>
      </c>
      <c r="C134" s="2" t="s">
        <v>271</v>
      </c>
      <c r="D134" t="s">
        <v>84</v>
      </c>
      <c r="E134" t="s">
        <v>391</v>
      </c>
      <c r="G134" t="s">
        <v>201</v>
      </c>
      <c r="H134" t="s">
        <v>201</v>
      </c>
      <c r="I134" t="s">
        <v>201</v>
      </c>
      <c r="J134" t="s">
        <v>201</v>
      </c>
      <c r="O134">
        <v>1</v>
      </c>
      <c r="P134" t="s">
        <v>1717</v>
      </c>
      <c r="Q134" t="s">
        <v>1717</v>
      </c>
      <c r="R134" t="s">
        <v>1717</v>
      </c>
      <c r="S134" t="s">
        <v>1717</v>
      </c>
      <c r="T134" t="s">
        <v>1717</v>
      </c>
    </row>
    <row r="135" spans="1:20" ht="19" hidden="1">
      <c r="A135">
        <v>134</v>
      </c>
      <c r="B135" s="1" t="s">
        <v>76</v>
      </c>
      <c r="C135" s="2" t="s">
        <v>271</v>
      </c>
      <c r="D135" t="s">
        <v>84</v>
      </c>
      <c r="E135" t="s">
        <v>391</v>
      </c>
      <c r="G135" t="s">
        <v>201</v>
      </c>
      <c r="H135" t="s">
        <v>201</v>
      </c>
      <c r="I135" t="s">
        <v>201</v>
      </c>
      <c r="J135" t="s">
        <v>192</v>
      </c>
      <c r="O135">
        <v>1</v>
      </c>
      <c r="P135" t="s">
        <v>1717</v>
      </c>
      <c r="Q135" t="s">
        <v>1717</v>
      </c>
      <c r="R135" t="s">
        <v>1717</v>
      </c>
      <c r="S135" t="s">
        <v>1717</v>
      </c>
      <c r="T135" t="s">
        <v>1717</v>
      </c>
    </row>
    <row r="136" spans="1:20" ht="19" hidden="1">
      <c r="A136">
        <v>135</v>
      </c>
      <c r="B136" s="1" t="s">
        <v>77</v>
      </c>
      <c r="C136" s="2" t="s">
        <v>271</v>
      </c>
      <c r="D136" t="s">
        <v>84</v>
      </c>
      <c r="E136" t="s">
        <v>391</v>
      </c>
      <c r="G136" t="s">
        <v>201</v>
      </c>
      <c r="H136" t="s">
        <v>201</v>
      </c>
      <c r="I136" t="s">
        <v>201</v>
      </c>
      <c r="J136" t="s">
        <v>201</v>
      </c>
      <c r="O136">
        <v>1</v>
      </c>
      <c r="P136" t="s">
        <v>1717</v>
      </c>
      <c r="Q136" t="s">
        <v>1717</v>
      </c>
      <c r="R136" t="s">
        <v>1717</v>
      </c>
      <c r="S136" t="s">
        <v>1717</v>
      </c>
      <c r="T136" t="s">
        <v>1717</v>
      </c>
    </row>
    <row r="137" spans="1:20" ht="19" hidden="1">
      <c r="A137">
        <v>136</v>
      </c>
      <c r="B137" s="1" t="s">
        <v>78</v>
      </c>
      <c r="C137" s="2" t="s">
        <v>271</v>
      </c>
      <c r="D137" t="s">
        <v>84</v>
      </c>
      <c r="E137" t="s">
        <v>391</v>
      </c>
      <c r="G137" t="s">
        <v>201</v>
      </c>
      <c r="H137" t="s">
        <v>201</v>
      </c>
      <c r="I137" t="s">
        <v>201</v>
      </c>
      <c r="J137" t="s">
        <v>201</v>
      </c>
      <c r="O137">
        <v>1</v>
      </c>
      <c r="P137" t="s">
        <v>1717</v>
      </c>
      <c r="Q137" t="s">
        <v>1717</v>
      </c>
      <c r="R137" t="s">
        <v>1717</v>
      </c>
      <c r="S137" t="s">
        <v>1717</v>
      </c>
      <c r="T137" t="s">
        <v>1717</v>
      </c>
    </row>
    <row r="138" spans="1:20" ht="19" hidden="1">
      <c r="A138">
        <v>137</v>
      </c>
      <c r="B138" s="1" t="s">
        <v>79</v>
      </c>
      <c r="C138" s="2" t="s">
        <v>271</v>
      </c>
      <c r="D138" t="s">
        <v>84</v>
      </c>
      <c r="E138" t="s">
        <v>391</v>
      </c>
      <c r="G138" t="s">
        <v>201</v>
      </c>
      <c r="H138" t="s">
        <v>201</v>
      </c>
      <c r="I138" t="s">
        <v>201</v>
      </c>
      <c r="J138" t="s">
        <v>201</v>
      </c>
      <c r="O138">
        <v>1</v>
      </c>
      <c r="P138" t="s">
        <v>1717</v>
      </c>
      <c r="Q138" t="s">
        <v>1717</v>
      </c>
      <c r="R138" t="s">
        <v>1717</v>
      </c>
      <c r="S138" t="s">
        <v>1717</v>
      </c>
      <c r="T138" t="s">
        <v>1717</v>
      </c>
    </row>
    <row r="139" spans="1:20" ht="19" hidden="1">
      <c r="A139">
        <v>138</v>
      </c>
      <c r="B139" s="1" t="s">
        <v>80</v>
      </c>
      <c r="C139" s="2" t="s">
        <v>271</v>
      </c>
      <c r="D139" t="s">
        <v>84</v>
      </c>
      <c r="E139" t="s">
        <v>391</v>
      </c>
      <c r="G139" t="s">
        <v>201</v>
      </c>
      <c r="H139" t="s">
        <v>201</v>
      </c>
      <c r="I139" t="s">
        <v>201</v>
      </c>
      <c r="J139" t="s">
        <v>201</v>
      </c>
      <c r="O139">
        <v>1</v>
      </c>
      <c r="P139" t="s">
        <v>1717</v>
      </c>
      <c r="Q139" t="s">
        <v>1717</v>
      </c>
      <c r="R139" t="s">
        <v>1717</v>
      </c>
      <c r="S139" t="s">
        <v>1717</v>
      </c>
      <c r="T139" t="s">
        <v>1717</v>
      </c>
    </row>
    <row r="140" spans="1:20" ht="19" hidden="1">
      <c r="A140">
        <v>139</v>
      </c>
      <c r="B140" s="1" t="s">
        <v>81</v>
      </c>
      <c r="C140" s="2" t="s">
        <v>271</v>
      </c>
      <c r="D140" t="s">
        <v>84</v>
      </c>
      <c r="E140" t="s">
        <v>391</v>
      </c>
      <c r="G140" t="s">
        <v>201</v>
      </c>
      <c r="H140" t="s">
        <v>201</v>
      </c>
      <c r="I140" t="s">
        <v>201</v>
      </c>
      <c r="J140" t="s">
        <v>201</v>
      </c>
      <c r="O140">
        <v>1</v>
      </c>
      <c r="P140" t="s">
        <v>1717</v>
      </c>
      <c r="Q140" t="s">
        <v>1717</v>
      </c>
      <c r="R140" t="s">
        <v>1717</v>
      </c>
      <c r="S140" t="s">
        <v>1717</v>
      </c>
      <c r="T140" t="s">
        <v>1717</v>
      </c>
    </row>
    <row r="141" spans="1:20" ht="19" hidden="1">
      <c r="A141">
        <v>140</v>
      </c>
      <c r="B141" s="1" t="s">
        <v>82</v>
      </c>
      <c r="C141" s="2" t="s">
        <v>271</v>
      </c>
      <c r="D141" t="s">
        <v>84</v>
      </c>
      <c r="E141" t="s">
        <v>391</v>
      </c>
      <c r="G141" t="s">
        <v>201</v>
      </c>
      <c r="H141" t="s">
        <v>201</v>
      </c>
      <c r="I141" t="s">
        <v>201</v>
      </c>
      <c r="J141" t="s">
        <v>201</v>
      </c>
      <c r="O141">
        <v>1</v>
      </c>
      <c r="P141" t="s">
        <v>1717</v>
      </c>
      <c r="Q141" t="s">
        <v>1717</v>
      </c>
      <c r="R141" t="s">
        <v>1717</v>
      </c>
      <c r="S141" t="s">
        <v>1717</v>
      </c>
      <c r="T141" t="s">
        <v>1717</v>
      </c>
    </row>
    <row r="142" spans="1:20" ht="19" hidden="1">
      <c r="A142">
        <v>141</v>
      </c>
      <c r="B142" s="1" t="s">
        <v>83</v>
      </c>
      <c r="C142" s="2" t="s">
        <v>271</v>
      </c>
      <c r="D142" t="s">
        <v>84</v>
      </c>
      <c r="E142" t="s">
        <v>391</v>
      </c>
      <c r="G142" t="s">
        <v>201</v>
      </c>
      <c r="H142" t="s">
        <v>201</v>
      </c>
      <c r="I142" t="s">
        <v>201</v>
      </c>
      <c r="J142" t="s">
        <v>201</v>
      </c>
      <c r="O142">
        <v>1</v>
      </c>
      <c r="P142" t="s">
        <v>1717</v>
      </c>
      <c r="Q142" t="s">
        <v>1717</v>
      </c>
      <c r="R142" t="s">
        <v>1717</v>
      </c>
      <c r="S142" t="s">
        <v>1717</v>
      </c>
      <c r="T142" t="s">
        <v>1717</v>
      </c>
    </row>
    <row r="143" spans="1:20" ht="19">
      <c r="B143" s="1"/>
    </row>
    <row r="144" spans="1:20" ht="19">
      <c r="B144" s="1"/>
    </row>
  </sheetData>
  <autoFilter ref="A1:L142" xr:uid="{F95B69AA-7E2A-5046-980F-3BA9E4137897}">
    <filterColumn colId="6">
      <filters>
        <filter val="yes"/>
      </filters>
    </filterColumn>
  </autoFilter>
  <dataConsolidate/>
  <phoneticPr fontId="1" type="noConversion"/>
  <conditionalFormatting sqref="E1:F1048576">
    <cfRule type="cellIs" dxfId="160" priority="14" operator="equal">
      <formula>"no"</formula>
    </cfRule>
    <cfRule type="cellIs" dxfId="159" priority="15" operator="equal">
      <formula>"yes"</formula>
    </cfRule>
  </conditionalFormatting>
  <conditionalFormatting sqref="H2:I142">
    <cfRule type="expression" dxfId="158" priority="11" stopIfTrue="1">
      <formula>H2&lt;&gt;$E2</formula>
    </cfRule>
  </conditionalFormatting>
  <conditionalFormatting sqref="J2:J142">
    <cfRule type="expression" dxfId="157" priority="13">
      <formula>J2&lt;&gt;$E2</formula>
    </cfRule>
  </conditionalFormatting>
  <conditionalFormatting sqref="K2:K142">
    <cfRule type="expression" dxfId="156" priority="10" stopIfTrue="1">
      <formula>K2&lt;&gt;$E2</formula>
    </cfRule>
  </conditionalFormatting>
  <conditionalFormatting sqref="L2:L142">
    <cfRule type="expression" dxfId="155" priority="9">
      <formula>L2&lt;&gt;E2</formula>
    </cfRule>
  </conditionalFormatting>
  <conditionalFormatting sqref="M2:M142">
    <cfRule type="expression" dxfId="154" priority="8">
      <formula>M2&lt;&gt;E2</formula>
    </cfRule>
  </conditionalFormatting>
  <conditionalFormatting sqref="N2:N142">
    <cfRule type="expression" dxfId="153" priority="7">
      <formula>N2&lt;&gt;E2</formula>
    </cfRule>
  </conditionalFormatting>
  <conditionalFormatting sqref="O2:O142">
    <cfRule type="expression" dxfId="152" priority="5">
      <formula>O2&lt;&gt;E2</formula>
    </cfRule>
  </conditionalFormatting>
  <conditionalFormatting sqref="P2:P142">
    <cfRule type="expression" dxfId="151" priority="6" stopIfTrue="1">
      <formula>P2&lt;&gt;E2</formula>
    </cfRule>
  </conditionalFormatting>
  <conditionalFormatting sqref="Q2:Q142">
    <cfRule type="expression" dxfId="150" priority="4" stopIfTrue="1">
      <formula>Q2&lt;&gt;E2</formula>
    </cfRule>
  </conditionalFormatting>
  <conditionalFormatting sqref="R2:R142">
    <cfRule type="expression" dxfId="149" priority="3" stopIfTrue="1">
      <formula>R2&lt;&gt;E2</formula>
    </cfRule>
  </conditionalFormatting>
  <conditionalFormatting sqref="S2:S142">
    <cfRule type="expression" dxfId="148" priority="2">
      <formula>S2&lt;&gt;E2</formula>
    </cfRule>
  </conditionalFormatting>
  <conditionalFormatting sqref="T2:T142">
    <cfRule type="expression" dxfId="147" priority="1" stopIfTrue="1">
      <formula>T2&lt;&gt;E2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0D0FC-060F-8C4B-A76D-583C0CC0D4B3}">
  <sheetPr codeName="工作表24" filterMode="1"/>
  <dimension ref="A1:N144"/>
  <sheetViews>
    <sheetView zoomScale="110" zoomScaleNormal="100" workbookViewId="0">
      <pane ySplit="1" topLeftCell="A2" activePane="bottomLeft" state="frozen"/>
      <selection pane="bottomLeft" activeCell="K3" sqref="K3"/>
    </sheetView>
  </sheetViews>
  <sheetFormatPr baseColWidth="10" defaultRowHeight="15"/>
  <cols>
    <col min="2" max="2" width="12.5" customWidth="1"/>
    <col min="3" max="3" width="4.83203125" style="2" customWidth="1"/>
    <col min="5" max="5" width="11.33203125" customWidth="1"/>
    <col min="6" max="6" width="8.6640625" customWidth="1"/>
    <col min="7" max="7" width="7" style="13" customWidth="1"/>
    <col min="8" max="8" width="13.1640625" customWidth="1"/>
    <col min="9" max="9" width="7.1640625" customWidth="1"/>
    <col min="10" max="10" width="5.83203125" customWidth="1"/>
    <col min="11" max="11" width="16.6640625" customWidth="1"/>
    <col min="12" max="12" width="14.33203125" customWidth="1"/>
  </cols>
  <sheetData>
    <row r="1" spans="1:14">
      <c r="A1" t="s">
        <v>88</v>
      </c>
      <c r="B1" t="s">
        <v>0</v>
      </c>
      <c r="C1" s="2" t="s">
        <v>202</v>
      </c>
      <c r="D1" t="s">
        <v>6</v>
      </c>
      <c r="E1" t="s">
        <v>1</v>
      </c>
      <c r="F1" t="s">
        <v>4</v>
      </c>
      <c r="G1" t="s">
        <v>1390</v>
      </c>
      <c r="H1" t="s">
        <v>2</v>
      </c>
      <c r="I1" t="s">
        <v>1551</v>
      </c>
      <c r="J1" t="s">
        <v>1550</v>
      </c>
      <c r="K1" t="s">
        <v>3</v>
      </c>
      <c r="L1" t="s">
        <v>1067</v>
      </c>
      <c r="M1" t="s">
        <v>1192</v>
      </c>
      <c r="N1" t="s">
        <v>1105</v>
      </c>
    </row>
    <row r="2" spans="1:14" ht="19">
      <c r="A2">
        <v>1</v>
      </c>
      <c r="B2" s="1" t="s">
        <v>7</v>
      </c>
      <c r="C2" s="2" t="s">
        <v>271</v>
      </c>
      <c r="D2" t="s">
        <v>84</v>
      </c>
      <c r="E2" t="s">
        <v>391</v>
      </c>
      <c r="F2" t="s">
        <v>192</v>
      </c>
      <c r="G2">
        <v>98</v>
      </c>
      <c r="H2" t="s">
        <v>1391</v>
      </c>
      <c r="I2" t="s">
        <v>192</v>
      </c>
      <c r="J2">
        <v>100</v>
      </c>
      <c r="K2" t="s">
        <v>1471</v>
      </c>
      <c r="L2" t="str">
        <f>IF(COUNTIF(M:M, B2)&gt;0,$M$1,IF(COUNTIF(N:N, B2)&gt;0,$N$1,"no"))</f>
        <v>segmented videos list</v>
      </c>
      <c r="M2" s="1" t="s">
        <v>8</v>
      </c>
      <c r="N2" s="1" t="s">
        <v>7</v>
      </c>
    </row>
    <row r="3" spans="1:14" ht="19">
      <c r="A3">
        <v>2</v>
      </c>
      <c r="B3" s="1" t="s">
        <v>8</v>
      </c>
      <c r="C3" s="2" t="s">
        <v>271</v>
      </c>
      <c r="D3" t="s">
        <v>1204</v>
      </c>
      <c r="E3" t="s">
        <v>391</v>
      </c>
      <c r="F3" t="s">
        <v>192</v>
      </c>
      <c r="G3">
        <v>94</v>
      </c>
      <c r="H3" t="s">
        <v>1460</v>
      </c>
      <c r="I3" s="23" t="s">
        <v>192</v>
      </c>
      <c r="J3">
        <v>100</v>
      </c>
      <c r="K3" s="23" t="s">
        <v>1488</v>
      </c>
      <c r="L3" t="str">
        <f t="shared" ref="L3:L66" si="0">IF(COUNTIF(M:M, B3)&gt;0,$M$1,IF(COUNTIF(N:N, B3)&gt;0,$N$1,"no"))</f>
        <v>to dignose</v>
      </c>
      <c r="M3" s="1" t="s">
        <v>9</v>
      </c>
      <c r="N3" s="1" t="s">
        <v>8</v>
      </c>
    </row>
    <row r="4" spans="1:14" ht="19">
      <c r="A4">
        <v>3</v>
      </c>
      <c r="B4" s="1" t="s">
        <v>9</v>
      </c>
      <c r="C4" s="2" t="s">
        <v>271</v>
      </c>
      <c r="D4" t="s">
        <v>1202</v>
      </c>
      <c r="E4" t="s">
        <v>391</v>
      </c>
      <c r="F4" s="17" t="s">
        <v>192</v>
      </c>
      <c r="G4">
        <v>96</v>
      </c>
      <c r="H4" s="17" t="s">
        <v>1444</v>
      </c>
      <c r="I4" t="s">
        <v>192</v>
      </c>
      <c r="J4">
        <v>100</v>
      </c>
      <c r="K4" t="s">
        <v>1472</v>
      </c>
      <c r="L4" t="str">
        <f t="shared" si="0"/>
        <v>to dignose</v>
      </c>
      <c r="M4" s="1" t="s">
        <v>10</v>
      </c>
      <c r="N4" s="1" t="s">
        <v>9</v>
      </c>
    </row>
    <row r="5" spans="1:14" ht="19">
      <c r="A5">
        <v>4</v>
      </c>
      <c r="B5" s="1" t="s">
        <v>10</v>
      </c>
      <c r="C5" s="2" t="s">
        <v>271</v>
      </c>
      <c r="D5" t="s">
        <v>1204</v>
      </c>
      <c r="E5" t="s">
        <v>391</v>
      </c>
      <c r="F5" t="s">
        <v>201</v>
      </c>
      <c r="G5">
        <v>5</v>
      </c>
      <c r="H5" t="s">
        <v>1461</v>
      </c>
      <c r="I5" s="23" t="s">
        <v>192</v>
      </c>
      <c r="J5">
        <v>100</v>
      </c>
      <c r="K5" s="23" t="s">
        <v>1489</v>
      </c>
      <c r="L5" t="str">
        <f t="shared" si="0"/>
        <v>to dignose</v>
      </c>
      <c r="M5" s="1" t="s">
        <v>203</v>
      </c>
      <c r="N5" s="1" t="s">
        <v>10</v>
      </c>
    </row>
    <row r="6" spans="1:14" ht="19">
      <c r="A6">
        <v>5</v>
      </c>
      <c r="B6" s="1" t="s">
        <v>203</v>
      </c>
      <c r="C6" s="2" t="s">
        <v>267</v>
      </c>
      <c r="D6" t="s">
        <v>1203</v>
      </c>
      <c r="E6" t="s">
        <v>391</v>
      </c>
      <c r="F6" t="s">
        <v>201</v>
      </c>
      <c r="G6">
        <v>15</v>
      </c>
      <c r="H6" t="s">
        <v>1453</v>
      </c>
      <c r="I6" t="s">
        <v>192</v>
      </c>
      <c r="J6">
        <v>85</v>
      </c>
      <c r="K6" t="s">
        <v>1481</v>
      </c>
      <c r="L6" t="str">
        <f t="shared" si="0"/>
        <v>to dignose</v>
      </c>
      <c r="M6" s="1" t="s">
        <v>11</v>
      </c>
      <c r="N6" s="1" t="s">
        <v>203</v>
      </c>
    </row>
    <row r="7" spans="1:14" ht="19">
      <c r="A7">
        <v>6</v>
      </c>
      <c r="B7" s="1" t="s">
        <v>11</v>
      </c>
      <c r="C7" s="2" t="s">
        <v>271</v>
      </c>
      <c r="D7" t="s">
        <v>1203</v>
      </c>
      <c r="E7" t="s">
        <v>391</v>
      </c>
      <c r="F7" t="s">
        <v>201</v>
      </c>
      <c r="G7">
        <v>10</v>
      </c>
      <c r="H7" t="s">
        <v>1454</v>
      </c>
      <c r="I7" s="23" t="s">
        <v>192</v>
      </c>
      <c r="J7">
        <v>90</v>
      </c>
      <c r="K7" s="23" t="s">
        <v>1482</v>
      </c>
      <c r="L7" t="str">
        <f t="shared" si="0"/>
        <v>to dignose</v>
      </c>
      <c r="M7" s="1" t="s">
        <v>204</v>
      </c>
      <c r="N7" s="1" t="s">
        <v>11</v>
      </c>
    </row>
    <row r="8" spans="1:14" ht="19" hidden="1">
      <c r="A8">
        <v>7</v>
      </c>
      <c r="B8" s="1" t="s">
        <v>12</v>
      </c>
      <c r="C8" s="2" t="s">
        <v>271</v>
      </c>
      <c r="D8" t="s">
        <v>86</v>
      </c>
      <c r="E8" t="s">
        <v>391</v>
      </c>
      <c r="G8"/>
      <c r="I8">
        <v>1</v>
      </c>
      <c r="K8">
        <v>1</v>
      </c>
      <c r="L8" t="str">
        <f t="shared" si="0"/>
        <v>no</v>
      </c>
      <c r="M8" s="1" t="s">
        <v>13</v>
      </c>
      <c r="N8" s="1" t="s">
        <v>204</v>
      </c>
    </row>
    <row r="9" spans="1:14" ht="19">
      <c r="A9">
        <v>8</v>
      </c>
      <c r="B9" s="1" t="s">
        <v>204</v>
      </c>
      <c r="C9" s="2" t="s">
        <v>271</v>
      </c>
      <c r="D9" t="s">
        <v>1223</v>
      </c>
      <c r="E9" t="s">
        <v>391</v>
      </c>
      <c r="G9"/>
      <c r="L9" t="str">
        <f t="shared" si="0"/>
        <v>to dignose</v>
      </c>
      <c r="M9" s="1" t="s">
        <v>14</v>
      </c>
      <c r="N9" s="1" t="s">
        <v>13</v>
      </c>
    </row>
    <row r="10" spans="1:14" ht="19">
      <c r="A10">
        <v>9</v>
      </c>
      <c r="B10" s="1" t="s">
        <v>13</v>
      </c>
      <c r="C10" s="2" t="s">
        <v>271</v>
      </c>
      <c r="D10" t="s">
        <v>1203</v>
      </c>
      <c r="E10" t="s">
        <v>391</v>
      </c>
      <c r="F10" t="s">
        <v>201</v>
      </c>
      <c r="G10">
        <v>20</v>
      </c>
      <c r="H10" t="s">
        <v>1455</v>
      </c>
      <c r="I10" s="23" t="s">
        <v>201</v>
      </c>
      <c r="J10">
        <v>0</v>
      </c>
      <c r="K10" s="23" t="s">
        <v>1483</v>
      </c>
      <c r="L10" t="str">
        <f t="shared" si="0"/>
        <v>to dignose</v>
      </c>
      <c r="M10" s="1" t="s">
        <v>211</v>
      </c>
      <c r="N10" s="1" t="s">
        <v>14</v>
      </c>
    </row>
    <row r="11" spans="1:14" ht="19">
      <c r="A11">
        <v>10</v>
      </c>
      <c r="B11" s="1" t="s">
        <v>14</v>
      </c>
      <c r="C11" s="2" t="s">
        <v>271</v>
      </c>
      <c r="D11" t="s">
        <v>1201</v>
      </c>
      <c r="E11" t="s">
        <v>391</v>
      </c>
      <c r="F11" s="17" t="s">
        <v>192</v>
      </c>
      <c r="G11">
        <v>90</v>
      </c>
      <c r="H11" s="17" t="s">
        <v>1445</v>
      </c>
      <c r="I11" s="23" t="s">
        <v>192</v>
      </c>
      <c r="J11">
        <v>100</v>
      </c>
      <c r="K11" s="23" t="s">
        <v>1473</v>
      </c>
      <c r="L11" t="str">
        <f t="shared" si="0"/>
        <v>to dignose</v>
      </c>
      <c r="M11" s="1" t="s">
        <v>21</v>
      </c>
      <c r="N11" s="1" t="s">
        <v>208</v>
      </c>
    </row>
    <row r="12" spans="1:14" ht="19" hidden="1">
      <c r="A12">
        <v>11</v>
      </c>
      <c r="B12" s="1" t="s">
        <v>205</v>
      </c>
      <c r="C12" s="2" t="s">
        <v>269</v>
      </c>
      <c r="D12" t="s">
        <v>84</v>
      </c>
      <c r="E12" t="s">
        <v>391</v>
      </c>
      <c r="G12"/>
      <c r="I12">
        <v>1</v>
      </c>
      <c r="K12">
        <v>1</v>
      </c>
      <c r="L12" t="str">
        <f t="shared" si="0"/>
        <v>no</v>
      </c>
      <c r="M12" s="1" t="s">
        <v>22</v>
      </c>
      <c r="N12" s="1" t="s">
        <v>19</v>
      </c>
    </row>
    <row r="13" spans="1:14" ht="19" hidden="1">
      <c r="A13">
        <v>12</v>
      </c>
      <c r="B13" s="1" t="s">
        <v>206</v>
      </c>
      <c r="C13" s="2" t="s">
        <v>267</v>
      </c>
      <c r="D13" t="s">
        <v>84</v>
      </c>
      <c r="E13" t="s">
        <v>391</v>
      </c>
      <c r="G13"/>
      <c r="I13">
        <v>1</v>
      </c>
      <c r="K13">
        <v>1</v>
      </c>
      <c r="L13" t="str">
        <f t="shared" si="0"/>
        <v>no</v>
      </c>
      <c r="M13" s="1" t="s">
        <v>238</v>
      </c>
      <c r="N13" s="1" t="s">
        <v>20</v>
      </c>
    </row>
    <row r="14" spans="1:14" ht="19" hidden="1">
      <c r="A14">
        <v>13</v>
      </c>
      <c r="B14" s="1" t="s">
        <v>15</v>
      </c>
      <c r="C14" s="2" t="s">
        <v>271</v>
      </c>
      <c r="D14" t="s">
        <v>85</v>
      </c>
      <c r="E14" t="s">
        <v>391</v>
      </c>
      <c r="G14"/>
      <c r="I14">
        <v>1</v>
      </c>
      <c r="K14">
        <v>1</v>
      </c>
      <c r="L14" t="str">
        <f t="shared" si="0"/>
        <v>no</v>
      </c>
      <c r="M14" s="1" t="s">
        <v>28</v>
      </c>
      <c r="N14" s="1" t="s">
        <v>209</v>
      </c>
    </row>
    <row r="15" spans="1:14" ht="19" hidden="1">
      <c r="A15">
        <v>14</v>
      </c>
      <c r="B15" s="1" t="s">
        <v>207</v>
      </c>
      <c r="C15" s="2" t="s">
        <v>267</v>
      </c>
      <c r="D15" t="s">
        <v>84</v>
      </c>
      <c r="E15" t="s">
        <v>391</v>
      </c>
      <c r="G15"/>
      <c r="I15">
        <v>1</v>
      </c>
      <c r="K15">
        <v>1</v>
      </c>
      <c r="L15" t="str">
        <f t="shared" si="0"/>
        <v>no</v>
      </c>
      <c r="M15" s="1" t="s">
        <v>29</v>
      </c>
      <c r="N15" s="1" t="s">
        <v>210</v>
      </c>
    </row>
    <row r="16" spans="1:14" ht="19" hidden="1">
      <c r="A16">
        <v>15</v>
      </c>
      <c r="B16" s="1" t="s">
        <v>16</v>
      </c>
      <c r="C16" s="2" t="s">
        <v>271</v>
      </c>
      <c r="D16" t="s">
        <v>84</v>
      </c>
      <c r="E16" t="s">
        <v>391</v>
      </c>
      <c r="G16"/>
      <c r="I16">
        <v>1</v>
      </c>
      <c r="K16">
        <v>1</v>
      </c>
      <c r="L16" t="str">
        <f t="shared" si="0"/>
        <v>no</v>
      </c>
      <c r="M16" s="1" t="s">
        <v>30</v>
      </c>
      <c r="N16" s="1" t="s">
        <v>211</v>
      </c>
    </row>
    <row r="17" spans="1:14" ht="19" hidden="1">
      <c r="A17">
        <v>16</v>
      </c>
      <c r="B17" s="1" t="s">
        <v>17</v>
      </c>
      <c r="C17" s="2" t="s">
        <v>271</v>
      </c>
      <c r="D17" t="s">
        <v>84</v>
      </c>
      <c r="E17" t="s">
        <v>391</v>
      </c>
      <c r="G17"/>
      <c r="I17">
        <v>1</v>
      </c>
      <c r="K17">
        <v>1</v>
      </c>
      <c r="L17" t="str">
        <f t="shared" si="0"/>
        <v>no</v>
      </c>
      <c r="M17" s="1" t="s">
        <v>31</v>
      </c>
      <c r="N17" s="1" t="s">
        <v>212</v>
      </c>
    </row>
    <row r="18" spans="1:14" ht="19" hidden="1">
      <c r="A18">
        <v>17</v>
      </c>
      <c r="B18" s="1" t="s">
        <v>18</v>
      </c>
      <c r="C18" s="2" t="s">
        <v>271</v>
      </c>
      <c r="D18" t="s">
        <v>85</v>
      </c>
      <c r="E18" t="s">
        <v>391</v>
      </c>
      <c r="G18"/>
      <c r="I18">
        <v>1</v>
      </c>
      <c r="K18">
        <v>1</v>
      </c>
      <c r="L18" t="str">
        <f t="shared" si="0"/>
        <v>no</v>
      </c>
      <c r="M18" s="1" t="s">
        <v>33</v>
      </c>
      <c r="N18" s="1" t="s">
        <v>213</v>
      </c>
    </row>
    <row r="19" spans="1:14" ht="19">
      <c r="A19">
        <v>18</v>
      </c>
      <c r="B19" s="1" t="s">
        <v>208</v>
      </c>
      <c r="C19" s="2" t="s">
        <v>267</v>
      </c>
      <c r="D19" t="s">
        <v>84</v>
      </c>
      <c r="E19" t="s">
        <v>391</v>
      </c>
      <c r="F19" t="s">
        <v>192</v>
      </c>
      <c r="G19">
        <v>95</v>
      </c>
      <c r="H19" t="s">
        <v>1392</v>
      </c>
      <c r="I19" s="23" t="s">
        <v>192</v>
      </c>
      <c r="J19">
        <v>98</v>
      </c>
      <c r="K19" s="23" t="s">
        <v>1497</v>
      </c>
      <c r="L19" t="str">
        <f t="shared" si="0"/>
        <v>segmented videos list</v>
      </c>
      <c r="M19" s="1" t="s">
        <v>34</v>
      </c>
      <c r="N19" s="1" t="s">
        <v>21</v>
      </c>
    </row>
    <row r="20" spans="1:14" ht="19">
      <c r="A20">
        <v>19</v>
      </c>
      <c r="B20" s="1" t="s">
        <v>19</v>
      </c>
      <c r="C20" s="2" t="s">
        <v>271</v>
      </c>
      <c r="D20" t="s">
        <v>84</v>
      </c>
      <c r="E20" t="s">
        <v>391</v>
      </c>
      <c r="F20" t="s">
        <v>192</v>
      </c>
      <c r="G20">
        <v>90</v>
      </c>
      <c r="H20" t="s">
        <v>1393</v>
      </c>
      <c r="I20" s="23" t="s">
        <v>192</v>
      </c>
      <c r="J20">
        <v>96</v>
      </c>
      <c r="K20" s="23" t="s">
        <v>1498</v>
      </c>
      <c r="L20" t="str">
        <f t="shared" si="0"/>
        <v>segmented videos list</v>
      </c>
      <c r="M20" s="1" t="s">
        <v>37</v>
      </c>
      <c r="N20" s="1" t="s">
        <v>22</v>
      </c>
    </row>
    <row r="21" spans="1:14" ht="19">
      <c r="A21">
        <v>20</v>
      </c>
      <c r="B21" s="1" t="s">
        <v>20</v>
      </c>
      <c r="C21" s="2" t="s">
        <v>271</v>
      </c>
      <c r="D21" t="s">
        <v>84</v>
      </c>
      <c r="E21" t="s">
        <v>391</v>
      </c>
      <c r="F21" t="s">
        <v>192</v>
      </c>
      <c r="G21" s="13">
        <v>97</v>
      </c>
      <c r="H21" t="s">
        <v>1394</v>
      </c>
      <c r="I21" s="23" t="s">
        <v>192</v>
      </c>
      <c r="J21">
        <v>98</v>
      </c>
      <c r="K21" s="23" t="s">
        <v>1499</v>
      </c>
      <c r="L21" t="str">
        <f t="shared" si="0"/>
        <v>segmented videos list</v>
      </c>
      <c r="M21" s="1" t="s">
        <v>38</v>
      </c>
      <c r="N21" s="1" t="s">
        <v>217</v>
      </c>
    </row>
    <row r="22" spans="1:14" ht="19">
      <c r="A22">
        <v>21</v>
      </c>
      <c r="B22" s="1" t="s">
        <v>209</v>
      </c>
      <c r="C22" s="2" t="s">
        <v>272</v>
      </c>
      <c r="D22" t="s">
        <v>84</v>
      </c>
      <c r="E22" t="s">
        <v>391</v>
      </c>
      <c r="F22" t="s">
        <v>192</v>
      </c>
      <c r="G22" s="13">
        <v>96</v>
      </c>
      <c r="H22" t="s">
        <v>1395</v>
      </c>
      <c r="I22" s="23" t="s">
        <v>192</v>
      </c>
      <c r="J22">
        <v>99</v>
      </c>
      <c r="K22" s="23" t="s">
        <v>1500</v>
      </c>
      <c r="L22" t="str">
        <f t="shared" si="0"/>
        <v>segmented videos list</v>
      </c>
      <c r="M22" s="1" t="s">
        <v>40</v>
      </c>
      <c r="N22" s="1" t="s">
        <v>218</v>
      </c>
    </row>
    <row r="23" spans="1:14" ht="19">
      <c r="A23">
        <v>22</v>
      </c>
      <c r="B23" s="1" t="s">
        <v>210</v>
      </c>
      <c r="C23" s="2" t="s">
        <v>267</v>
      </c>
      <c r="D23" t="s">
        <v>84</v>
      </c>
      <c r="E23" t="s">
        <v>391</v>
      </c>
      <c r="F23" t="s">
        <v>192</v>
      </c>
      <c r="G23" s="13">
        <v>93</v>
      </c>
      <c r="H23" t="s">
        <v>1396</v>
      </c>
      <c r="I23" s="23" t="s">
        <v>192</v>
      </c>
      <c r="J23">
        <v>97</v>
      </c>
      <c r="K23" s="23" t="s">
        <v>1501</v>
      </c>
      <c r="L23" t="str">
        <f t="shared" si="0"/>
        <v>segmented videos list</v>
      </c>
      <c r="M23" s="1" t="s">
        <v>55</v>
      </c>
      <c r="N23" s="1" t="s">
        <v>220</v>
      </c>
    </row>
    <row r="24" spans="1:14" ht="19">
      <c r="A24">
        <v>23</v>
      </c>
      <c r="B24" s="1" t="s">
        <v>211</v>
      </c>
      <c r="C24" s="2" t="s">
        <v>271</v>
      </c>
      <c r="D24" t="s">
        <v>1204</v>
      </c>
      <c r="E24" t="s">
        <v>391</v>
      </c>
      <c r="F24" t="s">
        <v>201</v>
      </c>
      <c r="G24" s="13">
        <v>15</v>
      </c>
      <c r="H24" t="s">
        <v>1462</v>
      </c>
      <c r="I24" s="23" t="s">
        <v>201</v>
      </c>
      <c r="J24">
        <v>0</v>
      </c>
      <c r="K24" s="23" t="s">
        <v>1490</v>
      </c>
      <c r="L24" t="str">
        <f t="shared" si="0"/>
        <v>to dignose</v>
      </c>
      <c r="M24" s="1" t="s">
        <v>58</v>
      </c>
      <c r="N24" s="1" t="s">
        <v>221</v>
      </c>
    </row>
    <row r="25" spans="1:14" ht="19">
      <c r="A25">
        <v>24</v>
      </c>
      <c r="B25" s="1" t="s">
        <v>212</v>
      </c>
      <c r="C25" s="2" t="s">
        <v>273</v>
      </c>
      <c r="D25" t="s">
        <v>84</v>
      </c>
      <c r="E25" t="s">
        <v>391</v>
      </c>
      <c r="F25" t="s">
        <v>192</v>
      </c>
      <c r="G25" s="13">
        <v>94</v>
      </c>
      <c r="H25" t="s">
        <v>1397</v>
      </c>
      <c r="I25" s="23" t="s">
        <v>192</v>
      </c>
      <c r="J25">
        <v>98</v>
      </c>
      <c r="K25" s="23" t="s">
        <v>1502</v>
      </c>
      <c r="L25" t="str">
        <f t="shared" si="0"/>
        <v>segmented videos list</v>
      </c>
      <c r="M25" s="1" t="s">
        <v>255</v>
      </c>
      <c r="N25" s="1" t="s">
        <v>222</v>
      </c>
    </row>
    <row r="26" spans="1:14" ht="19">
      <c r="A26">
        <v>25</v>
      </c>
      <c r="B26" s="1" t="s">
        <v>213</v>
      </c>
      <c r="C26" s="2" t="s">
        <v>273</v>
      </c>
      <c r="D26" t="s">
        <v>84</v>
      </c>
      <c r="E26" t="s">
        <v>391</v>
      </c>
      <c r="F26" t="s">
        <v>192</v>
      </c>
      <c r="G26" s="13">
        <v>98</v>
      </c>
      <c r="H26" t="s">
        <v>1398</v>
      </c>
      <c r="I26" s="23" t="s">
        <v>192</v>
      </c>
      <c r="J26">
        <v>97</v>
      </c>
      <c r="K26" s="23" t="s">
        <v>1503</v>
      </c>
      <c r="L26" t="str">
        <f t="shared" si="0"/>
        <v>segmented videos list</v>
      </c>
      <c r="M26" s="1" t="s">
        <v>59</v>
      </c>
      <c r="N26" s="1" t="s">
        <v>223</v>
      </c>
    </row>
    <row r="27" spans="1:14" ht="19">
      <c r="A27">
        <v>26</v>
      </c>
      <c r="B27" s="1" t="s">
        <v>21</v>
      </c>
      <c r="C27" s="2" t="s">
        <v>271</v>
      </c>
      <c r="D27" t="s">
        <v>1230</v>
      </c>
      <c r="E27" t="s">
        <v>391</v>
      </c>
      <c r="F27" t="s">
        <v>201</v>
      </c>
      <c r="G27" s="13">
        <v>5</v>
      </c>
      <c r="H27" t="s">
        <v>1456</v>
      </c>
      <c r="I27" t="s">
        <v>201</v>
      </c>
      <c r="J27">
        <v>0</v>
      </c>
      <c r="K27" t="s">
        <v>1484</v>
      </c>
      <c r="L27" t="str">
        <f t="shared" si="0"/>
        <v>to dignose</v>
      </c>
      <c r="M27" s="1" t="s">
        <v>61</v>
      </c>
      <c r="N27" s="1" t="s">
        <v>27</v>
      </c>
    </row>
    <row r="28" spans="1:14" ht="19">
      <c r="A28">
        <v>27</v>
      </c>
      <c r="B28" s="1" t="s">
        <v>22</v>
      </c>
      <c r="C28" s="2" t="s">
        <v>271</v>
      </c>
      <c r="D28" t="s">
        <v>1231</v>
      </c>
      <c r="E28" t="s">
        <v>391</v>
      </c>
      <c r="F28" t="s">
        <v>201</v>
      </c>
      <c r="G28" s="13">
        <v>10</v>
      </c>
      <c r="H28" t="s">
        <v>1463</v>
      </c>
      <c r="I28" s="23" t="s">
        <v>201</v>
      </c>
      <c r="J28">
        <v>0</v>
      </c>
      <c r="K28" s="23" t="s">
        <v>1491</v>
      </c>
      <c r="L28" t="str">
        <f t="shared" si="0"/>
        <v>to dignose</v>
      </c>
      <c r="M28" s="1"/>
      <c r="N28" s="1" t="s">
        <v>224</v>
      </c>
    </row>
    <row r="29" spans="1:14" ht="19" hidden="1">
      <c r="A29">
        <v>28</v>
      </c>
      <c r="B29" s="1" t="s">
        <v>214</v>
      </c>
      <c r="C29" s="2" t="s">
        <v>269</v>
      </c>
      <c r="D29" t="s">
        <v>84</v>
      </c>
      <c r="E29" t="s">
        <v>391</v>
      </c>
      <c r="I29">
        <v>1</v>
      </c>
      <c r="K29">
        <v>1</v>
      </c>
      <c r="L29" t="str">
        <f t="shared" si="0"/>
        <v>no</v>
      </c>
      <c r="M29" s="1"/>
      <c r="N29" s="1" t="s">
        <v>225</v>
      </c>
    </row>
    <row r="30" spans="1:14" ht="19" hidden="1">
      <c r="A30">
        <v>29</v>
      </c>
      <c r="B30" s="1" t="s">
        <v>23</v>
      </c>
      <c r="C30" s="2" t="s">
        <v>271</v>
      </c>
      <c r="D30" t="s">
        <v>87</v>
      </c>
      <c r="E30" t="s">
        <v>391</v>
      </c>
      <c r="I30">
        <v>1</v>
      </c>
      <c r="K30">
        <v>1</v>
      </c>
      <c r="L30" t="str">
        <f t="shared" si="0"/>
        <v>no</v>
      </c>
      <c r="M30" s="1"/>
      <c r="N30" s="1" t="s">
        <v>226</v>
      </c>
    </row>
    <row r="31" spans="1:14" ht="19" hidden="1">
      <c r="A31">
        <v>30</v>
      </c>
      <c r="B31" s="1" t="s">
        <v>215</v>
      </c>
      <c r="C31" s="2" t="s">
        <v>269</v>
      </c>
      <c r="D31" t="s">
        <v>84</v>
      </c>
      <c r="E31" t="s">
        <v>391</v>
      </c>
      <c r="I31">
        <v>1</v>
      </c>
      <c r="K31">
        <v>1</v>
      </c>
      <c r="L31" t="str">
        <f t="shared" si="0"/>
        <v>no</v>
      </c>
      <c r="M31" s="1"/>
      <c r="N31" s="1" t="s">
        <v>227</v>
      </c>
    </row>
    <row r="32" spans="1:14" ht="19" hidden="1">
      <c r="A32">
        <v>31</v>
      </c>
      <c r="B32" s="1" t="s">
        <v>216</v>
      </c>
      <c r="C32" s="2" t="s">
        <v>269</v>
      </c>
      <c r="D32" t="s">
        <v>84</v>
      </c>
      <c r="E32" t="s">
        <v>391</v>
      </c>
      <c r="I32">
        <v>1</v>
      </c>
      <c r="K32">
        <v>1</v>
      </c>
      <c r="L32" t="str">
        <f t="shared" si="0"/>
        <v>no</v>
      </c>
      <c r="M32" s="1"/>
      <c r="N32" s="1" t="s">
        <v>228</v>
      </c>
    </row>
    <row r="33" spans="1:14" ht="19" hidden="1">
      <c r="A33">
        <v>32</v>
      </c>
      <c r="B33" s="1" t="s">
        <v>24</v>
      </c>
      <c r="C33" s="2" t="s">
        <v>271</v>
      </c>
      <c r="D33" t="s">
        <v>84</v>
      </c>
      <c r="E33" t="s">
        <v>391</v>
      </c>
      <c r="I33">
        <v>1</v>
      </c>
      <c r="K33">
        <v>1</v>
      </c>
      <c r="L33" t="str">
        <f t="shared" si="0"/>
        <v>no</v>
      </c>
      <c r="M33" s="1"/>
      <c r="N33" s="1" t="s">
        <v>229</v>
      </c>
    </row>
    <row r="34" spans="1:14" ht="19" hidden="1">
      <c r="A34">
        <v>33</v>
      </c>
      <c r="B34" s="1" t="s">
        <v>25</v>
      </c>
      <c r="C34" s="2" t="s">
        <v>271</v>
      </c>
      <c r="D34" t="s">
        <v>84</v>
      </c>
      <c r="E34" t="s">
        <v>391</v>
      </c>
      <c r="I34">
        <v>1</v>
      </c>
      <c r="K34">
        <v>1</v>
      </c>
      <c r="L34" t="str">
        <f t="shared" si="0"/>
        <v>no</v>
      </c>
      <c r="M34" s="1"/>
      <c r="N34" s="1" t="s">
        <v>230</v>
      </c>
    </row>
    <row r="35" spans="1:14" ht="19">
      <c r="A35">
        <v>34</v>
      </c>
      <c r="B35" s="1" t="s">
        <v>217</v>
      </c>
      <c r="C35" s="2" t="s">
        <v>267</v>
      </c>
      <c r="D35" t="s">
        <v>84</v>
      </c>
      <c r="E35" t="s">
        <v>391</v>
      </c>
      <c r="F35" t="s">
        <v>192</v>
      </c>
      <c r="G35" s="13">
        <v>92</v>
      </c>
      <c r="H35" t="s">
        <v>1399</v>
      </c>
      <c r="I35" s="23" t="s">
        <v>192</v>
      </c>
      <c r="J35">
        <v>99</v>
      </c>
      <c r="K35" s="23" t="s">
        <v>1504</v>
      </c>
      <c r="L35" t="str">
        <f t="shared" si="0"/>
        <v>segmented videos list</v>
      </c>
      <c r="M35" s="1"/>
      <c r="N35" s="1" t="s">
        <v>231</v>
      </c>
    </row>
    <row r="36" spans="1:14" ht="19">
      <c r="A36">
        <v>35</v>
      </c>
      <c r="B36" s="1" t="s">
        <v>218</v>
      </c>
      <c r="C36" s="2" t="s">
        <v>269</v>
      </c>
      <c r="D36" t="s">
        <v>84</v>
      </c>
      <c r="E36" t="s">
        <v>391</v>
      </c>
      <c r="F36" t="s">
        <v>192</v>
      </c>
      <c r="G36" s="13">
        <v>95</v>
      </c>
      <c r="H36" t="s">
        <v>1400</v>
      </c>
      <c r="I36" s="23" t="s">
        <v>192</v>
      </c>
      <c r="J36">
        <v>98</v>
      </c>
      <c r="K36" s="23" t="s">
        <v>1505</v>
      </c>
      <c r="L36" t="str">
        <f t="shared" si="0"/>
        <v>segmented videos list</v>
      </c>
      <c r="M36" s="1"/>
      <c r="N36" s="1" t="s">
        <v>232</v>
      </c>
    </row>
    <row r="37" spans="1:14" ht="19" hidden="1">
      <c r="A37">
        <v>36</v>
      </c>
      <c r="B37" s="1" t="s">
        <v>219</v>
      </c>
      <c r="C37" s="2" t="s">
        <v>269</v>
      </c>
      <c r="D37" t="s">
        <v>84</v>
      </c>
      <c r="E37" t="s">
        <v>391</v>
      </c>
      <c r="I37">
        <v>1</v>
      </c>
      <c r="K37">
        <v>1</v>
      </c>
      <c r="L37" t="str">
        <f t="shared" si="0"/>
        <v>no</v>
      </c>
      <c r="M37" s="1"/>
      <c r="N37" s="1" t="s">
        <v>233</v>
      </c>
    </row>
    <row r="38" spans="1:14" ht="19">
      <c r="A38">
        <v>37</v>
      </c>
      <c r="B38" s="1" t="s">
        <v>220</v>
      </c>
      <c r="C38" s="2" t="s">
        <v>269</v>
      </c>
      <c r="D38" t="s">
        <v>84</v>
      </c>
      <c r="E38" t="s">
        <v>391</v>
      </c>
      <c r="F38" t="s">
        <v>192</v>
      </c>
      <c r="G38" s="13">
        <v>97</v>
      </c>
      <c r="H38" t="s">
        <v>1401</v>
      </c>
      <c r="I38" s="23" t="s">
        <v>192</v>
      </c>
      <c r="J38">
        <v>99</v>
      </c>
      <c r="K38" s="23" t="s">
        <v>1506</v>
      </c>
      <c r="L38" t="str">
        <f t="shared" si="0"/>
        <v>segmented videos list</v>
      </c>
      <c r="M38" s="1"/>
      <c r="N38" s="1" t="s">
        <v>234</v>
      </c>
    </row>
    <row r="39" spans="1:14" ht="19">
      <c r="A39">
        <v>38</v>
      </c>
      <c r="B39" s="1" t="s">
        <v>221</v>
      </c>
      <c r="C39" s="2" t="s">
        <v>269</v>
      </c>
      <c r="D39" t="s">
        <v>84</v>
      </c>
      <c r="E39" t="s">
        <v>391</v>
      </c>
      <c r="F39" t="s">
        <v>201</v>
      </c>
      <c r="G39" s="13">
        <v>20</v>
      </c>
      <c r="H39" t="s">
        <v>1402</v>
      </c>
      <c r="I39" t="s">
        <v>192</v>
      </c>
      <c r="J39">
        <v>98</v>
      </c>
      <c r="K39" t="s">
        <v>1507</v>
      </c>
      <c r="L39" t="str">
        <f t="shared" si="0"/>
        <v>segmented videos list</v>
      </c>
      <c r="M39" s="1"/>
      <c r="N39" s="1" t="s">
        <v>235</v>
      </c>
    </row>
    <row r="40" spans="1:14" ht="19">
      <c r="A40">
        <v>39</v>
      </c>
      <c r="B40" s="1" t="s">
        <v>222</v>
      </c>
      <c r="C40" s="2" t="s">
        <v>267</v>
      </c>
      <c r="D40" t="s">
        <v>84</v>
      </c>
      <c r="E40" t="s">
        <v>391</v>
      </c>
      <c r="F40" t="s">
        <v>192</v>
      </c>
      <c r="G40" s="13">
        <v>90</v>
      </c>
      <c r="H40" t="s">
        <v>1403</v>
      </c>
      <c r="I40" s="23" t="s">
        <v>192</v>
      </c>
      <c r="J40">
        <v>98</v>
      </c>
      <c r="K40" s="23" t="s">
        <v>1508</v>
      </c>
      <c r="L40" t="str">
        <f t="shared" si="0"/>
        <v>segmented videos list</v>
      </c>
      <c r="M40" s="1"/>
      <c r="N40" s="1" t="s">
        <v>236</v>
      </c>
    </row>
    <row r="41" spans="1:14" ht="19" hidden="1">
      <c r="A41">
        <v>40</v>
      </c>
      <c r="B41" s="1" t="s">
        <v>26</v>
      </c>
      <c r="C41" s="2" t="s">
        <v>271</v>
      </c>
      <c r="D41" t="s">
        <v>84</v>
      </c>
      <c r="E41" t="s">
        <v>391</v>
      </c>
      <c r="I41">
        <v>1</v>
      </c>
      <c r="K41">
        <v>1</v>
      </c>
      <c r="L41" t="str">
        <f t="shared" si="0"/>
        <v>no</v>
      </c>
      <c r="M41" s="1"/>
      <c r="N41" s="1" t="s">
        <v>237</v>
      </c>
    </row>
    <row r="42" spans="1:14" ht="19">
      <c r="A42">
        <v>41</v>
      </c>
      <c r="B42" s="1" t="s">
        <v>223</v>
      </c>
      <c r="C42" s="2" t="s">
        <v>269</v>
      </c>
      <c r="D42" t="s">
        <v>84</v>
      </c>
      <c r="E42" t="s">
        <v>391</v>
      </c>
      <c r="F42" t="s">
        <v>192</v>
      </c>
      <c r="G42" s="13">
        <v>95</v>
      </c>
      <c r="H42" t="s">
        <v>1404</v>
      </c>
      <c r="I42" s="23" t="s">
        <v>192</v>
      </c>
      <c r="J42">
        <v>98</v>
      </c>
      <c r="K42" s="23" t="s">
        <v>1509</v>
      </c>
      <c r="L42" t="str">
        <f t="shared" si="0"/>
        <v>segmented videos list</v>
      </c>
      <c r="M42" s="1"/>
      <c r="N42" s="1" t="s">
        <v>238</v>
      </c>
    </row>
    <row r="43" spans="1:14" ht="19">
      <c r="A43">
        <v>42</v>
      </c>
      <c r="B43" s="1" t="s">
        <v>27</v>
      </c>
      <c r="C43" s="2" t="s">
        <v>271</v>
      </c>
      <c r="D43" t="s">
        <v>84</v>
      </c>
      <c r="E43" t="s">
        <v>391</v>
      </c>
      <c r="F43" t="s">
        <v>192</v>
      </c>
      <c r="G43" s="13">
        <v>85</v>
      </c>
      <c r="H43" t="s">
        <v>1405</v>
      </c>
      <c r="I43" s="23" t="s">
        <v>192</v>
      </c>
      <c r="J43">
        <v>98</v>
      </c>
      <c r="K43" s="23" t="s">
        <v>1510</v>
      </c>
      <c r="L43" t="str">
        <f t="shared" si="0"/>
        <v>segmented videos list</v>
      </c>
      <c r="M43" s="1"/>
      <c r="N43" s="1" t="s">
        <v>28</v>
      </c>
    </row>
    <row r="44" spans="1:14" ht="19">
      <c r="A44">
        <v>43</v>
      </c>
      <c r="B44" s="1" t="s">
        <v>224</v>
      </c>
      <c r="C44" s="2" t="s">
        <v>267</v>
      </c>
      <c r="D44" t="s">
        <v>84</v>
      </c>
      <c r="E44" t="s">
        <v>391</v>
      </c>
      <c r="F44" t="s">
        <v>192</v>
      </c>
      <c r="G44" s="13">
        <v>96</v>
      </c>
      <c r="H44" t="s">
        <v>1406</v>
      </c>
      <c r="I44" s="23" t="s">
        <v>192</v>
      </c>
      <c r="J44">
        <v>99</v>
      </c>
      <c r="K44" s="23" t="s">
        <v>1511</v>
      </c>
      <c r="L44" t="str">
        <f t="shared" si="0"/>
        <v>segmented videos list</v>
      </c>
      <c r="M44" s="1"/>
      <c r="N44" s="1" t="s">
        <v>29</v>
      </c>
    </row>
    <row r="45" spans="1:14" ht="19">
      <c r="A45">
        <v>44</v>
      </c>
      <c r="B45" s="1" t="s">
        <v>225</v>
      </c>
      <c r="C45" s="2" t="s">
        <v>274</v>
      </c>
      <c r="D45" t="s">
        <v>84</v>
      </c>
      <c r="E45" t="s">
        <v>391</v>
      </c>
      <c r="F45" t="s">
        <v>192</v>
      </c>
      <c r="G45" s="13">
        <v>90</v>
      </c>
      <c r="H45" t="s">
        <v>1407</v>
      </c>
      <c r="I45" s="23" t="s">
        <v>192</v>
      </c>
      <c r="J45">
        <v>98</v>
      </c>
      <c r="K45" s="23" t="s">
        <v>1512</v>
      </c>
      <c r="L45" t="str">
        <f t="shared" si="0"/>
        <v>segmented videos list</v>
      </c>
      <c r="M45" s="1"/>
      <c r="N45" s="1" t="s">
        <v>239</v>
      </c>
    </row>
    <row r="46" spans="1:14" ht="19">
      <c r="A46">
        <v>45</v>
      </c>
      <c r="B46" s="1" t="s">
        <v>226</v>
      </c>
      <c r="C46" s="2" t="s">
        <v>274</v>
      </c>
      <c r="D46" t="s">
        <v>84</v>
      </c>
      <c r="E46" t="s">
        <v>391</v>
      </c>
      <c r="F46" t="s">
        <v>192</v>
      </c>
      <c r="G46" s="13">
        <v>97</v>
      </c>
      <c r="H46" t="s">
        <v>1408</v>
      </c>
      <c r="I46" s="23" t="s">
        <v>192</v>
      </c>
      <c r="J46">
        <v>100</v>
      </c>
      <c r="K46" s="23" t="s">
        <v>1514</v>
      </c>
      <c r="L46" t="str">
        <f t="shared" si="0"/>
        <v>segmented videos list</v>
      </c>
      <c r="M46" s="1"/>
      <c r="N46" s="1" t="s">
        <v>30</v>
      </c>
    </row>
    <row r="47" spans="1:14" ht="19">
      <c r="A47">
        <v>46</v>
      </c>
      <c r="B47" s="1" t="s">
        <v>227</v>
      </c>
      <c r="C47" s="2" t="s">
        <v>269</v>
      </c>
      <c r="D47" t="s">
        <v>84</v>
      </c>
      <c r="E47" t="s">
        <v>391</v>
      </c>
      <c r="F47" t="s">
        <v>201</v>
      </c>
      <c r="G47" s="13">
        <v>15</v>
      </c>
      <c r="H47" t="s">
        <v>1409</v>
      </c>
      <c r="I47" s="23" t="s">
        <v>192</v>
      </c>
      <c r="J47">
        <v>98</v>
      </c>
      <c r="K47" s="23" t="s">
        <v>1513</v>
      </c>
      <c r="L47" t="str">
        <f t="shared" si="0"/>
        <v>segmented videos list</v>
      </c>
      <c r="M47" s="1"/>
      <c r="N47" s="1" t="s">
        <v>240</v>
      </c>
    </row>
    <row r="48" spans="1:14" ht="19">
      <c r="A48">
        <v>47</v>
      </c>
      <c r="B48" s="1" t="s">
        <v>228</v>
      </c>
      <c r="C48" s="2" t="s">
        <v>269</v>
      </c>
      <c r="D48" t="s">
        <v>84</v>
      </c>
      <c r="E48" t="s">
        <v>391</v>
      </c>
      <c r="F48" t="s">
        <v>192</v>
      </c>
      <c r="G48" s="13">
        <v>88</v>
      </c>
      <c r="H48" t="s">
        <v>1410</v>
      </c>
      <c r="I48" s="23" t="s">
        <v>192</v>
      </c>
      <c r="J48">
        <v>100</v>
      </c>
      <c r="K48" s="23" t="s">
        <v>1515</v>
      </c>
      <c r="L48" t="str">
        <f t="shared" si="0"/>
        <v>segmented videos list</v>
      </c>
      <c r="M48" s="1"/>
      <c r="N48" s="1" t="s">
        <v>31</v>
      </c>
    </row>
    <row r="49" spans="1:14" ht="19">
      <c r="A49">
        <v>48</v>
      </c>
      <c r="B49" s="1" t="s">
        <v>229</v>
      </c>
      <c r="C49" s="2" t="s">
        <v>269</v>
      </c>
      <c r="D49" t="s">
        <v>84</v>
      </c>
      <c r="E49" t="s">
        <v>391</v>
      </c>
      <c r="F49" t="s">
        <v>192</v>
      </c>
      <c r="G49" s="13">
        <v>94</v>
      </c>
      <c r="H49" t="s">
        <v>1411</v>
      </c>
      <c r="I49" s="23" t="s">
        <v>192</v>
      </c>
      <c r="J49">
        <v>100</v>
      </c>
      <c r="K49" s="23" t="s">
        <v>1516</v>
      </c>
      <c r="L49" t="str">
        <f t="shared" si="0"/>
        <v>segmented videos list</v>
      </c>
      <c r="M49" s="1"/>
      <c r="N49" s="1" t="s">
        <v>241</v>
      </c>
    </row>
    <row r="50" spans="1:14" ht="19">
      <c r="A50">
        <v>49</v>
      </c>
      <c r="B50" s="1" t="s">
        <v>230</v>
      </c>
      <c r="C50" s="2" t="s">
        <v>269</v>
      </c>
      <c r="D50" t="s">
        <v>84</v>
      </c>
      <c r="E50" t="s">
        <v>391</v>
      </c>
      <c r="F50" t="s">
        <v>192</v>
      </c>
      <c r="G50" s="13">
        <v>93</v>
      </c>
      <c r="H50" t="s">
        <v>1412</v>
      </c>
      <c r="I50" s="23" t="s">
        <v>192</v>
      </c>
      <c r="J50">
        <v>100</v>
      </c>
      <c r="K50" s="23" t="s">
        <v>1517</v>
      </c>
      <c r="L50" t="str">
        <f t="shared" si="0"/>
        <v>segmented videos list</v>
      </c>
      <c r="M50" s="1"/>
      <c r="N50" s="1" t="s">
        <v>32</v>
      </c>
    </row>
    <row r="51" spans="1:14" ht="19">
      <c r="A51">
        <v>50</v>
      </c>
      <c r="B51" s="1" t="s">
        <v>231</v>
      </c>
      <c r="C51" s="2" t="s">
        <v>269</v>
      </c>
      <c r="D51" t="s">
        <v>84</v>
      </c>
      <c r="E51" t="s">
        <v>391</v>
      </c>
      <c r="F51" t="s">
        <v>192</v>
      </c>
      <c r="G51" s="13">
        <v>95</v>
      </c>
      <c r="H51" t="s">
        <v>1413</v>
      </c>
      <c r="I51" s="23" t="s">
        <v>192</v>
      </c>
      <c r="J51">
        <v>100</v>
      </c>
      <c r="K51" s="23" t="s">
        <v>1518</v>
      </c>
      <c r="L51" t="str">
        <f t="shared" si="0"/>
        <v>segmented videos list</v>
      </c>
      <c r="M51" s="1"/>
      <c r="N51" s="1" t="s">
        <v>33</v>
      </c>
    </row>
    <row r="52" spans="1:14" ht="19">
      <c r="A52">
        <v>51</v>
      </c>
      <c r="B52" s="1" t="s">
        <v>232</v>
      </c>
      <c r="C52" s="2" t="s">
        <v>274</v>
      </c>
      <c r="D52" t="s">
        <v>84</v>
      </c>
      <c r="E52" t="s">
        <v>391</v>
      </c>
      <c r="F52" t="s">
        <v>192</v>
      </c>
      <c r="G52" s="13">
        <v>92</v>
      </c>
      <c r="H52" t="s">
        <v>1414</v>
      </c>
      <c r="I52" s="24" t="s">
        <v>192</v>
      </c>
      <c r="J52">
        <v>100</v>
      </c>
      <c r="K52" s="24" t="s">
        <v>1520</v>
      </c>
      <c r="L52" t="str">
        <f t="shared" si="0"/>
        <v>segmented videos list</v>
      </c>
      <c r="M52" s="1"/>
      <c r="N52" s="1" t="s">
        <v>34</v>
      </c>
    </row>
    <row r="53" spans="1:14" ht="19">
      <c r="A53">
        <v>52</v>
      </c>
      <c r="B53" s="1" t="s">
        <v>233</v>
      </c>
      <c r="C53" s="2" t="s">
        <v>274</v>
      </c>
      <c r="D53" t="s">
        <v>84</v>
      </c>
      <c r="E53" t="s">
        <v>391</v>
      </c>
      <c r="F53" t="s">
        <v>192</v>
      </c>
      <c r="G53" s="13">
        <v>87</v>
      </c>
      <c r="H53" t="s">
        <v>1415</v>
      </c>
      <c r="I53" s="24" t="s">
        <v>192</v>
      </c>
      <c r="J53">
        <v>100</v>
      </c>
      <c r="K53" s="24" t="s">
        <v>1521</v>
      </c>
      <c r="L53" t="str">
        <f t="shared" si="0"/>
        <v>segmented videos list</v>
      </c>
      <c r="M53" s="1"/>
      <c r="N53" s="1" t="s">
        <v>35</v>
      </c>
    </row>
    <row r="54" spans="1:14" ht="19">
      <c r="A54">
        <v>53</v>
      </c>
      <c r="B54" s="1" t="s">
        <v>234</v>
      </c>
      <c r="C54" s="2" t="s">
        <v>274</v>
      </c>
      <c r="D54" t="s">
        <v>84</v>
      </c>
      <c r="E54" t="s">
        <v>391</v>
      </c>
      <c r="F54" t="s">
        <v>201</v>
      </c>
      <c r="G54" s="13">
        <v>20</v>
      </c>
      <c r="H54" t="s">
        <v>1416</v>
      </c>
      <c r="I54" s="24" t="s">
        <v>192</v>
      </c>
      <c r="J54">
        <v>100</v>
      </c>
      <c r="K54" s="24" t="s">
        <v>1522</v>
      </c>
      <c r="L54" t="str">
        <f t="shared" si="0"/>
        <v>segmented videos list</v>
      </c>
      <c r="M54" s="1"/>
      <c r="N54" s="1" t="s">
        <v>36</v>
      </c>
    </row>
    <row r="55" spans="1:14" ht="19">
      <c r="A55">
        <v>54</v>
      </c>
      <c r="B55" s="1" t="s">
        <v>235</v>
      </c>
      <c r="C55" s="2" t="s">
        <v>274</v>
      </c>
      <c r="D55" t="s">
        <v>84</v>
      </c>
      <c r="E55" t="s">
        <v>391</v>
      </c>
      <c r="F55" t="s">
        <v>192</v>
      </c>
      <c r="G55" s="13">
        <v>91</v>
      </c>
      <c r="H55" t="s">
        <v>1417</v>
      </c>
      <c r="I55" s="24" t="s">
        <v>192</v>
      </c>
      <c r="J55">
        <v>100</v>
      </c>
      <c r="K55" s="24" t="s">
        <v>1523</v>
      </c>
      <c r="L55" t="str">
        <f t="shared" si="0"/>
        <v>segmented videos list</v>
      </c>
      <c r="M55" s="1"/>
      <c r="N55" s="1" t="s">
        <v>37</v>
      </c>
    </row>
    <row r="56" spans="1:14" ht="19">
      <c r="A56">
        <v>55</v>
      </c>
      <c r="B56" s="1" t="s">
        <v>236</v>
      </c>
      <c r="C56" s="2" t="s">
        <v>269</v>
      </c>
      <c r="D56" t="s">
        <v>84</v>
      </c>
      <c r="E56" t="s">
        <v>391</v>
      </c>
      <c r="F56" t="s">
        <v>192</v>
      </c>
      <c r="G56" s="13">
        <v>89</v>
      </c>
      <c r="H56" t="s">
        <v>1418</v>
      </c>
      <c r="I56" s="24" t="s">
        <v>192</v>
      </c>
      <c r="J56">
        <v>100</v>
      </c>
      <c r="K56" s="24" t="s">
        <v>1524</v>
      </c>
      <c r="L56" t="str">
        <f t="shared" si="0"/>
        <v>segmented videos list</v>
      </c>
      <c r="M56" s="1"/>
      <c r="N56" s="1" t="s">
        <v>38</v>
      </c>
    </row>
    <row r="57" spans="1:14" ht="19">
      <c r="A57">
        <v>56</v>
      </c>
      <c r="B57" s="1" t="s">
        <v>237</v>
      </c>
      <c r="C57" s="2" t="s">
        <v>269</v>
      </c>
      <c r="D57" t="s">
        <v>84</v>
      </c>
      <c r="E57" t="s">
        <v>391</v>
      </c>
      <c r="F57" t="s">
        <v>201</v>
      </c>
      <c r="G57" s="13">
        <v>10</v>
      </c>
      <c r="H57" t="s">
        <v>1419</v>
      </c>
      <c r="I57" s="24" t="s">
        <v>192</v>
      </c>
      <c r="J57">
        <v>98</v>
      </c>
      <c r="K57" s="24" t="s">
        <v>1519</v>
      </c>
      <c r="L57" t="str">
        <f t="shared" si="0"/>
        <v>segmented videos list</v>
      </c>
      <c r="M57" s="1"/>
      <c r="N57" s="1" t="s">
        <v>39</v>
      </c>
    </row>
    <row r="58" spans="1:14" ht="19">
      <c r="A58">
        <v>57</v>
      </c>
      <c r="B58" s="1" t="s">
        <v>238</v>
      </c>
      <c r="C58" s="2" t="s">
        <v>269</v>
      </c>
      <c r="D58" t="s">
        <v>1201</v>
      </c>
      <c r="E58" t="s">
        <v>391</v>
      </c>
      <c r="F58" s="17" t="s">
        <v>201</v>
      </c>
      <c r="G58" s="13">
        <v>40</v>
      </c>
      <c r="H58" s="17" t="s">
        <v>1446</v>
      </c>
      <c r="I58" t="s">
        <v>201</v>
      </c>
      <c r="J58">
        <v>0</v>
      </c>
      <c r="K58" t="s">
        <v>1474</v>
      </c>
      <c r="L58" t="str">
        <f t="shared" si="0"/>
        <v>to dignose</v>
      </c>
      <c r="M58" s="1"/>
      <c r="N58" s="1" t="s">
        <v>242</v>
      </c>
    </row>
    <row r="59" spans="1:14" ht="19">
      <c r="A59">
        <v>58</v>
      </c>
      <c r="B59" s="1" t="s">
        <v>28</v>
      </c>
      <c r="C59" s="2" t="s">
        <v>271</v>
      </c>
      <c r="D59" t="s">
        <v>1201</v>
      </c>
      <c r="E59" t="s">
        <v>391</v>
      </c>
      <c r="F59" s="17" t="s">
        <v>201</v>
      </c>
      <c r="G59" s="13">
        <v>25</v>
      </c>
      <c r="H59" s="17" t="s">
        <v>1447</v>
      </c>
      <c r="I59" s="23" t="s">
        <v>201</v>
      </c>
      <c r="J59">
        <v>0</v>
      </c>
      <c r="K59" s="23" t="s">
        <v>1475</v>
      </c>
      <c r="L59" t="str">
        <f t="shared" si="0"/>
        <v>to dignose</v>
      </c>
      <c r="M59" s="1"/>
      <c r="N59" s="1" t="s">
        <v>40</v>
      </c>
    </row>
    <row r="60" spans="1:14" ht="19">
      <c r="A60">
        <v>59</v>
      </c>
      <c r="B60" s="1" t="s">
        <v>29</v>
      </c>
      <c r="C60" s="2" t="s">
        <v>271</v>
      </c>
      <c r="D60" t="s">
        <v>1204</v>
      </c>
      <c r="E60" t="s">
        <v>391</v>
      </c>
      <c r="F60" t="s">
        <v>201</v>
      </c>
      <c r="G60" s="13">
        <v>30</v>
      </c>
      <c r="H60" t="s">
        <v>1464</v>
      </c>
      <c r="I60" t="s">
        <v>201</v>
      </c>
      <c r="J60">
        <v>0</v>
      </c>
      <c r="K60" t="s">
        <v>1492</v>
      </c>
      <c r="L60" t="str">
        <f t="shared" si="0"/>
        <v>to dignose</v>
      </c>
      <c r="M60" s="1"/>
      <c r="N60" s="1" t="s">
        <v>251</v>
      </c>
    </row>
    <row r="61" spans="1:14" ht="19">
      <c r="A61">
        <v>60</v>
      </c>
      <c r="B61" s="1" t="s">
        <v>239</v>
      </c>
      <c r="C61" s="2" t="s">
        <v>269</v>
      </c>
      <c r="D61" t="s">
        <v>84</v>
      </c>
      <c r="E61" t="s">
        <v>391</v>
      </c>
      <c r="F61" t="s">
        <v>192</v>
      </c>
      <c r="G61" s="13">
        <v>96</v>
      </c>
      <c r="H61" t="s">
        <v>1420</v>
      </c>
      <c r="I61" s="24" t="s">
        <v>192</v>
      </c>
      <c r="J61">
        <v>100</v>
      </c>
      <c r="K61" s="24" t="s">
        <v>1525</v>
      </c>
      <c r="L61" t="str">
        <f t="shared" si="0"/>
        <v>segmented videos list</v>
      </c>
      <c r="M61" s="1"/>
      <c r="N61" s="1" t="s">
        <v>54</v>
      </c>
    </row>
    <row r="62" spans="1:14" ht="19">
      <c r="A62">
        <v>61</v>
      </c>
      <c r="B62" s="1" t="s">
        <v>30</v>
      </c>
      <c r="C62" s="2" t="s">
        <v>271</v>
      </c>
      <c r="D62" t="s">
        <v>1201</v>
      </c>
      <c r="E62" t="s">
        <v>391</v>
      </c>
      <c r="F62" s="17" t="s">
        <v>201</v>
      </c>
      <c r="G62" s="13">
        <v>10</v>
      </c>
      <c r="H62" s="17" t="s">
        <v>1448</v>
      </c>
      <c r="I62" s="23" t="s">
        <v>201</v>
      </c>
      <c r="J62">
        <v>0</v>
      </c>
      <c r="K62" s="23" t="s">
        <v>1476</v>
      </c>
      <c r="L62" t="str">
        <f t="shared" si="0"/>
        <v>to dignose</v>
      </c>
      <c r="M62" s="1"/>
      <c r="N62" s="1" t="s">
        <v>55</v>
      </c>
    </row>
    <row r="63" spans="1:14" ht="19">
      <c r="A63">
        <v>62</v>
      </c>
      <c r="B63" s="1" t="s">
        <v>240</v>
      </c>
      <c r="C63" s="2" t="s">
        <v>269</v>
      </c>
      <c r="D63" t="s">
        <v>84</v>
      </c>
      <c r="E63" t="s">
        <v>391</v>
      </c>
      <c r="F63" t="s">
        <v>201</v>
      </c>
      <c r="G63" s="13">
        <v>5</v>
      </c>
      <c r="H63" t="s">
        <v>1421</v>
      </c>
      <c r="I63" s="24" t="s">
        <v>192</v>
      </c>
      <c r="J63">
        <v>100</v>
      </c>
      <c r="K63" s="24" t="s">
        <v>1525</v>
      </c>
      <c r="L63" t="str">
        <f t="shared" si="0"/>
        <v>segmented videos list</v>
      </c>
      <c r="M63" s="1"/>
      <c r="N63" s="1" t="s">
        <v>252</v>
      </c>
    </row>
    <row r="64" spans="1:14" ht="19">
      <c r="A64">
        <v>63</v>
      </c>
      <c r="B64" s="1" t="s">
        <v>31</v>
      </c>
      <c r="C64" s="2" t="s">
        <v>271</v>
      </c>
      <c r="D64" t="s">
        <v>1201</v>
      </c>
      <c r="E64" t="s">
        <v>391</v>
      </c>
      <c r="F64" s="17" t="s">
        <v>201</v>
      </c>
      <c r="G64" s="13">
        <v>5</v>
      </c>
      <c r="H64" s="17" t="s">
        <v>1449</v>
      </c>
      <c r="I64" s="23" t="s">
        <v>201</v>
      </c>
      <c r="J64">
        <v>0</v>
      </c>
      <c r="K64" s="23" t="s">
        <v>1477</v>
      </c>
      <c r="L64" t="str">
        <f t="shared" si="0"/>
        <v>to dignose</v>
      </c>
      <c r="M64" s="1"/>
      <c r="N64" s="1" t="s">
        <v>56</v>
      </c>
    </row>
    <row r="65" spans="1:14" ht="19">
      <c r="A65">
        <v>64</v>
      </c>
      <c r="B65" s="1" t="s">
        <v>241</v>
      </c>
      <c r="C65" s="2" t="s">
        <v>269</v>
      </c>
      <c r="D65" t="s">
        <v>84</v>
      </c>
      <c r="E65" t="s">
        <v>391</v>
      </c>
      <c r="F65" t="s">
        <v>192</v>
      </c>
      <c r="G65" s="13">
        <v>88</v>
      </c>
      <c r="H65" t="s">
        <v>1422</v>
      </c>
      <c r="I65" s="24" t="s">
        <v>192</v>
      </c>
      <c r="J65">
        <v>100</v>
      </c>
      <c r="K65" s="24" t="s">
        <v>1526</v>
      </c>
      <c r="L65" t="str">
        <f t="shared" si="0"/>
        <v>segmented videos list</v>
      </c>
      <c r="M65" s="1"/>
      <c r="N65" s="1" t="s">
        <v>253</v>
      </c>
    </row>
    <row r="66" spans="1:14" ht="19">
      <c r="A66">
        <v>65</v>
      </c>
      <c r="B66" s="1" t="s">
        <v>32</v>
      </c>
      <c r="C66" s="2" t="s">
        <v>271</v>
      </c>
      <c r="D66" t="s">
        <v>84</v>
      </c>
      <c r="E66" t="s">
        <v>391</v>
      </c>
      <c r="F66" t="s">
        <v>201</v>
      </c>
      <c r="G66" s="13">
        <v>12</v>
      </c>
      <c r="H66" t="s">
        <v>1423</v>
      </c>
      <c r="I66" t="s">
        <v>192</v>
      </c>
      <c r="J66">
        <v>100</v>
      </c>
      <c r="K66" s="24" t="s">
        <v>1531</v>
      </c>
      <c r="L66" t="str">
        <f t="shared" si="0"/>
        <v>segmented videos list</v>
      </c>
      <c r="M66" s="1"/>
      <c r="N66" s="1" t="s">
        <v>57</v>
      </c>
    </row>
    <row r="67" spans="1:14" ht="19">
      <c r="A67">
        <v>66</v>
      </c>
      <c r="B67" s="1" t="s">
        <v>33</v>
      </c>
      <c r="C67" s="2" t="s">
        <v>271</v>
      </c>
      <c r="D67" t="s">
        <v>1204</v>
      </c>
      <c r="E67" t="s">
        <v>391</v>
      </c>
      <c r="F67" t="s">
        <v>201</v>
      </c>
      <c r="G67" s="13">
        <v>5</v>
      </c>
      <c r="H67" t="s">
        <v>1465</v>
      </c>
      <c r="I67" s="23" t="s">
        <v>201</v>
      </c>
      <c r="J67">
        <v>0</v>
      </c>
      <c r="K67" s="23" t="s">
        <v>1493</v>
      </c>
      <c r="L67" t="str">
        <f t="shared" ref="L67:L130" si="1">IF(COUNTIF(M:M, B67)&gt;0,$M$1,IF(COUNTIF(N:N, B67)&gt;0,$N$1,"no"))</f>
        <v>to dignose</v>
      </c>
      <c r="M67" s="1"/>
      <c r="N67" s="1" t="s">
        <v>58</v>
      </c>
    </row>
    <row r="68" spans="1:14" ht="19">
      <c r="A68">
        <v>67</v>
      </c>
      <c r="B68" s="1" t="s">
        <v>34</v>
      </c>
      <c r="C68" s="2" t="s">
        <v>271</v>
      </c>
      <c r="D68" t="s">
        <v>1204</v>
      </c>
      <c r="E68" t="s">
        <v>391</v>
      </c>
      <c r="F68" t="s">
        <v>201</v>
      </c>
      <c r="G68" s="13">
        <v>20</v>
      </c>
      <c r="H68" t="s">
        <v>1466</v>
      </c>
      <c r="I68" s="23" t="s">
        <v>201</v>
      </c>
      <c r="J68">
        <v>0</v>
      </c>
      <c r="K68" s="23" t="s">
        <v>1494</v>
      </c>
      <c r="L68" t="str">
        <f t="shared" si="1"/>
        <v>to dignose</v>
      </c>
      <c r="M68" s="1"/>
      <c r="N68" s="1" t="s">
        <v>254</v>
      </c>
    </row>
    <row r="69" spans="1:14" ht="19">
      <c r="A69">
        <v>68</v>
      </c>
      <c r="B69" s="1" t="s">
        <v>35</v>
      </c>
      <c r="C69" s="2" t="s">
        <v>271</v>
      </c>
      <c r="D69" t="s">
        <v>85</v>
      </c>
      <c r="E69" t="s">
        <v>391</v>
      </c>
      <c r="F69" t="s">
        <v>192</v>
      </c>
      <c r="G69" s="13">
        <v>98</v>
      </c>
      <c r="H69" t="s">
        <v>1424</v>
      </c>
      <c r="I69" t="s">
        <v>192</v>
      </c>
      <c r="J69">
        <v>95</v>
      </c>
      <c r="K69" s="24" t="s">
        <v>1532</v>
      </c>
      <c r="L69" t="str">
        <f t="shared" si="1"/>
        <v>segmented videos list</v>
      </c>
      <c r="M69" s="1"/>
      <c r="N69" s="1" t="s">
        <v>255</v>
      </c>
    </row>
    <row r="70" spans="1:14" ht="19">
      <c r="A70">
        <v>69</v>
      </c>
      <c r="B70" s="1" t="s">
        <v>36</v>
      </c>
      <c r="C70" s="2" t="s">
        <v>271</v>
      </c>
      <c r="D70" t="s">
        <v>85</v>
      </c>
      <c r="E70" t="s">
        <v>391</v>
      </c>
      <c r="F70" t="s">
        <v>192</v>
      </c>
      <c r="G70" s="13">
        <v>93</v>
      </c>
      <c r="H70" t="s">
        <v>1425</v>
      </c>
      <c r="I70" t="s">
        <v>192</v>
      </c>
      <c r="J70">
        <v>100</v>
      </c>
      <c r="K70" s="24" t="s">
        <v>1533</v>
      </c>
      <c r="L70" t="str">
        <f t="shared" si="1"/>
        <v>segmented videos list</v>
      </c>
      <c r="M70" s="1"/>
      <c r="N70" s="1" t="s">
        <v>257</v>
      </c>
    </row>
    <row r="71" spans="1:14" ht="19">
      <c r="A71">
        <v>70</v>
      </c>
      <c r="B71" s="1" t="s">
        <v>37</v>
      </c>
      <c r="C71" s="2" t="s">
        <v>271</v>
      </c>
      <c r="D71" t="s">
        <v>1204</v>
      </c>
      <c r="E71" t="s">
        <v>391</v>
      </c>
      <c r="F71" t="s">
        <v>192</v>
      </c>
      <c r="G71" s="13">
        <v>97</v>
      </c>
      <c r="H71" t="s">
        <v>1467</v>
      </c>
      <c r="I71" s="23" t="s">
        <v>192</v>
      </c>
      <c r="J71">
        <v>95</v>
      </c>
      <c r="K71" s="23" t="s">
        <v>1495</v>
      </c>
      <c r="L71" t="str">
        <f t="shared" si="1"/>
        <v>to dignose</v>
      </c>
      <c r="M71" s="1"/>
      <c r="N71" s="1" t="s">
        <v>264</v>
      </c>
    </row>
    <row r="72" spans="1:14" ht="19">
      <c r="A72">
        <v>71</v>
      </c>
      <c r="B72" s="1" t="s">
        <v>38</v>
      </c>
      <c r="C72" s="2" t="s">
        <v>271</v>
      </c>
      <c r="D72" t="s">
        <v>1201</v>
      </c>
      <c r="E72" t="s">
        <v>391</v>
      </c>
      <c r="F72" s="17" t="s">
        <v>192</v>
      </c>
      <c r="G72" s="13">
        <v>98</v>
      </c>
      <c r="H72" s="17" t="s">
        <v>1450</v>
      </c>
      <c r="I72" s="23" t="s">
        <v>192</v>
      </c>
      <c r="J72">
        <v>100</v>
      </c>
      <c r="K72" s="23" t="s">
        <v>1478</v>
      </c>
      <c r="L72" t="str">
        <f t="shared" si="1"/>
        <v>to dignose</v>
      </c>
      <c r="M72" s="1"/>
      <c r="N72" s="1" t="s">
        <v>59</v>
      </c>
    </row>
    <row r="73" spans="1:14" ht="19">
      <c r="A73">
        <v>72</v>
      </c>
      <c r="B73" s="1" t="s">
        <v>39</v>
      </c>
      <c r="C73" s="2" t="s">
        <v>271</v>
      </c>
      <c r="D73" t="s">
        <v>84</v>
      </c>
      <c r="E73" t="s">
        <v>391</v>
      </c>
      <c r="F73" t="s">
        <v>192</v>
      </c>
      <c r="G73" s="13">
        <v>90</v>
      </c>
      <c r="H73" t="s">
        <v>1426</v>
      </c>
      <c r="I73" t="s">
        <v>192</v>
      </c>
      <c r="J73">
        <v>100</v>
      </c>
      <c r="K73" s="24" t="s">
        <v>1534</v>
      </c>
      <c r="L73" t="str">
        <f t="shared" si="1"/>
        <v>segmented videos list</v>
      </c>
      <c r="M73" s="1"/>
      <c r="N73" s="1" t="s">
        <v>60</v>
      </c>
    </row>
    <row r="74" spans="1:14" ht="19">
      <c r="A74">
        <v>73</v>
      </c>
      <c r="B74" s="1" t="s">
        <v>242</v>
      </c>
      <c r="C74" s="2" t="s">
        <v>267</v>
      </c>
      <c r="D74" t="s">
        <v>84</v>
      </c>
      <c r="E74" t="s">
        <v>391</v>
      </c>
      <c r="F74" t="s">
        <v>192</v>
      </c>
      <c r="G74" s="13">
        <v>94</v>
      </c>
      <c r="H74" t="s">
        <v>1429</v>
      </c>
      <c r="I74" t="s">
        <v>192</v>
      </c>
      <c r="J74">
        <v>100</v>
      </c>
      <c r="K74" s="24" t="s">
        <v>1535</v>
      </c>
      <c r="L74" t="str">
        <f t="shared" si="1"/>
        <v>segmented videos list</v>
      </c>
      <c r="M74" s="1"/>
      <c r="N74" s="1" t="s">
        <v>265</v>
      </c>
    </row>
    <row r="75" spans="1:14" ht="19">
      <c r="A75">
        <v>74</v>
      </c>
      <c r="B75" s="1" t="s">
        <v>40</v>
      </c>
      <c r="C75" s="2" t="s">
        <v>271</v>
      </c>
      <c r="D75" t="s">
        <v>1203</v>
      </c>
      <c r="E75" t="s">
        <v>391</v>
      </c>
      <c r="F75" t="s">
        <v>192</v>
      </c>
      <c r="G75" s="13">
        <v>92</v>
      </c>
      <c r="H75" t="s">
        <v>1457</v>
      </c>
      <c r="I75" s="23" t="s">
        <v>192</v>
      </c>
      <c r="J75">
        <v>95</v>
      </c>
      <c r="K75" s="23" t="s">
        <v>1485</v>
      </c>
      <c r="L75" t="str">
        <f t="shared" si="1"/>
        <v>to dignose</v>
      </c>
      <c r="M75" s="1"/>
      <c r="N75" s="1" t="s">
        <v>61</v>
      </c>
    </row>
    <row r="76" spans="1:14" ht="19" hidden="1">
      <c r="A76">
        <v>75</v>
      </c>
      <c r="B76" s="1" t="s">
        <v>243</v>
      </c>
      <c r="C76" s="2" t="s">
        <v>269</v>
      </c>
      <c r="D76" t="s">
        <v>84</v>
      </c>
      <c r="E76" t="s">
        <v>391</v>
      </c>
      <c r="I76">
        <v>1</v>
      </c>
      <c r="K76">
        <v>1</v>
      </c>
      <c r="L76" t="str">
        <f t="shared" si="1"/>
        <v>no</v>
      </c>
      <c r="M76" s="1"/>
      <c r="N76" s="1" t="s">
        <v>266</v>
      </c>
    </row>
    <row r="77" spans="1:14" ht="19" hidden="1">
      <c r="A77">
        <v>76</v>
      </c>
      <c r="B77" s="1" t="s">
        <v>41</v>
      </c>
      <c r="C77" s="2" t="s">
        <v>271</v>
      </c>
      <c r="D77" t="s">
        <v>84</v>
      </c>
      <c r="E77" t="s">
        <v>391</v>
      </c>
      <c r="I77">
        <v>1</v>
      </c>
      <c r="K77">
        <v>1</v>
      </c>
      <c r="L77" t="str">
        <f t="shared" si="1"/>
        <v>no</v>
      </c>
      <c r="M77" s="1"/>
      <c r="N77" s="1" t="s">
        <v>62</v>
      </c>
    </row>
    <row r="78" spans="1:14" ht="19" hidden="1">
      <c r="A78">
        <v>77</v>
      </c>
      <c r="B78" s="1" t="s">
        <v>244</v>
      </c>
      <c r="C78" s="2" t="s">
        <v>274</v>
      </c>
      <c r="D78" t="s">
        <v>84</v>
      </c>
      <c r="E78" t="s">
        <v>391</v>
      </c>
      <c r="G78" s="5"/>
      <c r="I78">
        <v>1</v>
      </c>
      <c r="K78">
        <v>1</v>
      </c>
      <c r="L78" t="str">
        <f t="shared" si="1"/>
        <v>no</v>
      </c>
      <c r="M78" s="1"/>
      <c r="N78" s="1" t="s">
        <v>63</v>
      </c>
    </row>
    <row r="79" spans="1:14" ht="19" hidden="1">
      <c r="A79">
        <v>78</v>
      </c>
      <c r="B79" s="1" t="s">
        <v>245</v>
      </c>
      <c r="C79" s="2" t="s">
        <v>269</v>
      </c>
      <c r="D79" t="s">
        <v>84</v>
      </c>
      <c r="E79" t="s">
        <v>391</v>
      </c>
      <c r="G79" s="5"/>
      <c r="I79">
        <v>1</v>
      </c>
      <c r="K79">
        <v>1</v>
      </c>
      <c r="L79" t="str">
        <f t="shared" si="1"/>
        <v>no</v>
      </c>
      <c r="M79" s="1"/>
      <c r="N79" s="1"/>
    </row>
    <row r="80" spans="1:14" ht="19" hidden="1">
      <c r="A80">
        <v>79</v>
      </c>
      <c r="B80" s="1" t="s">
        <v>42</v>
      </c>
      <c r="C80" s="2" t="s">
        <v>271</v>
      </c>
      <c r="D80" t="s">
        <v>87</v>
      </c>
      <c r="E80" t="s">
        <v>391</v>
      </c>
      <c r="G80" s="5"/>
      <c r="I80">
        <v>1</v>
      </c>
      <c r="K80">
        <v>1</v>
      </c>
      <c r="L80" t="str">
        <f t="shared" si="1"/>
        <v>no</v>
      </c>
      <c r="M80" s="1"/>
      <c r="N80" s="1"/>
    </row>
    <row r="81" spans="1:12" ht="19" hidden="1">
      <c r="A81">
        <v>80</v>
      </c>
      <c r="B81" s="1" t="s">
        <v>43</v>
      </c>
      <c r="C81" s="2" t="s">
        <v>271</v>
      </c>
      <c r="D81" t="s">
        <v>87</v>
      </c>
      <c r="E81" t="s">
        <v>391</v>
      </c>
      <c r="I81">
        <v>1</v>
      </c>
      <c r="K81">
        <v>1</v>
      </c>
      <c r="L81" t="str">
        <f t="shared" si="1"/>
        <v>no</v>
      </c>
    </row>
    <row r="82" spans="1:12" ht="19" hidden="1">
      <c r="A82">
        <v>81</v>
      </c>
      <c r="B82" s="1" t="s">
        <v>246</v>
      </c>
      <c r="C82" s="2" t="s">
        <v>273</v>
      </c>
      <c r="D82" t="s">
        <v>84</v>
      </c>
      <c r="E82" t="s">
        <v>391</v>
      </c>
      <c r="I82">
        <v>1</v>
      </c>
      <c r="K82">
        <v>1</v>
      </c>
      <c r="L82" t="str">
        <f t="shared" si="1"/>
        <v>no</v>
      </c>
    </row>
    <row r="83" spans="1:12" ht="19" hidden="1">
      <c r="A83">
        <v>82</v>
      </c>
      <c r="B83" s="1" t="s">
        <v>247</v>
      </c>
      <c r="C83" s="2" t="s">
        <v>269</v>
      </c>
      <c r="D83" t="s">
        <v>84</v>
      </c>
      <c r="E83" t="s">
        <v>391</v>
      </c>
      <c r="I83">
        <v>1</v>
      </c>
      <c r="K83">
        <v>1</v>
      </c>
      <c r="L83" t="str">
        <f t="shared" si="1"/>
        <v>no</v>
      </c>
    </row>
    <row r="84" spans="1:12" ht="19" hidden="1">
      <c r="A84">
        <v>83</v>
      </c>
      <c r="B84" s="1" t="s">
        <v>248</v>
      </c>
      <c r="C84" s="2" t="s">
        <v>269</v>
      </c>
      <c r="D84" t="s">
        <v>84</v>
      </c>
      <c r="E84" t="s">
        <v>391</v>
      </c>
      <c r="I84">
        <v>1</v>
      </c>
      <c r="K84">
        <v>1</v>
      </c>
      <c r="L84" t="str">
        <f t="shared" si="1"/>
        <v>no</v>
      </c>
    </row>
    <row r="85" spans="1:12" ht="19" hidden="1">
      <c r="A85">
        <v>84</v>
      </c>
      <c r="B85" s="1" t="s">
        <v>44</v>
      </c>
      <c r="C85" s="2" t="s">
        <v>271</v>
      </c>
      <c r="D85" t="s">
        <v>87</v>
      </c>
      <c r="E85" t="s">
        <v>391</v>
      </c>
      <c r="I85">
        <v>1</v>
      </c>
      <c r="K85">
        <v>1</v>
      </c>
      <c r="L85" t="str">
        <f t="shared" si="1"/>
        <v>no</v>
      </c>
    </row>
    <row r="86" spans="1:12" ht="19" hidden="1">
      <c r="A86">
        <v>85</v>
      </c>
      <c r="B86" s="1" t="s">
        <v>249</v>
      </c>
      <c r="C86" s="2" t="s">
        <v>274</v>
      </c>
      <c r="D86" t="s">
        <v>84</v>
      </c>
      <c r="E86" t="s">
        <v>391</v>
      </c>
      <c r="I86">
        <v>1</v>
      </c>
      <c r="K86">
        <v>1</v>
      </c>
      <c r="L86" t="str">
        <f t="shared" si="1"/>
        <v>no</v>
      </c>
    </row>
    <row r="87" spans="1:12" ht="19" hidden="1">
      <c r="A87">
        <v>86</v>
      </c>
      <c r="B87" s="1" t="s">
        <v>45</v>
      </c>
      <c r="C87" s="2" t="s">
        <v>271</v>
      </c>
      <c r="D87" t="s">
        <v>84</v>
      </c>
      <c r="E87" t="s">
        <v>391</v>
      </c>
      <c r="I87">
        <v>1</v>
      </c>
      <c r="K87">
        <v>1</v>
      </c>
      <c r="L87" t="str">
        <f t="shared" si="1"/>
        <v>no</v>
      </c>
    </row>
    <row r="88" spans="1:12" ht="19" hidden="1">
      <c r="A88">
        <v>87</v>
      </c>
      <c r="B88" s="1" t="s">
        <v>250</v>
      </c>
      <c r="C88" s="2" t="s">
        <v>268</v>
      </c>
      <c r="D88" t="s">
        <v>84</v>
      </c>
      <c r="E88" t="s">
        <v>391</v>
      </c>
      <c r="I88">
        <v>1</v>
      </c>
      <c r="K88">
        <v>1</v>
      </c>
      <c r="L88" t="str">
        <f t="shared" si="1"/>
        <v>no</v>
      </c>
    </row>
    <row r="89" spans="1:12" ht="19" hidden="1">
      <c r="A89">
        <v>88</v>
      </c>
      <c r="B89" s="1" t="s">
        <v>46</v>
      </c>
      <c r="C89" s="2" t="s">
        <v>271</v>
      </c>
      <c r="D89" t="s">
        <v>84</v>
      </c>
      <c r="E89" t="s">
        <v>391</v>
      </c>
      <c r="I89">
        <v>1</v>
      </c>
      <c r="K89">
        <v>1</v>
      </c>
      <c r="L89" t="str">
        <f t="shared" si="1"/>
        <v>no</v>
      </c>
    </row>
    <row r="90" spans="1:12" ht="19" hidden="1">
      <c r="A90">
        <v>89</v>
      </c>
      <c r="B90" s="1" t="s">
        <v>47</v>
      </c>
      <c r="C90" s="2" t="s">
        <v>271</v>
      </c>
      <c r="D90" t="s">
        <v>84</v>
      </c>
      <c r="E90" t="s">
        <v>391</v>
      </c>
      <c r="I90">
        <v>11</v>
      </c>
      <c r="K90">
        <v>11</v>
      </c>
      <c r="L90" t="str">
        <f t="shared" si="1"/>
        <v>no</v>
      </c>
    </row>
    <row r="91" spans="1:12" ht="19" hidden="1">
      <c r="A91">
        <v>90</v>
      </c>
      <c r="B91" s="1" t="s">
        <v>48</v>
      </c>
      <c r="C91" s="2" t="s">
        <v>271</v>
      </c>
      <c r="D91" t="s">
        <v>84</v>
      </c>
      <c r="E91" t="s">
        <v>391</v>
      </c>
      <c r="I91">
        <v>1</v>
      </c>
      <c r="K91">
        <v>1</v>
      </c>
      <c r="L91" t="str">
        <f t="shared" si="1"/>
        <v>no</v>
      </c>
    </row>
    <row r="92" spans="1:12" ht="19" hidden="1">
      <c r="A92">
        <v>91</v>
      </c>
      <c r="B92" s="1" t="s">
        <v>49</v>
      </c>
      <c r="C92" s="2" t="s">
        <v>271</v>
      </c>
      <c r="D92" t="s">
        <v>84</v>
      </c>
      <c r="E92" t="s">
        <v>391</v>
      </c>
      <c r="I92">
        <v>1</v>
      </c>
      <c r="K92">
        <v>1</v>
      </c>
      <c r="L92" t="str">
        <f t="shared" si="1"/>
        <v>no</v>
      </c>
    </row>
    <row r="93" spans="1:12" ht="19" hidden="1">
      <c r="A93">
        <v>92</v>
      </c>
      <c r="B93" s="1" t="s">
        <v>50</v>
      </c>
      <c r="C93" s="2" t="s">
        <v>271</v>
      </c>
      <c r="D93" t="s">
        <v>84</v>
      </c>
      <c r="E93" t="s">
        <v>391</v>
      </c>
      <c r="I93">
        <v>1</v>
      </c>
      <c r="K93">
        <v>1</v>
      </c>
      <c r="L93" t="str">
        <f t="shared" si="1"/>
        <v>no</v>
      </c>
    </row>
    <row r="94" spans="1:12" ht="19" hidden="1">
      <c r="A94">
        <v>93</v>
      </c>
      <c r="B94" s="1" t="s">
        <v>51</v>
      </c>
      <c r="C94" s="2" t="s">
        <v>271</v>
      </c>
      <c r="D94" t="s">
        <v>84</v>
      </c>
      <c r="E94" t="s">
        <v>391</v>
      </c>
      <c r="I94">
        <v>1</v>
      </c>
      <c r="K94">
        <v>1</v>
      </c>
      <c r="L94" t="str">
        <f t="shared" si="1"/>
        <v>no</v>
      </c>
    </row>
    <row r="95" spans="1:12" ht="19" hidden="1">
      <c r="A95">
        <v>94</v>
      </c>
      <c r="B95" s="1" t="s">
        <v>52</v>
      </c>
      <c r="C95" s="2" t="s">
        <v>271</v>
      </c>
      <c r="D95" t="s">
        <v>84</v>
      </c>
      <c r="E95" t="s">
        <v>391</v>
      </c>
      <c r="I95">
        <v>1</v>
      </c>
      <c r="K95">
        <v>1</v>
      </c>
      <c r="L95" t="str">
        <f t="shared" si="1"/>
        <v>no</v>
      </c>
    </row>
    <row r="96" spans="1:12" ht="19" hidden="1">
      <c r="A96">
        <v>95</v>
      </c>
      <c r="B96" s="1" t="s">
        <v>53</v>
      </c>
      <c r="C96" s="2" t="s">
        <v>271</v>
      </c>
      <c r="D96" t="s">
        <v>84</v>
      </c>
      <c r="E96" t="s">
        <v>391</v>
      </c>
      <c r="I96">
        <v>1</v>
      </c>
      <c r="K96">
        <v>1</v>
      </c>
      <c r="L96" t="str">
        <f t="shared" si="1"/>
        <v>no</v>
      </c>
    </row>
    <row r="97" spans="1:12" ht="19">
      <c r="A97">
        <v>96</v>
      </c>
      <c r="B97" s="1" t="s">
        <v>251</v>
      </c>
      <c r="C97" s="2" t="s">
        <v>267</v>
      </c>
      <c r="D97" t="s">
        <v>84</v>
      </c>
      <c r="E97" t="s">
        <v>391</v>
      </c>
      <c r="F97" t="s">
        <v>192</v>
      </c>
      <c r="G97" s="13">
        <v>97</v>
      </c>
      <c r="H97" t="s">
        <v>1430</v>
      </c>
      <c r="I97" t="s">
        <v>192</v>
      </c>
      <c r="J97">
        <v>100</v>
      </c>
      <c r="K97" s="24" t="s">
        <v>1536</v>
      </c>
      <c r="L97" t="str">
        <f t="shared" si="1"/>
        <v>segmented videos list</v>
      </c>
    </row>
    <row r="98" spans="1:12" ht="19">
      <c r="A98">
        <v>97</v>
      </c>
      <c r="B98" s="1" t="s">
        <v>54</v>
      </c>
      <c r="C98" s="2" t="s">
        <v>271</v>
      </c>
      <c r="D98" t="s">
        <v>84</v>
      </c>
      <c r="E98" t="s">
        <v>391</v>
      </c>
      <c r="F98" t="s">
        <v>192</v>
      </c>
      <c r="G98" s="13">
        <v>98</v>
      </c>
      <c r="H98" t="s">
        <v>1431</v>
      </c>
      <c r="I98" t="s">
        <v>192</v>
      </c>
      <c r="J98">
        <v>100</v>
      </c>
      <c r="K98" s="24" t="s">
        <v>1537</v>
      </c>
      <c r="L98" t="str">
        <f t="shared" si="1"/>
        <v>segmented videos list</v>
      </c>
    </row>
    <row r="99" spans="1:12" ht="19">
      <c r="A99">
        <v>98</v>
      </c>
      <c r="B99" s="1" t="s">
        <v>55</v>
      </c>
      <c r="C99" s="2" t="s">
        <v>271</v>
      </c>
      <c r="D99" t="s">
        <v>1201</v>
      </c>
      <c r="E99" t="s">
        <v>391</v>
      </c>
      <c r="F99" s="17" t="s">
        <v>192</v>
      </c>
      <c r="G99" s="13">
        <v>95</v>
      </c>
      <c r="H99" s="17" t="s">
        <v>1451</v>
      </c>
      <c r="I99" s="23" t="s">
        <v>192</v>
      </c>
      <c r="J99">
        <v>100</v>
      </c>
      <c r="K99" s="23" t="s">
        <v>1479</v>
      </c>
      <c r="L99" t="str">
        <f t="shared" si="1"/>
        <v>to dignose</v>
      </c>
    </row>
    <row r="100" spans="1:12" ht="19">
      <c r="A100">
        <v>99</v>
      </c>
      <c r="B100" s="1" t="s">
        <v>252</v>
      </c>
      <c r="C100" s="2" t="s">
        <v>274</v>
      </c>
      <c r="D100" t="s">
        <v>84</v>
      </c>
      <c r="E100" t="s">
        <v>391</v>
      </c>
      <c r="F100" t="s">
        <v>192</v>
      </c>
      <c r="G100" s="13">
        <v>95</v>
      </c>
      <c r="H100" t="s">
        <v>1432</v>
      </c>
      <c r="I100" t="s">
        <v>192</v>
      </c>
      <c r="J100">
        <v>100</v>
      </c>
      <c r="K100" s="24" t="s">
        <v>1538</v>
      </c>
      <c r="L100" t="str">
        <f t="shared" si="1"/>
        <v>segmented videos list</v>
      </c>
    </row>
    <row r="101" spans="1:12" ht="19">
      <c r="A101">
        <v>100</v>
      </c>
      <c r="B101" s="1" t="s">
        <v>56</v>
      </c>
      <c r="C101" s="2" t="s">
        <v>271</v>
      </c>
      <c r="D101" t="s">
        <v>84</v>
      </c>
      <c r="E101" t="s">
        <v>391</v>
      </c>
      <c r="F101" t="s">
        <v>192</v>
      </c>
      <c r="G101" s="13">
        <v>97</v>
      </c>
      <c r="H101" t="s">
        <v>1433</v>
      </c>
      <c r="I101" t="s">
        <v>192</v>
      </c>
      <c r="J101">
        <v>100</v>
      </c>
      <c r="K101" s="24" t="s">
        <v>1539</v>
      </c>
      <c r="L101" t="str">
        <f t="shared" si="1"/>
        <v>segmented videos list</v>
      </c>
    </row>
    <row r="102" spans="1:12" ht="19">
      <c r="A102">
        <v>101</v>
      </c>
      <c r="B102" s="1" t="s">
        <v>253</v>
      </c>
      <c r="C102" s="2" t="s">
        <v>267</v>
      </c>
      <c r="D102" t="s">
        <v>84</v>
      </c>
      <c r="E102" t="s">
        <v>391</v>
      </c>
      <c r="F102" t="s">
        <v>192</v>
      </c>
      <c r="G102" s="13">
        <v>96</v>
      </c>
      <c r="H102" t="s">
        <v>1434</v>
      </c>
      <c r="I102" t="s">
        <v>192</v>
      </c>
      <c r="J102">
        <v>100</v>
      </c>
      <c r="K102" s="24" t="s">
        <v>1540</v>
      </c>
      <c r="L102" t="str">
        <f t="shared" si="1"/>
        <v>segmented videos list</v>
      </c>
    </row>
    <row r="103" spans="1:12" ht="19">
      <c r="A103">
        <v>102</v>
      </c>
      <c r="B103" s="1" t="s">
        <v>57</v>
      </c>
      <c r="C103" s="2" t="s">
        <v>271</v>
      </c>
      <c r="D103" t="s">
        <v>84</v>
      </c>
      <c r="E103" t="s">
        <v>391</v>
      </c>
      <c r="F103" t="s">
        <v>192</v>
      </c>
      <c r="G103" s="13">
        <v>95</v>
      </c>
      <c r="H103" t="s">
        <v>1435</v>
      </c>
      <c r="I103" t="s">
        <v>192</v>
      </c>
      <c r="J103">
        <v>100</v>
      </c>
      <c r="K103" s="24" t="s">
        <v>1541</v>
      </c>
      <c r="L103" t="str">
        <f t="shared" si="1"/>
        <v>segmented videos list</v>
      </c>
    </row>
    <row r="104" spans="1:12" ht="19">
      <c r="A104">
        <v>103</v>
      </c>
      <c r="B104" s="1" t="s">
        <v>58</v>
      </c>
      <c r="C104" s="2" t="s">
        <v>271</v>
      </c>
      <c r="D104" t="s">
        <v>1203</v>
      </c>
      <c r="E104" t="s">
        <v>391</v>
      </c>
      <c r="F104" t="s">
        <v>201</v>
      </c>
      <c r="G104" s="13">
        <v>10</v>
      </c>
      <c r="H104" t="s">
        <v>1458</v>
      </c>
      <c r="I104" s="23" t="s">
        <v>201</v>
      </c>
      <c r="J104">
        <v>0</v>
      </c>
      <c r="K104" s="23" t="s">
        <v>1486</v>
      </c>
      <c r="L104" t="str">
        <f t="shared" si="1"/>
        <v>to dignose</v>
      </c>
    </row>
    <row r="105" spans="1:12" ht="19">
      <c r="A105">
        <v>104</v>
      </c>
      <c r="B105" s="1" t="s">
        <v>254</v>
      </c>
      <c r="C105" s="2" t="s">
        <v>269</v>
      </c>
      <c r="D105" t="s">
        <v>84</v>
      </c>
      <c r="E105" t="s">
        <v>391</v>
      </c>
      <c r="F105" t="s">
        <v>201</v>
      </c>
      <c r="G105" s="13">
        <v>20</v>
      </c>
      <c r="H105" t="s">
        <v>1436</v>
      </c>
      <c r="I105" t="s">
        <v>192</v>
      </c>
      <c r="J105">
        <v>100</v>
      </c>
      <c r="K105" s="24" t="s">
        <v>1542</v>
      </c>
      <c r="L105" t="str">
        <f t="shared" si="1"/>
        <v>segmented videos list</v>
      </c>
    </row>
    <row r="106" spans="1:12" ht="19">
      <c r="A106">
        <v>105</v>
      </c>
      <c r="B106" s="1" t="s">
        <v>255</v>
      </c>
      <c r="C106" s="2" t="s">
        <v>269</v>
      </c>
      <c r="D106" t="s">
        <v>1201</v>
      </c>
      <c r="E106" t="s">
        <v>391</v>
      </c>
      <c r="F106" s="17" t="s">
        <v>192</v>
      </c>
      <c r="G106" s="13">
        <v>90</v>
      </c>
      <c r="H106" s="17" t="s">
        <v>1452</v>
      </c>
      <c r="I106" t="s">
        <v>192</v>
      </c>
      <c r="J106">
        <v>100</v>
      </c>
      <c r="K106" t="s">
        <v>1480</v>
      </c>
      <c r="L106" t="str">
        <f t="shared" si="1"/>
        <v>to dignose</v>
      </c>
    </row>
    <row r="107" spans="1:12" ht="19" hidden="1">
      <c r="A107">
        <v>106</v>
      </c>
      <c r="B107" s="1" t="s">
        <v>256</v>
      </c>
      <c r="C107" s="2" t="s">
        <v>269</v>
      </c>
      <c r="D107" t="s">
        <v>84</v>
      </c>
      <c r="E107" t="s">
        <v>391</v>
      </c>
      <c r="I107">
        <v>1</v>
      </c>
      <c r="K107">
        <v>1</v>
      </c>
      <c r="L107" t="str">
        <f t="shared" si="1"/>
        <v>no</v>
      </c>
    </row>
    <row r="108" spans="1:12" ht="19">
      <c r="A108">
        <v>107</v>
      </c>
      <c r="B108" s="1" t="s">
        <v>257</v>
      </c>
      <c r="C108" s="2" t="s">
        <v>274</v>
      </c>
      <c r="D108" t="s">
        <v>84</v>
      </c>
      <c r="E108" t="s">
        <v>391</v>
      </c>
      <c r="F108" t="s">
        <v>192</v>
      </c>
      <c r="G108" s="13">
        <v>99</v>
      </c>
      <c r="H108" t="s">
        <v>1437</v>
      </c>
      <c r="I108" t="s">
        <v>192</v>
      </c>
      <c r="J108">
        <v>100</v>
      </c>
      <c r="K108" s="24" t="s">
        <v>1543</v>
      </c>
      <c r="L108" t="str">
        <f t="shared" si="1"/>
        <v>segmented videos list</v>
      </c>
    </row>
    <row r="109" spans="1:12" ht="19" hidden="1">
      <c r="A109">
        <v>108</v>
      </c>
      <c r="B109" s="1" t="s">
        <v>258</v>
      </c>
      <c r="C109" s="2" t="s">
        <v>267</v>
      </c>
      <c r="D109" t="s">
        <v>84</v>
      </c>
      <c r="E109" t="s">
        <v>391</v>
      </c>
      <c r="I109">
        <v>1</v>
      </c>
      <c r="K109">
        <v>1</v>
      </c>
      <c r="L109" t="str">
        <f t="shared" si="1"/>
        <v>no</v>
      </c>
    </row>
    <row r="110" spans="1:12" ht="19" hidden="1">
      <c r="A110">
        <v>109</v>
      </c>
      <c r="B110" s="1" t="s">
        <v>259</v>
      </c>
      <c r="C110" s="2" t="s">
        <v>274</v>
      </c>
      <c r="D110" t="s">
        <v>84</v>
      </c>
      <c r="E110" t="s">
        <v>391</v>
      </c>
      <c r="I110">
        <v>1</v>
      </c>
      <c r="K110">
        <v>1</v>
      </c>
      <c r="L110" t="str">
        <f t="shared" si="1"/>
        <v>no</v>
      </c>
    </row>
    <row r="111" spans="1:12" ht="19" hidden="1">
      <c r="A111">
        <v>110</v>
      </c>
      <c r="B111" s="1" t="s">
        <v>260</v>
      </c>
      <c r="C111" s="2" t="s">
        <v>269</v>
      </c>
      <c r="D111" t="s">
        <v>84</v>
      </c>
      <c r="E111" t="s">
        <v>391</v>
      </c>
      <c r="I111">
        <v>1</v>
      </c>
      <c r="K111">
        <v>1</v>
      </c>
      <c r="L111" t="str">
        <f t="shared" si="1"/>
        <v>no</v>
      </c>
    </row>
    <row r="112" spans="1:12" ht="19" hidden="1">
      <c r="A112">
        <v>111</v>
      </c>
      <c r="B112" s="1" t="s">
        <v>261</v>
      </c>
      <c r="C112" s="2" t="s">
        <v>274</v>
      </c>
      <c r="D112" t="s">
        <v>84</v>
      </c>
      <c r="E112" t="s">
        <v>391</v>
      </c>
      <c r="I112">
        <v>1</v>
      </c>
      <c r="K112">
        <v>1</v>
      </c>
      <c r="L112" t="str">
        <f t="shared" si="1"/>
        <v>no</v>
      </c>
    </row>
    <row r="113" spans="1:12" ht="19" hidden="1">
      <c r="A113">
        <v>112</v>
      </c>
      <c r="B113" s="1" t="s">
        <v>262</v>
      </c>
      <c r="C113" s="2" t="s">
        <v>269</v>
      </c>
      <c r="D113" t="s">
        <v>84</v>
      </c>
      <c r="E113" t="s">
        <v>391</v>
      </c>
      <c r="I113">
        <v>1</v>
      </c>
      <c r="K113">
        <v>1</v>
      </c>
      <c r="L113" t="str">
        <f t="shared" si="1"/>
        <v>no</v>
      </c>
    </row>
    <row r="114" spans="1:12" ht="19" hidden="1">
      <c r="A114">
        <v>113</v>
      </c>
      <c r="B114" s="1" t="s">
        <v>263</v>
      </c>
      <c r="C114" s="2" t="s">
        <v>269</v>
      </c>
      <c r="D114" t="s">
        <v>84</v>
      </c>
      <c r="E114" t="s">
        <v>391</v>
      </c>
      <c r="I114">
        <v>1</v>
      </c>
      <c r="K114">
        <v>1</v>
      </c>
      <c r="L114" t="str">
        <f t="shared" si="1"/>
        <v>no</v>
      </c>
    </row>
    <row r="115" spans="1:12" ht="19">
      <c r="A115">
        <v>114</v>
      </c>
      <c r="B115" s="1" t="s">
        <v>264</v>
      </c>
      <c r="C115" s="2" t="s">
        <v>267</v>
      </c>
      <c r="D115" t="s">
        <v>85</v>
      </c>
      <c r="E115" t="s">
        <v>391</v>
      </c>
      <c r="F115" t="s">
        <v>192</v>
      </c>
      <c r="G115" s="13">
        <v>98</v>
      </c>
      <c r="H115" t="s">
        <v>1438</v>
      </c>
      <c r="I115" t="s">
        <v>192</v>
      </c>
      <c r="J115">
        <v>100</v>
      </c>
      <c r="K115" s="24" t="s">
        <v>1544</v>
      </c>
      <c r="L115" t="str">
        <f t="shared" si="1"/>
        <v>segmented videos list</v>
      </c>
    </row>
    <row r="116" spans="1:12" ht="19">
      <c r="A116">
        <v>115</v>
      </c>
      <c r="B116" s="1" t="s">
        <v>59</v>
      </c>
      <c r="C116" s="2" t="s">
        <v>271</v>
      </c>
      <c r="D116" t="s">
        <v>1204</v>
      </c>
      <c r="E116" t="s">
        <v>391</v>
      </c>
      <c r="F116" t="s">
        <v>201</v>
      </c>
      <c r="G116" s="13">
        <v>10</v>
      </c>
      <c r="H116" t="s">
        <v>1468</v>
      </c>
      <c r="I116" s="23" t="s">
        <v>201</v>
      </c>
      <c r="J116">
        <v>15</v>
      </c>
      <c r="K116" s="23" t="s">
        <v>1496</v>
      </c>
      <c r="L116" t="str">
        <f t="shared" si="1"/>
        <v>to dignose</v>
      </c>
    </row>
    <row r="117" spans="1:12" ht="19">
      <c r="A117">
        <v>116</v>
      </c>
      <c r="B117" s="1" t="s">
        <v>60</v>
      </c>
      <c r="C117" s="2" t="s">
        <v>271</v>
      </c>
      <c r="D117" t="s">
        <v>84</v>
      </c>
      <c r="E117" t="s">
        <v>391</v>
      </c>
      <c r="F117" t="s">
        <v>192</v>
      </c>
      <c r="G117" s="13">
        <v>100</v>
      </c>
      <c r="H117" t="s">
        <v>1439</v>
      </c>
      <c r="I117" t="s">
        <v>192</v>
      </c>
      <c r="J117">
        <v>100</v>
      </c>
      <c r="K117" s="24" t="s">
        <v>1546</v>
      </c>
      <c r="L117" t="str">
        <f t="shared" si="1"/>
        <v>segmented videos list</v>
      </c>
    </row>
    <row r="118" spans="1:12" ht="19">
      <c r="A118">
        <v>117</v>
      </c>
      <c r="B118" s="1" t="s">
        <v>265</v>
      </c>
      <c r="C118" s="2" t="s">
        <v>267</v>
      </c>
      <c r="D118" t="s">
        <v>84</v>
      </c>
      <c r="E118" t="s">
        <v>391</v>
      </c>
      <c r="F118" t="s">
        <v>192</v>
      </c>
      <c r="G118" s="13">
        <v>94</v>
      </c>
      <c r="H118" t="s">
        <v>1440</v>
      </c>
      <c r="I118" t="s">
        <v>192</v>
      </c>
      <c r="J118">
        <v>100</v>
      </c>
      <c r="K118" s="24" t="s">
        <v>1545</v>
      </c>
      <c r="L118" t="str">
        <f t="shared" si="1"/>
        <v>segmented videos list</v>
      </c>
    </row>
    <row r="119" spans="1:12" ht="19">
      <c r="A119">
        <v>118</v>
      </c>
      <c r="B119" s="1" t="s">
        <v>61</v>
      </c>
      <c r="C119" s="2" t="s">
        <v>271</v>
      </c>
      <c r="D119" t="s">
        <v>1203</v>
      </c>
      <c r="E119" t="s">
        <v>391</v>
      </c>
      <c r="F119" t="s">
        <v>192</v>
      </c>
      <c r="G119" s="13">
        <v>96</v>
      </c>
      <c r="H119" t="s">
        <v>1459</v>
      </c>
      <c r="I119" t="s">
        <v>201</v>
      </c>
      <c r="J119">
        <v>0</v>
      </c>
      <c r="K119" t="s">
        <v>1487</v>
      </c>
      <c r="L119" t="str">
        <f t="shared" si="1"/>
        <v>to dignose</v>
      </c>
    </row>
    <row r="120" spans="1:12" ht="19">
      <c r="A120">
        <v>119</v>
      </c>
      <c r="B120" s="1" t="s">
        <v>266</v>
      </c>
      <c r="C120" s="2" t="s">
        <v>269</v>
      </c>
      <c r="D120" t="s">
        <v>84</v>
      </c>
      <c r="E120" t="s">
        <v>391</v>
      </c>
      <c r="F120" t="s">
        <v>192</v>
      </c>
      <c r="G120" s="13">
        <v>97</v>
      </c>
      <c r="H120" t="s">
        <v>1441</v>
      </c>
      <c r="I120" t="s">
        <v>192</v>
      </c>
      <c r="J120">
        <v>100</v>
      </c>
      <c r="K120" s="24" t="s">
        <v>1547</v>
      </c>
      <c r="L120" t="str">
        <f t="shared" si="1"/>
        <v>segmented videos list</v>
      </c>
    </row>
    <row r="121" spans="1:12" ht="19">
      <c r="A121">
        <v>120</v>
      </c>
      <c r="B121" s="1" t="s">
        <v>62</v>
      </c>
      <c r="C121" s="2" t="s">
        <v>271</v>
      </c>
      <c r="D121" t="s">
        <v>84</v>
      </c>
      <c r="E121" t="s">
        <v>391</v>
      </c>
      <c r="F121" t="s">
        <v>192</v>
      </c>
      <c r="G121" s="13">
        <v>93</v>
      </c>
      <c r="H121" t="s">
        <v>1442</v>
      </c>
      <c r="I121" t="s">
        <v>192</v>
      </c>
      <c r="J121">
        <v>100</v>
      </c>
      <c r="K121" s="24" t="s">
        <v>1548</v>
      </c>
      <c r="L121" t="str">
        <f t="shared" si="1"/>
        <v>segmented videos list</v>
      </c>
    </row>
    <row r="122" spans="1:12" ht="19">
      <c r="A122">
        <v>121</v>
      </c>
      <c r="B122" s="1" t="s">
        <v>63</v>
      </c>
      <c r="C122" s="2" t="s">
        <v>271</v>
      </c>
      <c r="D122" t="s">
        <v>84</v>
      </c>
      <c r="E122" t="s">
        <v>391</v>
      </c>
      <c r="F122" t="s">
        <v>201</v>
      </c>
      <c r="G122" s="5">
        <v>30</v>
      </c>
      <c r="H122" t="s">
        <v>1443</v>
      </c>
      <c r="I122" t="s">
        <v>192</v>
      </c>
      <c r="J122">
        <v>100</v>
      </c>
      <c r="K122" s="24" t="s">
        <v>1549</v>
      </c>
      <c r="L122" t="str">
        <f t="shared" si="1"/>
        <v>segmented videos list</v>
      </c>
    </row>
    <row r="123" spans="1:12" ht="19" hidden="1">
      <c r="A123">
        <v>122</v>
      </c>
      <c r="B123" s="1" t="s">
        <v>64</v>
      </c>
      <c r="C123" s="2" t="s">
        <v>271</v>
      </c>
      <c r="D123" t="s">
        <v>84</v>
      </c>
      <c r="E123" t="s">
        <v>391</v>
      </c>
      <c r="G123" s="5"/>
      <c r="I123">
        <v>1</v>
      </c>
      <c r="K123">
        <v>1</v>
      </c>
      <c r="L123" t="str">
        <f t="shared" si="1"/>
        <v>no</v>
      </c>
    </row>
    <row r="124" spans="1:12" ht="19" hidden="1">
      <c r="A124">
        <v>123</v>
      </c>
      <c r="B124" s="1" t="s">
        <v>65</v>
      </c>
      <c r="C124" s="2" t="s">
        <v>271</v>
      </c>
      <c r="D124" t="s">
        <v>84</v>
      </c>
      <c r="E124" t="s">
        <v>391</v>
      </c>
      <c r="G124" s="5"/>
      <c r="I124">
        <v>1</v>
      </c>
      <c r="K124">
        <v>1</v>
      </c>
      <c r="L124" t="str">
        <f t="shared" si="1"/>
        <v>no</v>
      </c>
    </row>
    <row r="125" spans="1:12" ht="19" hidden="1">
      <c r="A125">
        <v>124</v>
      </c>
      <c r="B125" s="1" t="s">
        <v>66</v>
      </c>
      <c r="C125" s="2" t="s">
        <v>271</v>
      </c>
      <c r="D125" t="s">
        <v>84</v>
      </c>
      <c r="E125" t="s">
        <v>391</v>
      </c>
      <c r="G125" s="5"/>
      <c r="I125">
        <v>1</v>
      </c>
      <c r="K125">
        <v>1</v>
      </c>
      <c r="L125" t="str">
        <f t="shared" si="1"/>
        <v>no</v>
      </c>
    </row>
    <row r="126" spans="1:12" ht="19" hidden="1">
      <c r="A126">
        <v>125</v>
      </c>
      <c r="B126" s="1" t="s">
        <v>67</v>
      </c>
      <c r="C126" s="2" t="s">
        <v>271</v>
      </c>
      <c r="D126" t="s">
        <v>84</v>
      </c>
      <c r="E126" t="s">
        <v>391</v>
      </c>
      <c r="G126" s="5"/>
      <c r="I126">
        <v>1</v>
      </c>
      <c r="K126">
        <v>1</v>
      </c>
      <c r="L126" t="str">
        <f t="shared" si="1"/>
        <v>no</v>
      </c>
    </row>
    <row r="127" spans="1:12" ht="19" hidden="1">
      <c r="A127">
        <v>126</v>
      </c>
      <c r="B127" s="1" t="s">
        <v>68</v>
      </c>
      <c r="C127" s="2" t="s">
        <v>271</v>
      </c>
      <c r="D127" t="s">
        <v>84</v>
      </c>
      <c r="E127" t="s">
        <v>391</v>
      </c>
      <c r="G127" s="5"/>
      <c r="I127">
        <v>1</v>
      </c>
      <c r="K127">
        <v>1</v>
      </c>
      <c r="L127" t="str">
        <f t="shared" si="1"/>
        <v>no</v>
      </c>
    </row>
    <row r="128" spans="1:12" ht="19" hidden="1">
      <c r="A128">
        <v>127</v>
      </c>
      <c r="B128" s="1" t="s">
        <v>69</v>
      </c>
      <c r="C128" s="2" t="s">
        <v>271</v>
      </c>
      <c r="D128" t="s">
        <v>84</v>
      </c>
      <c r="E128" t="s">
        <v>391</v>
      </c>
      <c r="G128" s="5"/>
      <c r="I128">
        <v>1</v>
      </c>
      <c r="K128">
        <v>1</v>
      </c>
      <c r="L128" t="str">
        <f t="shared" si="1"/>
        <v>no</v>
      </c>
    </row>
    <row r="129" spans="1:12" ht="19" hidden="1">
      <c r="A129">
        <v>128</v>
      </c>
      <c r="B129" s="1" t="s">
        <v>70</v>
      </c>
      <c r="C129" s="2" t="s">
        <v>271</v>
      </c>
      <c r="D129" t="s">
        <v>84</v>
      </c>
      <c r="E129" t="s">
        <v>391</v>
      </c>
      <c r="G129" s="5"/>
      <c r="I129">
        <v>1</v>
      </c>
      <c r="K129">
        <v>1</v>
      </c>
      <c r="L129" t="str">
        <f t="shared" si="1"/>
        <v>no</v>
      </c>
    </row>
    <row r="130" spans="1:12" ht="19" hidden="1">
      <c r="A130">
        <v>129</v>
      </c>
      <c r="B130" s="1" t="s">
        <v>71</v>
      </c>
      <c r="C130" s="2" t="s">
        <v>271</v>
      </c>
      <c r="D130" t="s">
        <v>84</v>
      </c>
      <c r="E130" t="s">
        <v>391</v>
      </c>
      <c r="G130" s="5"/>
      <c r="I130">
        <v>1</v>
      </c>
      <c r="K130">
        <v>1</v>
      </c>
      <c r="L130" t="str">
        <f t="shared" si="1"/>
        <v>no</v>
      </c>
    </row>
    <row r="131" spans="1:12" ht="19" hidden="1">
      <c r="A131">
        <v>130</v>
      </c>
      <c r="B131" s="1" t="s">
        <v>72</v>
      </c>
      <c r="C131" s="2" t="s">
        <v>271</v>
      </c>
      <c r="D131" t="s">
        <v>84</v>
      </c>
      <c r="E131" t="s">
        <v>391</v>
      </c>
      <c r="G131" s="5"/>
      <c r="I131">
        <v>1</v>
      </c>
      <c r="K131">
        <v>1</v>
      </c>
      <c r="L131" t="str">
        <f t="shared" ref="L131:L142" si="2">IF(COUNTIF(M:M, B131)&gt;0,$M$1,IF(COUNTIF(N:N, B131)&gt;0,$N$1,"no"))</f>
        <v>no</v>
      </c>
    </row>
    <row r="132" spans="1:12" ht="19" hidden="1">
      <c r="A132">
        <v>131</v>
      </c>
      <c r="B132" s="1" t="s">
        <v>73</v>
      </c>
      <c r="C132" s="2" t="s">
        <v>271</v>
      </c>
      <c r="D132" t="s">
        <v>84</v>
      </c>
      <c r="E132" t="s">
        <v>391</v>
      </c>
      <c r="G132" s="5"/>
      <c r="I132">
        <v>1</v>
      </c>
      <c r="K132">
        <v>1</v>
      </c>
      <c r="L132" t="str">
        <f t="shared" si="2"/>
        <v>no</v>
      </c>
    </row>
    <row r="133" spans="1:12" ht="19" hidden="1">
      <c r="A133">
        <v>132</v>
      </c>
      <c r="B133" s="1" t="s">
        <v>74</v>
      </c>
      <c r="C133" s="2" t="s">
        <v>271</v>
      </c>
      <c r="D133" t="s">
        <v>84</v>
      </c>
      <c r="E133" t="s">
        <v>391</v>
      </c>
      <c r="G133" s="5"/>
      <c r="I133">
        <v>1</v>
      </c>
      <c r="K133">
        <v>1</v>
      </c>
      <c r="L133" t="str">
        <f t="shared" si="2"/>
        <v>no</v>
      </c>
    </row>
    <row r="134" spans="1:12" ht="19" hidden="1">
      <c r="A134">
        <v>133</v>
      </c>
      <c r="B134" s="1" t="s">
        <v>75</v>
      </c>
      <c r="C134" s="2" t="s">
        <v>271</v>
      </c>
      <c r="D134" t="s">
        <v>84</v>
      </c>
      <c r="E134" t="s">
        <v>391</v>
      </c>
      <c r="G134" s="5"/>
      <c r="I134">
        <v>1</v>
      </c>
      <c r="K134">
        <v>1</v>
      </c>
      <c r="L134" t="str">
        <f t="shared" si="2"/>
        <v>no</v>
      </c>
    </row>
    <row r="135" spans="1:12" ht="19" hidden="1">
      <c r="A135">
        <v>134</v>
      </c>
      <c r="B135" s="1" t="s">
        <v>76</v>
      </c>
      <c r="C135" s="2" t="s">
        <v>271</v>
      </c>
      <c r="D135" t="s">
        <v>84</v>
      </c>
      <c r="E135" t="s">
        <v>391</v>
      </c>
      <c r="G135" s="5"/>
      <c r="I135">
        <v>1</v>
      </c>
      <c r="K135">
        <v>1</v>
      </c>
      <c r="L135" t="str">
        <f t="shared" si="2"/>
        <v>no</v>
      </c>
    </row>
    <row r="136" spans="1:12" ht="19" hidden="1">
      <c r="A136">
        <v>135</v>
      </c>
      <c r="B136" s="1" t="s">
        <v>77</v>
      </c>
      <c r="C136" s="2" t="s">
        <v>271</v>
      </c>
      <c r="D136" t="s">
        <v>84</v>
      </c>
      <c r="E136" t="s">
        <v>391</v>
      </c>
      <c r="G136" s="5"/>
      <c r="I136">
        <v>1</v>
      </c>
      <c r="K136">
        <v>1</v>
      </c>
      <c r="L136" t="str">
        <f t="shared" si="2"/>
        <v>no</v>
      </c>
    </row>
    <row r="137" spans="1:12" ht="19" hidden="1">
      <c r="A137">
        <v>136</v>
      </c>
      <c r="B137" s="1" t="s">
        <v>78</v>
      </c>
      <c r="C137" s="2" t="s">
        <v>271</v>
      </c>
      <c r="D137" t="s">
        <v>84</v>
      </c>
      <c r="E137" t="s">
        <v>391</v>
      </c>
      <c r="G137" s="5"/>
      <c r="I137">
        <v>1</v>
      </c>
      <c r="K137">
        <v>1</v>
      </c>
      <c r="L137" t="str">
        <f t="shared" si="2"/>
        <v>no</v>
      </c>
    </row>
    <row r="138" spans="1:12" ht="19" hidden="1">
      <c r="A138">
        <v>137</v>
      </c>
      <c r="B138" s="1" t="s">
        <v>79</v>
      </c>
      <c r="C138" s="2" t="s">
        <v>271</v>
      </c>
      <c r="D138" t="s">
        <v>84</v>
      </c>
      <c r="E138" t="s">
        <v>391</v>
      </c>
      <c r="G138" s="5"/>
      <c r="I138">
        <v>1</v>
      </c>
      <c r="K138">
        <v>1</v>
      </c>
      <c r="L138" t="str">
        <f t="shared" si="2"/>
        <v>no</v>
      </c>
    </row>
    <row r="139" spans="1:12" ht="19" hidden="1">
      <c r="A139">
        <v>138</v>
      </c>
      <c r="B139" s="1" t="s">
        <v>80</v>
      </c>
      <c r="C139" s="2" t="s">
        <v>271</v>
      </c>
      <c r="D139" t="s">
        <v>84</v>
      </c>
      <c r="E139" t="s">
        <v>391</v>
      </c>
      <c r="G139" s="5"/>
      <c r="I139">
        <v>1</v>
      </c>
      <c r="K139">
        <v>1</v>
      </c>
      <c r="L139" t="str">
        <f t="shared" si="2"/>
        <v>no</v>
      </c>
    </row>
    <row r="140" spans="1:12" ht="19" hidden="1">
      <c r="A140">
        <v>139</v>
      </c>
      <c r="B140" s="1" t="s">
        <v>81</v>
      </c>
      <c r="C140" s="2" t="s">
        <v>271</v>
      </c>
      <c r="D140" t="s">
        <v>84</v>
      </c>
      <c r="E140" t="s">
        <v>391</v>
      </c>
      <c r="G140" s="5"/>
      <c r="I140">
        <v>1</v>
      </c>
      <c r="K140">
        <v>1</v>
      </c>
      <c r="L140" t="str">
        <f t="shared" si="2"/>
        <v>no</v>
      </c>
    </row>
    <row r="141" spans="1:12" ht="19" hidden="1">
      <c r="A141">
        <v>140</v>
      </c>
      <c r="B141" s="1" t="s">
        <v>82</v>
      </c>
      <c r="C141" s="2" t="s">
        <v>271</v>
      </c>
      <c r="D141" t="s">
        <v>84</v>
      </c>
      <c r="E141" t="s">
        <v>391</v>
      </c>
      <c r="G141" s="5"/>
      <c r="I141">
        <v>1</v>
      </c>
      <c r="K141">
        <v>1</v>
      </c>
      <c r="L141" t="str">
        <f t="shared" si="2"/>
        <v>no</v>
      </c>
    </row>
    <row r="142" spans="1:12" ht="19" hidden="1">
      <c r="A142">
        <v>141</v>
      </c>
      <c r="B142" s="1" t="s">
        <v>83</v>
      </c>
      <c r="C142" s="2" t="s">
        <v>271</v>
      </c>
      <c r="D142" t="s">
        <v>84</v>
      </c>
      <c r="E142" t="s">
        <v>391</v>
      </c>
      <c r="G142" s="5"/>
      <c r="I142">
        <v>1</v>
      </c>
      <c r="K142">
        <v>1</v>
      </c>
      <c r="L142" t="str">
        <f t="shared" si="2"/>
        <v>no</v>
      </c>
    </row>
    <row r="143" spans="1:12" ht="19">
      <c r="B143" s="1"/>
    </row>
    <row r="144" spans="1:12" ht="19">
      <c r="B144" s="1"/>
    </row>
  </sheetData>
  <autoFilter ref="A1:M145" xr:uid="{CDC925AE-7FF0-3244-95F6-37B0F343D4FE}">
    <filterColumn colId="8">
      <filters blank="1">
        <filter val="no"/>
        <filter val="yes"/>
      </filters>
    </filterColumn>
  </autoFilter>
  <phoneticPr fontId="1" type="noConversion"/>
  <conditionalFormatting sqref="E1:E1048576">
    <cfRule type="cellIs" dxfId="146" priority="3" operator="equal">
      <formula>"no"</formula>
    </cfRule>
    <cfRule type="cellIs" dxfId="145" priority="4" operator="equal">
      <formula>"yes"</formula>
    </cfRule>
  </conditionalFormatting>
  <conditionalFormatting sqref="F2:F142">
    <cfRule type="expression" dxfId="144" priority="2">
      <formula>F2&lt;&gt;E2</formula>
    </cfRule>
  </conditionalFormatting>
  <conditionalFormatting sqref="I2:I142">
    <cfRule type="expression" dxfId="143" priority="1">
      <formula>I2&lt;&gt;E2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D492D-89C5-EC46-B3C2-CE2FF72B1935}">
  <sheetPr codeName="工作表2"/>
  <dimension ref="A1:AE142"/>
  <sheetViews>
    <sheetView tabSelected="1" topLeftCell="N1" workbookViewId="0">
      <selection activeCell="AF14" sqref="AF14"/>
    </sheetView>
  </sheetViews>
  <sheetFormatPr baseColWidth="10" defaultRowHeight="15"/>
  <cols>
    <col min="12" max="12" width="11.83203125" customWidth="1"/>
    <col min="13" max="13" width="13.1640625" customWidth="1"/>
  </cols>
  <sheetData>
    <row r="1" spans="1:31">
      <c r="A1" t="s">
        <v>3116</v>
      </c>
      <c r="B1" t="s">
        <v>1552</v>
      </c>
      <c r="C1" t="s">
        <v>3117</v>
      </c>
      <c r="D1" t="s">
        <v>3118</v>
      </c>
      <c r="E1" t="s">
        <v>1553</v>
      </c>
      <c r="G1" t="s">
        <v>88</v>
      </c>
      <c r="H1" t="s">
        <v>0</v>
      </c>
      <c r="I1" t="s">
        <v>1552</v>
      </c>
      <c r="J1" t="s">
        <v>1553</v>
      </c>
      <c r="K1" t="s">
        <v>2061</v>
      </c>
      <c r="L1" t="s">
        <v>4</v>
      </c>
      <c r="M1" t="s">
        <v>1390</v>
      </c>
      <c r="N1" t="s">
        <v>2866</v>
      </c>
    </row>
    <row r="2" spans="1:31">
      <c r="A2">
        <v>1</v>
      </c>
      <c r="B2" t="s">
        <v>227</v>
      </c>
      <c r="C2" t="s">
        <v>7</v>
      </c>
      <c r="D2" t="s">
        <v>3119</v>
      </c>
      <c r="E2" t="str">
        <f>INDEX($D:$D, MATCH(B2, $C:$C, 0))</f>
        <v>yes/98/At approximately 0:05, the stentor undergoes a rapid, high-magnitude contraction. It transitions instantly from its fully extended trumpet-like form to a condensed, ball-like shape that pulls down toward the debris in the lower-left quadrant of the frame. The organism remains in this contracted state for the remainder of the video.</v>
      </c>
      <c r="L2" t="s">
        <v>5</v>
      </c>
      <c r="M2" t="s">
        <v>1470</v>
      </c>
      <c r="N2" t="s">
        <v>192</v>
      </c>
      <c r="O2">
        <v>90</v>
      </c>
      <c r="P2" t="s">
        <v>3001</v>
      </c>
    </row>
    <row r="3" spans="1:31">
      <c r="A3">
        <v>2</v>
      </c>
      <c r="B3" t="s">
        <v>22</v>
      </c>
      <c r="C3" t="s">
        <v>8</v>
      </c>
      <c r="D3" t="s">
        <v>1488</v>
      </c>
      <c r="E3" t="str">
        <f t="shared" ref="E3:E66" si="0">INDEX($D:$D, MATCH(B3, $C:$C, 0))</f>
        <v>no/0/Throughout the video, multiple stentors are visible, but they remain in condensed, oval, or ball-like shapes within the debris. From 0:00 to 0:09, there is no transition from an extended trumpet-like form into a shorter one for any of the visible organisms. While there is minor shifting and movement due to the surrounding environment and ciliary activity, none of the stentors exhibit a clear reduction in body length during the clip. Therefore, no contraction is observed.</v>
      </c>
      <c r="L3" t="s">
        <v>1818</v>
      </c>
      <c r="M3" t="s">
        <v>1819</v>
      </c>
      <c r="N3" t="s">
        <v>192</v>
      </c>
      <c r="O3">
        <v>90</v>
      </c>
      <c r="P3" t="s">
        <v>3002</v>
      </c>
    </row>
    <row r="4" spans="1:31" ht="19">
      <c r="A4">
        <v>3</v>
      </c>
      <c r="B4" t="s">
        <v>231</v>
      </c>
      <c r="C4" t="s">
        <v>9</v>
      </c>
      <c r="D4" t="s">
        <v>3120</v>
      </c>
      <c r="E4" t="str">
        <f t="shared" si="0"/>
        <v>yes/100/At approximately 0:04 to 0:05, the stentor undergoes a rapid transition from an extended trumpet-like shape to a condensed, ball-like shape. This quick change, occurring in about one subsampled frame, is a definitive contraction behavior.</v>
      </c>
      <c r="I4" s="1"/>
      <c r="L4" t="s">
        <v>2059</v>
      </c>
      <c r="M4" t="s">
        <v>2061</v>
      </c>
      <c r="N4" t="s">
        <v>201</v>
      </c>
      <c r="O4">
        <v>0</v>
      </c>
      <c r="P4" t="s">
        <v>3003</v>
      </c>
    </row>
    <row r="5" spans="1:31" ht="19">
      <c r="A5">
        <v>4</v>
      </c>
      <c r="B5" t="s">
        <v>232</v>
      </c>
      <c r="C5" t="s">
        <v>10</v>
      </c>
      <c r="D5" t="s">
        <v>3121</v>
      </c>
      <c r="E5" t="str">
        <f t="shared" si="0"/>
        <v>yes/100/At approximately 0:04, the stentor exhibits a sudden and rapid contraction, changing from an extended trumpet shape to a condensed, ball-like shape by the 0:05 mark. This rapid reduction in body length is a classic example of a typical contraction behavior.</v>
      </c>
      <c r="I5" s="1"/>
      <c r="L5" t="s">
        <v>2678</v>
      </c>
      <c r="M5" t="s">
        <v>2678</v>
      </c>
      <c r="N5" t="s">
        <v>201</v>
      </c>
      <c r="O5">
        <v>0</v>
      </c>
      <c r="P5" t="s">
        <v>3004</v>
      </c>
    </row>
    <row r="6" spans="1:31" ht="19">
      <c r="A6">
        <v>5</v>
      </c>
      <c r="B6" t="s">
        <v>21</v>
      </c>
      <c r="C6" t="s">
        <v>203</v>
      </c>
      <c r="D6" t="s">
        <v>3122</v>
      </c>
      <c r="E6" t="str">
        <f t="shared" si="0"/>
        <v>no/0/The stentor remains in a consistent, elongated column-like shape for the duration of the video. While there are subtle changes in its internal density and minor swaying against the debris, the distance between the "head" and the "tail" does not noticeably decrease. The organism does not transition into a condensed ball-like or spindle-like shape, indicating that no contraction behavior occurs during this 9-second interval.</v>
      </c>
      <c r="I6" s="1"/>
      <c r="L6" t="s">
        <v>2867</v>
      </c>
      <c r="M6" t="s">
        <v>2867</v>
      </c>
      <c r="N6" t="s">
        <v>201</v>
      </c>
      <c r="O6">
        <v>0</v>
      </c>
      <c r="P6" t="s">
        <v>2868</v>
      </c>
    </row>
    <row r="7" spans="1:31" ht="19">
      <c r="A7">
        <v>6</v>
      </c>
      <c r="B7" t="s">
        <v>203</v>
      </c>
      <c r="C7" t="s">
        <v>11</v>
      </c>
      <c r="D7" t="s">
        <v>1482</v>
      </c>
      <c r="E7" t="str">
        <f t="shared" si="0"/>
        <v>yes/85/Beginning at 0:03, the stentor starts a slow and steady reduction in its body length. By 0:09, the distance between the "head" and the "tail" has clearly decreased compared to the initial frames, resulting in a more condensed, spindle-like shape rather than its original extended trumpet-like form. This aligns with the "slow contraction" behavior described in the instructions (similar to reference image b.jpg).</v>
      </c>
      <c r="I7" s="1"/>
      <c r="N7" t="s">
        <v>201</v>
      </c>
      <c r="O7">
        <v>0</v>
      </c>
      <c r="P7" t="s">
        <v>3005</v>
      </c>
    </row>
    <row r="8" spans="1:31" ht="19">
      <c r="A8">
        <v>8</v>
      </c>
      <c r="B8" t="s">
        <v>225</v>
      </c>
      <c r="C8" t="s">
        <v>204</v>
      </c>
      <c r="E8" t="str">
        <f t="shared" si="0"/>
        <v>yes/98/At approximately 0:01, the stentor undergoes a rapid and high-magnitude contraction. It transitions from its fully extended, trumpet-like state to a condensed, ball-like shape that is pulled down toward the lower-left corner of the frame. The organism remains in this contracted state for the remainder of the video.</v>
      </c>
      <c r="I8" s="1"/>
      <c r="N8" t="s">
        <v>1717</v>
      </c>
      <c r="O8" t="s">
        <v>267</v>
      </c>
    </row>
    <row r="9" spans="1:31" ht="19">
      <c r="A9">
        <v>9</v>
      </c>
      <c r="B9" t="s">
        <v>253</v>
      </c>
      <c r="C9" t="s">
        <v>13</v>
      </c>
      <c r="D9" t="s">
        <v>1483</v>
      </c>
      <c r="E9" t="str">
        <f t="shared" si="0"/>
        <v>yes/100/At 0.04 s, the stentor undergoes a rapid and definitive contraction. It transitions from an extended, trumpet-like shape into a condensed, ball-like shape. This behavior involves a clear and measurable shortening of the body length , which constitutes a contraction according to the provided criteria.</v>
      </c>
      <c r="I9" s="1"/>
      <c r="N9" t="s">
        <v>192</v>
      </c>
      <c r="O9">
        <v>90</v>
      </c>
      <c r="P9" t="s">
        <v>3006</v>
      </c>
    </row>
    <row r="10" spans="1:31" ht="19">
      <c r="A10">
        <v>10</v>
      </c>
      <c r="B10" t="s">
        <v>242</v>
      </c>
      <c r="C10" t="s">
        <v>14</v>
      </c>
      <c r="D10" t="s">
        <v>1473</v>
      </c>
      <c r="E10" t="str">
        <f t="shared" si="0"/>
        <v>yes/100/At 0.04 s, the stentor undergoes a rapid contraction , transitioning from its extended trumpet-like "resting" shape into a condensed, ball-like shape that settles into the debris. This quick motion results in a clear and measurable shortening of the body length , which constitutes a definitive contraction according to the provided behavior criteria.</v>
      </c>
      <c r="I10" s="1"/>
      <c r="N10" t="s">
        <v>201</v>
      </c>
      <c r="O10">
        <v>0</v>
      </c>
      <c r="P10" t="s">
        <v>3007</v>
      </c>
    </row>
    <row r="11" spans="1:31" ht="19">
      <c r="A11">
        <v>18</v>
      </c>
      <c r="B11" t="s">
        <v>265</v>
      </c>
      <c r="C11" t="s">
        <v>208</v>
      </c>
      <c r="D11" t="s">
        <v>1497</v>
      </c>
      <c r="E11" t="str">
        <f t="shared" si="0"/>
        <v>yes/100/At 0.04 s, the stentor undergoes a rapid contraction, transitioning from its extended trumpet-like shape into a condensed, ball-like form. This sudden movement results in a clear and measurable shortening of the body length and a reduction in the distance between the "head" and "tail," which constitutes a definitive contraction according to the provided behavior criteria.</v>
      </c>
      <c r="I11" s="1"/>
      <c r="M11" s="17"/>
      <c r="N11" t="s">
        <v>192</v>
      </c>
      <c r="O11">
        <v>95</v>
      </c>
      <c r="P11" t="s">
        <v>3008</v>
      </c>
    </row>
    <row r="12" spans="1:31" ht="19">
      <c r="A12">
        <v>19</v>
      </c>
      <c r="B12" t="s">
        <v>60</v>
      </c>
      <c r="C12" t="s">
        <v>19</v>
      </c>
      <c r="D12" t="s">
        <v>1498</v>
      </c>
      <c r="E12" t="str">
        <f t="shared" si="0"/>
        <v>yes/100/At the beginning of the video (0-3s), the stentor is in an extended, trumpet-like shape. At approximately 4s, the organism undergoes a rapid and sudden contraction, pulling its "head" toward its "tail" and transforming into a condensed, ball-like shape. It remains in this contracted state for the duration of the video (4-9s).</v>
      </c>
      <c r="I12" s="1"/>
      <c r="N12" t="s">
        <v>1717</v>
      </c>
      <c r="O12" t="s">
        <v>267</v>
      </c>
    </row>
    <row r="13" spans="1:31" ht="19">
      <c r="A13">
        <v>20</v>
      </c>
      <c r="B13" t="s">
        <v>241</v>
      </c>
      <c r="C13" t="s">
        <v>20</v>
      </c>
      <c r="D13" t="s">
        <v>1499</v>
      </c>
      <c r="E13" t="str">
        <f t="shared" si="0"/>
        <v>yes/100/From 00:00 to 00:04, the stentor is fully extended in its trumpet-like "resting" shape. Between 00:04 and 00:05, the organism undergoes a rapid change, with the "head" pulling toward the "tail" within a single subsampled frame. By 00:05, the stentor has condensed into a ball-like shape, which is the defining characteristic of a contraction. Therefore, a contraction occurs.</v>
      </c>
      <c r="I13" s="1"/>
      <c r="N13" t="s">
        <v>1717</v>
      </c>
      <c r="O13" t="s">
        <v>267</v>
      </c>
      <c r="Y13" s="39"/>
      <c r="Z13" s="39"/>
      <c r="AA13" s="39"/>
      <c r="AB13" s="39"/>
      <c r="AC13" s="39"/>
      <c r="AD13" s="39"/>
      <c r="AE13" s="33"/>
    </row>
    <row r="14" spans="1:31" ht="19">
      <c r="A14">
        <v>21</v>
      </c>
      <c r="B14" t="s">
        <v>20</v>
      </c>
      <c r="C14" t="s">
        <v>209</v>
      </c>
      <c r="D14" t="s">
        <v>1500</v>
      </c>
      <c r="E14" t="str">
        <f t="shared" si="0"/>
        <v>yes/98/At approximately 0:06, the stentor undergoes a rapid, high-magnitude contraction. It transitions instantly from a fully extended trumpet-like state to a condensed, ball-like shape that is pulled down toward the attachment point in the debris. The organism remains in this contracted state for the remainder of the video.</v>
      </c>
      <c r="I14" s="1"/>
      <c r="N14" t="s">
        <v>1717</v>
      </c>
      <c r="O14" t="s">
        <v>267</v>
      </c>
      <c r="Y14" s="46"/>
      <c r="Z14" s="46"/>
      <c r="AA14" s="46"/>
      <c r="AB14" s="46"/>
      <c r="AC14" s="46"/>
      <c r="AD14" s="46"/>
      <c r="AE14" s="33"/>
    </row>
    <row r="15" spans="1:31" ht="19">
      <c r="A15">
        <v>22</v>
      </c>
      <c r="B15" t="s">
        <v>57</v>
      </c>
      <c r="C15" t="s">
        <v>210</v>
      </c>
      <c r="D15" t="s">
        <v>1501</v>
      </c>
      <c r="E15" t="str">
        <f t="shared" si="0"/>
        <v>yes/100/At 0.04 s, the stentor undergoes a rapid contraction , transitioning from an extended trumpet-like shape into a condensed, ball-like shape. This sudden movement results in a clear and measurable shortening of the body length , which constitutes a definitive contraction according to the provided behavior criteria.</v>
      </c>
      <c r="I15" s="1"/>
      <c r="N15" t="s">
        <v>1717</v>
      </c>
      <c r="O15" t="s">
        <v>267</v>
      </c>
      <c r="Y15" s="39"/>
      <c r="Z15" s="39"/>
      <c r="AA15" s="39"/>
      <c r="AB15" s="39"/>
      <c r="AC15" s="39"/>
      <c r="AD15" s="39"/>
      <c r="AE15" s="33"/>
    </row>
    <row r="16" spans="1:31" ht="19">
      <c r="A16">
        <v>23</v>
      </c>
      <c r="B16" t="s">
        <v>30</v>
      </c>
      <c r="C16" t="s">
        <v>211</v>
      </c>
      <c r="D16" t="s">
        <v>1490</v>
      </c>
      <c r="E16" t="str">
        <f t="shared" si="0"/>
        <v>no/0/Throughout the video, the stentor remains in a condensed, ball-like state partially obscured by the debris on the left. At approximately 0:04 to 0:05, there is some movement or rotation of the organism as it shifts slightly behind the debris, but it does not transition from an extended trumpet shape into a contracted form. Since the organism is already shortened and does not exhibit a clear reduction in body length during the clip, no contraction is observed.</v>
      </c>
      <c r="I16" s="1"/>
      <c r="N16" t="s">
        <v>1717</v>
      </c>
      <c r="O16" t="s">
        <v>267</v>
      </c>
      <c r="Y16" s="40"/>
      <c r="Z16" s="40"/>
      <c r="AA16" s="40"/>
      <c r="AB16" s="40"/>
      <c r="AC16" s="40"/>
      <c r="AD16" s="49"/>
    </row>
    <row r="17" spans="1:31" ht="19">
      <c r="A17">
        <v>24</v>
      </c>
      <c r="B17" t="s">
        <v>234</v>
      </c>
      <c r="C17" t="s">
        <v>212</v>
      </c>
      <c r="D17" t="s">
        <v>1502</v>
      </c>
      <c r="E17" t="str">
        <f t="shared" si="0"/>
        <v>yes/100/At approximately 0:04 to 0:05, the stentor undergoes a rapid transition from an extended trumpet-like shape to a condensed, ball-like shape tucked near the debris. This sudden reduction in body length, where the distance between the "head" and "tail" is minimized , constitutes a definitive contraction.</v>
      </c>
      <c r="I17" s="1"/>
      <c r="N17" t="s">
        <v>1717</v>
      </c>
      <c r="O17" t="s">
        <v>267</v>
      </c>
      <c r="Y17" s="42"/>
      <c r="Z17" s="42"/>
      <c r="AA17" s="42"/>
      <c r="AB17" s="42"/>
      <c r="AC17" s="42"/>
      <c r="AD17" s="42"/>
    </row>
    <row r="18" spans="1:31" ht="19">
      <c r="A18">
        <v>25</v>
      </c>
      <c r="B18" t="s">
        <v>235</v>
      </c>
      <c r="C18" t="s">
        <v>213</v>
      </c>
      <c r="D18" t="s">
        <v>1503</v>
      </c>
      <c r="E18" t="str">
        <f t="shared" si="0"/>
        <v>yes/100/At approximately 0:04, the stentor exhibits a rapid contraction. It transitions from its fully extended trumpet-like shape where the distance between the "head" and "tail" is at a maximum to a condensed, ball-like shape by 0:05. This quick change in morphology is a definitive example of a typical contraction.</v>
      </c>
      <c r="I18" s="1"/>
      <c r="N18" t="s">
        <v>1717</v>
      </c>
      <c r="O18" t="s">
        <v>267</v>
      </c>
      <c r="Y18" s="31"/>
      <c r="Z18" s="31"/>
      <c r="AA18" s="31"/>
      <c r="AB18" s="31"/>
      <c r="AC18" s="31"/>
      <c r="AD18" s="31"/>
    </row>
    <row r="19" spans="1:31" ht="19">
      <c r="A19">
        <v>26</v>
      </c>
      <c r="B19" t="s">
        <v>28</v>
      </c>
      <c r="C19" t="s">
        <v>21</v>
      </c>
      <c r="D19" t="s">
        <v>3123</v>
      </c>
      <c r="E19" t="str">
        <f t="shared" si="0"/>
        <v>no/0/The stentor remains in a condensed, ball-like state throughout the entire video. While there is slight movement and a change in the orientation of the organism around 0:04, it does not transition from an extended trumpet-like shape to a contracted one. Since the organism is already in its shortest form at the start and does not exhibit any further clear reduction in length, no contraction occurs within the duration of this clip.</v>
      </c>
      <c r="I19" s="1"/>
      <c r="N19" t="s">
        <v>192</v>
      </c>
      <c r="O19">
        <v>100</v>
      </c>
      <c r="P19" t="s">
        <v>3009</v>
      </c>
      <c r="Y19" s="38"/>
      <c r="Z19" s="38"/>
      <c r="AA19" s="38"/>
      <c r="AB19" s="38"/>
      <c r="AC19" s="38"/>
      <c r="AD19" s="38"/>
    </row>
    <row r="20" spans="1:31" ht="19">
      <c r="A20">
        <v>27</v>
      </c>
      <c r="B20" t="s">
        <v>14</v>
      </c>
      <c r="C20" t="s">
        <v>22</v>
      </c>
      <c r="D20" t="s">
        <v>1491</v>
      </c>
      <c r="E20" t="str">
        <f t="shared" si="0"/>
        <v>yes/100/At 0:05, the stentor exhibits a sudden and rapid contraction. During the first five seconds of the video, it is visible in the upper-left quadrant in an elongated, trumpet-like state. Between 0:05 and 0:06, it quickly pulls back toward the upper-right corner, significantly reducing its body length and adopting a condensed, spindle-like shape. This rapid transition from an extended to a shortened state constitutes a definitive contraction.</v>
      </c>
      <c r="I20" s="1"/>
      <c r="N20" t="s">
        <v>192</v>
      </c>
      <c r="O20">
        <v>100</v>
      </c>
      <c r="P20" t="s">
        <v>3010</v>
      </c>
      <c r="Y20" s="35"/>
      <c r="Z20" s="26"/>
      <c r="AA20" s="26"/>
      <c r="AB20" s="26"/>
      <c r="AC20" s="26"/>
      <c r="AD20" s="26"/>
    </row>
    <row r="21" spans="1:31" ht="19">
      <c r="A21">
        <v>34</v>
      </c>
      <c r="B21" t="s">
        <v>237</v>
      </c>
      <c r="C21" t="s">
        <v>217</v>
      </c>
      <c r="D21" t="s">
        <v>1504</v>
      </c>
      <c r="E21" t="str">
        <f t="shared" si="0"/>
        <v>yes/98/The stentor starts the video in a fully extended, trumpet-like shape. At approximately second 00:03, it undergoes a rapid contraction , pulling its "head" toward its "tail" and transforming into a condensed, ball-like shape. This behavior aligns with the primary definition of a contraction provided in the instructions.</v>
      </c>
      <c r="I21" s="1"/>
      <c r="N21" t="s">
        <v>192</v>
      </c>
      <c r="O21">
        <v>95</v>
      </c>
      <c r="P21" t="s">
        <v>3011</v>
      </c>
      <c r="Y21" s="26"/>
      <c r="Z21" s="26"/>
      <c r="AA21" s="26"/>
      <c r="AB21" s="26"/>
      <c r="AC21" s="26"/>
      <c r="AD21" s="26"/>
    </row>
    <row r="22" spans="1:31" ht="19">
      <c r="A22">
        <v>35</v>
      </c>
      <c r="B22" t="s">
        <v>7</v>
      </c>
      <c r="C22" t="s">
        <v>218</v>
      </c>
      <c r="D22" t="s">
        <v>1505</v>
      </c>
      <c r="E22" t="str">
        <f t="shared" si="0"/>
        <v>yes/100/At 0:05, the stentor undergoes a rapid and complete contraction. Prior to this, it is in a fully extended, trumpet-like shape with its "head" positioned near the glass needle. At 0:05, it suddenly retracts toward the lower-left corner of the frame, transforming into a condensed, ball-like shape partially obscured by debris. This is a clear and unambiguous example of a typical quick contraction.</v>
      </c>
      <c r="I22" s="1"/>
      <c r="N22" t="s">
        <v>192</v>
      </c>
      <c r="O22">
        <v>95</v>
      </c>
      <c r="P22" t="s">
        <v>3012</v>
      </c>
      <c r="Y22" s="26"/>
      <c r="Z22" s="26"/>
      <c r="AA22" s="26"/>
      <c r="AB22" s="26"/>
      <c r="AC22" s="26"/>
      <c r="AD22" s="26"/>
    </row>
    <row r="23" spans="1:31" ht="19">
      <c r="A23">
        <v>37</v>
      </c>
      <c r="B23" t="s">
        <v>211</v>
      </c>
      <c r="C23" t="s">
        <v>220</v>
      </c>
      <c r="D23" t="s">
        <v>1506</v>
      </c>
      <c r="E23" t="str">
        <f t="shared" si="0"/>
        <v>no/0/The stentor remains in a condensed, ball-like state throughout the entire video. While it is visible near the center and shows minor movement against the surrounding debris, it does not transition from an extended trumpet-like form into a contracted one. Since the organism is already in its shortest form at the start and does not exhibit any further clear reduction in length, no contraction occurs within the duration of this clip.</v>
      </c>
      <c r="I23" s="1"/>
      <c r="N23" t="s">
        <v>192</v>
      </c>
      <c r="O23">
        <v>90</v>
      </c>
      <c r="P23" t="s">
        <v>3013</v>
      </c>
      <c r="AE23" s="26"/>
    </row>
    <row r="24" spans="1:31" ht="19">
      <c r="A24">
        <v>38</v>
      </c>
      <c r="B24" t="s">
        <v>61</v>
      </c>
      <c r="C24" t="s">
        <v>221</v>
      </c>
      <c r="D24" t="s">
        <v>3124</v>
      </c>
      <c r="E24" t="str">
        <f t="shared" si="0"/>
        <v>no/0/The stentor remains in a consistent state throughout the video. In the center-left, an extended, trumpet-like stentor is visible but stays fully elongated without any reduction in length. To its right, a second stentor is seen in a more condensed, teardrop shape; however, it does not undergo any further change in shape or size during the 9-second clip. Since neither organism transitions from an extended state to a shorter one, no contraction occurs.</v>
      </c>
      <c r="I24" s="1"/>
      <c r="N24" t="s">
        <v>201</v>
      </c>
      <c r="O24">
        <v>0</v>
      </c>
      <c r="P24" t="s">
        <v>3014</v>
      </c>
      <c r="Y24" s="33"/>
      <c r="Z24" s="33"/>
      <c r="AA24" s="33"/>
      <c r="AB24" s="33"/>
      <c r="AC24" s="33"/>
      <c r="AD24" s="33"/>
    </row>
    <row r="25" spans="1:31" ht="19">
      <c r="A25">
        <v>39</v>
      </c>
      <c r="B25" t="s">
        <v>252</v>
      </c>
      <c r="C25" t="s">
        <v>222</v>
      </c>
      <c r="D25" t="s">
        <v>1508</v>
      </c>
      <c r="E25" t="str">
        <f t="shared" si="0"/>
        <v>yes/100/At 0.05 s, the stentor undergoes a rapid contraction , transitioning from an extended trumpet-like shape to a condensed, ball-like form that pulls away from the center of the frame. This sudden movement results in a clear and measurable shortening of the body length , which constitutes a definitive contraction according to the provided behavior criteria.</v>
      </c>
      <c r="I25" s="1"/>
      <c r="N25" t="s">
        <v>192</v>
      </c>
      <c r="O25">
        <v>100</v>
      </c>
      <c r="P25" t="s">
        <v>3015</v>
      </c>
      <c r="R25" t="s">
        <v>2836</v>
      </c>
      <c r="Y25" s="33"/>
      <c r="Z25" s="33"/>
      <c r="AA25" s="33"/>
      <c r="AB25" s="33"/>
      <c r="AC25" s="33"/>
      <c r="AD25" s="33"/>
    </row>
    <row r="26" spans="1:31" ht="19">
      <c r="A26">
        <v>41</v>
      </c>
      <c r="B26" t="s">
        <v>220</v>
      </c>
      <c r="C26" t="s">
        <v>223</v>
      </c>
      <c r="D26" t="s">
        <v>1509</v>
      </c>
      <c r="E26" t="str">
        <f t="shared" si="0"/>
        <v>yes/99/At approximately 0:04, the stentor undergoes a rapid, high-magnitude contraction. It transitions instantly from its fully extended trumpet-like form to a condensed, ball-like shape that is pulled down toward the lower-left corner of the frame. The organism remains in this contracted state for the remainder of the video.</v>
      </c>
      <c r="I26" s="1"/>
      <c r="N26" t="s">
        <v>192</v>
      </c>
      <c r="O26">
        <v>90</v>
      </c>
      <c r="P26" t="s">
        <v>3016</v>
      </c>
      <c r="Y26" s="33"/>
      <c r="Z26" s="33"/>
      <c r="AA26" s="33"/>
      <c r="AB26" s="33"/>
      <c r="AC26" s="33"/>
      <c r="AD26" s="33"/>
    </row>
    <row r="27" spans="1:31" ht="19">
      <c r="A27">
        <v>42</v>
      </c>
      <c r="B27" t="s">
        <v>208</v>
      </c>
      <c r="C27" t="s">
        <v>27</v>
      </c>
      <c r="D27" t="s">
        <v>1510</v>
      </c>
      <c r="E27" t="str">
        <f t="shared" si="0"/>
        <v>yes/98/At approximately 0:03, the stentor undergoes an extremely rapid contraction, disappearing from its extended trumpet-like position and pulling toward its "tail" attachment point at the bottom left. By 0:04, the organism is no longer in the extended state and has condensed into a ball-like shape partially obscured by the surrounding debris and beads.</v>
      </c>
      <c r="I27" s="1"/>
      <c r="N27" t="s">
        <v>192</v>
      </c>
      <c r="O27">
        <v>90</v>
      </c>
      <c r="P27" t="s">
        <v>3017</v>
      </c>
      <c r="Y27" s="33"/>
      <c r="Z27" s="33"/>
      <c r="AA27" s="33"/>
      <c r="AB27" s="33"/>
      <c r="AC27" s="33"/>
      <c r="AD27" s="33"/>
    </row>
    <row r="28" spans="1:31" ht="19">
      <c r="A28">
        <v>43</v>
      </c>
      <c r="B28" t="s">
        <v>239</v>
      </c>
      <c r="C28" t="s">
        <v>224</v>
      </c>
      <c r="D28" t="s">
        <v>1511</v>
      </c>
      <c r="E28" t="str">
        <f t="shared" si="0"/>
        <v>yes/100/At 00:00, the stentor is visible in an extended state with its "head" clearly defined. Between 00:03 and 00:04, it undergoes a rapid contraction, pulling its head toward its tail until it forms a condensed, ball-like shape. By 00:04, the organism has fully retracted into the surrounding debris, completing a typical quick contraction within one or two frames. Therefore, a contraction occurs.</v>
      </c>
      <c r="I28" s="1"/>
      <c r="N28" t="s">
        <v>192</v>
      </c>
      <c r="O28">
        <v>95</v>
      </c>
      <c r="P28" t="s">
        <v>3018</v>
      </c>
    </row>
    <row r="29" spans="1:31" ht="19">
      <c r="A29">
        <v>44</v>
      </c>
      <c r="B29" t="s">
        <v>40</v>
      </c>
      <c r="C29" t="s">
        <v>225</v>
      </c>
      <c r="D29" t="s">
        <v>1512</v>
      </c>
      <c r="E29" t="str">
        <f t="shared" si="0"/>
        <v>yes/95/Starting at approximately 0:04, the stentor begins a slow but clear shortening of its body length. While the organism was already in a somewhat squat trumpet shape, there is an unambiguous reduction in the distance between the "head" and the "tail" from 0:04 through 0:09, resulting in a more condensed, spindle-like shape by the end of the video. This fulfills the criteria for a slow or partial contraction as seen in the reference materials.</v>
      </c>
      <c r="I29" s="1"/>
      <c r="N29" t="s">
        <v>1717</v>
      </c>
      <c r="O29" t="s">
        <v>267</v>
      </c>
    </row>
    <row r="30" spans="1:31" ht="19">
      <c r="A30">
        <v>45</v>
      </c>
      <c r="B30" t="s">
        <v>11</v>
      </c>
      <c r="C30" t="s">
        <v>226</v>
      </c>
      <c r="D30" t="s">
        <v>1514</v>
      </c>
      <c r="E30" t="str">
        <f t="shared" si="0"/>
        <v>yes/90/Starting around 0:04, the stentor begins a slow but clear shortening of its body length. By the end of the video at 0:09, the distance between the "head" and the "tail" has decreased significantly, and the organism has transitioned from a more elongated trumpet-like shape to a condensed, spindle-like form. This follows the criteria for a slow contraction as described in the instructions and reference image b.jpg.</v>
      </c>
      <c r="I30" s="1"/>
      <c r="N30" t="s">
        <v>1717</v>
      </c>
      <c r="O30" t="s">
        <v>267</v>
      </c>
    </row>
    <row r="31" spans="1:31" ht="19">
      <c r="A31">
        <v>46</v>
      </c>
      <c r="B31" t="s">
        <v>39</v>
      </c>
      <c r="C31" t="s">
        <v>227</v>
      </c>
      <c r="D31" t="s">
        <v>1513</v>
      </c>
      <c r="E31" t="str">
        <f t="shared" si="0"/>
        <v>yes/100/At 0.05 s, the stentor rapidly changes from an extended trumpet shape to a condensed form. This sudden shortening significantly reduces the distance between the "head" and "tail" as it disappears into the debris, which constitutes a typical contraction.</v>
      </c>
      <c r="I31" s="1"/>
      <c r="N31" t="s">
        <v>1717</v>
      </c>
      <c r="O31" t="s">
        <v>267</v>
      </c>
    </row>
    <row r="32" spans="1:31" ht="19">
      <c r="A32">
        <v>47</v>
      </c>
      <c r="B32" t="s">
        <v>229</v>
      </c>
      <c r="C32" t="s">
        <v>228</v>
      </c>
      <c r="D32" t="s">
        <v>3125</v>
      </c>
      <c r="E32" t="str">
        <f t="shared" si="0"/>
        <v>yes/100/At approximately 0:05, the stentor undergoes a rapid contraction, shifting from an extended trumpet-like shape to a condensed, ball-like shape. This quick transition significantly reduces the distance between the "head" and "tail" , representing a definitive contraction behavior.</v>
      </c>
      <c r="I32" s="1"/>
      <c r="N32" t="s">
        <v>1717</v>
      </c>
      <c r="O32" t="s">
        <v>267</v>
      </c>
    </row>
    <row r="33" spans="1:16" ht="19">
      <c r="A33">
        <v>48</v>
      </c>
      <c r="B33" t="s">
        <v>27</v>
      </c>
      <c r="C33" t="s">
        <v>229</v>
      </c>
      <c r="D33" t="s">
        <v>1516</v>
      </c>
      <c r="E33" t="str">
        <f t="shared" si="0"/>
        <v>yes/98/At approximately 0:05, the stentor undergoes a rapid, high-magnitude contraction. It transitions from an extended, elongated state to a condensed, ball-like shape that pulls back toward the debris at the top left of the frame. The organism remains in this shortened, contracted state for the remainder of the video.</v>
      </c>
      <c r="I33" s="1"/>
      <c r="N33" t="s">
        <v>1717</v>
      </c>
      <c r="O33" t="s">
        <v>267</v>
      </c>
    </row>
    <row r="34" spans="1:16" ht="19">
      <c r="A34">
        <v>49</v>
      </c>
      <c r="B34" t="s">
        <v>240</v>
      </c>
      <c r="C34" t="s">
        <v>230</v>
      </c>
      <c r="D34" t="s">
        <v>1517</v>
      </c>
      <c r="E34" t="str">
        <f t="shared" si="0"/>
        <v>yes/100/At 00:00, the stentor is visible in an extended state with its "head" clearly defined. Between 00:03 and 00:04, it undergoes a rapid contraction, pulling its head toward its tail until it forms a condensed, ball-like shape. By 00:04, the organism has fully retracted into the surrounding debris, completing a typical quick contraction within one or two frames. Therefore, a contraction occurs.</v>
      </c>
      <c r="I34" s="1"/>
      <c r="N34" t="s">
        <v>1717</v>
      </c>
      <c r="O34" t="s">
        <v>267</v>
      </c>
    </row>
    <row r="35" spans="1:16" ht="19">
      <c r="A35">
        <v>50</v>
      </c>
      <c r="B35" t="s">
        <v>223</v>
      </c>
      <c r="C35" t="s">
        <v>231</v>
      </c>
      <c r="D35" t="s">
        <v>1518</v>
      </c>
      <c r="E35" t="str">
        <f t="shared" si="0"/>
        <v>yes/98/At approximately 0:04, the stentor undergoes a rapid and high-magnitude contraction. It transitions instantly from its fully extended trumpet-like shape into a condensed, ball-like form pulled down toward the lower-left corner of the frame. The organism remains in this contracted state for the remainder of the video.</v>
      </c>
      <c r="I35" s="1"/>
      <c r="N35" t="s">
        <v>192</v>
      </c>
      <c r="O35">
        <v>95</v>
      </c>
      <c r="P35" t="s">
        <v>3019</v>
      </c>
    </row>
    <row r="36" spans="1:16" ht="19">
      <c r="A36">
        <v>51</v>
      </c>
      <c r="B36" t="s">
        <v>228</v>
      </c>
      <c r="C36" t="s">
        <v>232</v>
      </c>
      <c r="D36" t="s">
        <v>1520</v>
      </c>
      <c r="E36" t="str">
        <f t="shared" si="0"/>
        <v>yes/100/At approximately 0:05, the stentor undergoes a rapid and dramatic change in morphology, transitioning from an extended trumpet-like shape to a condensed, ball-like shape. This behavior matches the typical contraction profile where the distance between the "head" and "tail" is minimized almost instantly.</v>
      </c>
      <c r="I36" s="1"/>
      <c r="N36" t="s">
        <v>192</v>
      </c>
      <c r="O36">
        <v>100</v>
      </c>
      <c r="P36" t="s">
        <v>3020</v>
      </c>
    </row>
    <row r="37" spans="1:16" ht="19">
      <c r="A37">
        <v>52</v>
      </c>
      <c r="B37" t="s">
        <v>236</v>
      </c>
      <c r="C37" t="s">
        <v>233</v>
      </c>
      <c r="D37" t="s">
        <v>1521</v>
      </c>
      <c r="E37" t="str">
        <f t="shared" si="0"/>
        <v>yes/100/At 00:03, the stentor is in an extended, trumpet-like "resting" state. Between 00:03 and 00:04, it rapidly pulls its "head" toward its "tail," completing a typical quick contraction within a single subsampled frame. By 00:04, the organism has transformed into a condensed, ball-like shape. Therefore, a contraction occurs.</v>
      </c>
      <c r="I37" s="1"/>
      <c r="N37" t="s">
        <v>1717</v>
      </c>
      <c r="O37" t="s">
        <v>267</v>
      </c>
    </row>
    <row r="38" spans="1:16" ht="19">
      <c r="A38">
        <v>53</v>
      </c>
      <c r="B38" t="s">
        <v>33</v>
      </c>
      <c r="C38" t="s">
        <v>234</v>
      </c>
      <c r="D38" t="s">
        <v>1522</v>
      </c>
      <c r="E38" t="str">
        <f t="shared" si="0"/>
        <v>no/0/The stentor remains in a condensed, oval-to-pear-like shape for the entire duration of the video. Throughout the 9-second clip, the organism is seen swimming or drifting through the frame already in a shortened state. There is no transition from an elongated, trumpet-like form into a shorter one, and the distance between the "head" and the "tail" does not noticeably decrease further. Because the organism maintains its condensed morphology without a distinct contraction event, no contraction is recorded.</v>
      </c>
      <c r="I38" s="1"/>
      <c r="N38" t="s">
        <v>192</v>
      </c>
      <c r="O38">
        <v>90</v>
      </c>
      <c r="P38" t="s">
        <v>3021</v>
      </c>
    </row>
    <row r="39" spans="1:16" ht="19">
      <c r="A39">
        <v>54</v>
      </c>
      <c r="B39" t="s">
        <v>37</v>
      </c>
      <c r="C39" t="s">
        <v>235</v>
      </c>
      <c r="D39" t="s">
        <v>1523</v>
      </c>
      <c r="E39" t="str">
        <f t="shared" si="0"/>
        <v>yes/95/At approximately 0:02 s, the stentor undergoes a rapid and complete contraction, transitioning from its extended trumpet-like shape into a condensed, ball-like form. The "head" moves significantly closer to the "tail" near the debris at the bottom. Following this quick contraction, the organism begins to slowly re-extend, appearing partially recovered by the end of the video.</v>
      </c>
      <c r="I39" s="1"/>
      <c r="N39" t="s">
        <v>192</v>
      </c>
      <c r="O39">
        <v>90</v>
      </c>
      <c r="P39" t="s">
        <v>3022</v>
      </c>
    </row>
    <row r="40" spans="1:16" ht="19">
      <c r="A40">
        <v>55</v>
      </c>
      <c r="B40" t="s">
        <v>224</v>
      </c>
      <c r="C40" t="s">
        <v>236</v>
      </c>
      <c r="D40" t="s">
        <v>1524</v>
      </c>
      <c r="E40" t="str">
        <f t="shared" si="0"/>
        <v>yes/99/At approximately 0:04, the stentor undergoes a rapid and extreme contraction. It transitions from a highly elongated, curved trumpet shape to a condensed, bean-like shape in a single frame. The organism remains in this contracted, ball-like state near the bottom-right debris for the duration of the video.</v>
      </c>
      <c r="I40" s="1"/>
      <c r="N40" t="s">
        <v>201</v>
      </c>
      <c r="O40">
        <v>0</v>
      </c>
      <c r="P40" t="s">
        <v>3023</v>
      </c>
    </row>
    <row r="41" spans="1:16" ht="19">
      <c r="A41">
        <v>56</v>
      </c>
      <c r="B41" t="s">
        <v>38</v>
      </c>
      <c r="C41" t="s">
        <v>237</v>
      </c>
      <c r="D41" t="s">
        <v>1519</v>
      </c>
      <c r="E41" t="str">
        <f t="shared" si="0"/>
        <v>yes/100/At 0:05, the stentor performs a rapid and complete contraction. From 0:00 to 0:04, it is clearly visible in an extended, trumpet-like state. Between frames 0:04 and 0:05, it suddenly retracts toward the debris at the bottom-left, disappearing from its extended position and assuming a condensed shape within the cluster. This is a definitive example of a quick contraction.</v>
      </c>
      <c r="I41" s="1"/>
      <c r="N41" t="s">
        <v>1717</v>
      </c>
      <c r="O41" t="s">
        <v>267</v>
      </c>
    </row>
    <row r="42" spans="1:16" ht="19">
      <c r="A42">
        <v>57</v>
      </c>
      <c r="B42" t="s">
        <v>58</v>
      </c>
      <c r="C42" t="s">
        <v>238</v>
      </c>
      <c r="D42" t="s">
        <v>3126</v>
      </c>
      <c r="E42" t="str">
        <f t="shared" si="0"/>
        <v>no/0/The stentor remains in a condensed, oval-to-ball-like shape for the entire duration of the video. Throughout the 9-second clip, there is no transition from an extended trumpet-like form into a shorter one; rather, the organism is already in a shortened state at the start and maintains this morphology with only very minor shifting in orientation. No clear contraction event or further reduction in body length occurs.</v>
      </c>
      <c r="I42" s="1"/>
      <c r="N42" t="s">
        <v>192</v>
      </c>
      <c r="O42">
        <v>100</v>
      </c>
      <c r="P42" t="s">
        <v>3024</v>
      </c>
    </row>
    <row r="43" spans="1:16" ht="19">
      <c r="A43">
        <v>58</v>
      </c>
      <c r="B43" t="s">
        <v>36</v>
      </c>
      <c r="C43" t="s">
        <v>28</v>
      </c>
      <c r="D43" t="s">
        <v>1475</v>
      </c>
      <c r="E43" t="str">
        <f t="shared" si="0"/>
        <v>yes/100/At 0.01 s, the stentor begins a rapid contraction, shifting from its extended trumpet-like shape into a condensed, ball-like shape by 0.02 s. This sudden shortening significantly reduces the distance between the "head" and "tail" , which constitutes a definitive contraction according to the provided behavior criteria.</v>
      </c>
      <c r="I43" s="1"/>
      <c r="N43" t="s">
        <v>192</v>
      </c>
      <c r="O43">
        <v>95</v>
      </c>
      <c r="P43" t="s">
        <v>3025</v>
      </c>
    </row>
    <row r="44" spans="1:16" ht="19">
      <c r="A44">
        <v>59</v>
      </c>
      <c r="B44" t="s">
        <v>257</v>
      </c>
      <c r="C44" t="s">
        <v>29</v>
      </c>
      <c r="D44" t="s">
        <v>3127</v>
      </c>
      <c r="E44" t="str">
        <f t="shared" si="0"/>
        <v>yes/100/At 0.04 s, the stentor undergoes a rapid contraction, transitioning from its extended trumpet-like shape into a condensed, spindle-like form. This sudden movement results in a clear and measurable shortening of the body length and a reduction in the distance between the "head" and "tail," which constitutes a definitive contraction according to the provided behavior criteria.</v>
      </c>
      <c r="I44" s="1"/>
      <c r="N44" t="s">
        <v>192</v>
      </c>
      <c r="O44">
        <v>95</v>
      </c>
      <c r="P44" t="s">
        <v>3026</v>
      </c>
    </row>
    <row r="45" spans="1:16" ht="19">
      <c r="A45">
        <v>60</v>
      </c>
      <c r="B45" t="s">
        <v>222</v>
      </c>
      <c r="C45" t="s">
        <v>239</v>
      </c>
      <c r="D45" t="s">
        <v>1525</v>
      </c>
      <c r="E45" t="str">
        <f t="shared" si="0"/>
        <v>yes/98/At approximately 0:04, the primary stentor in the center of the frame undergoes a rapid, high-magnitude contraction. It transitions from its fully extended trumpet-like form into a condensed, ball-like shape that pulls down toward the debris at the bottom of the frame. The organism remains in this contracted state for the duration of the video.</v>
      </c>
      <c r="G45" s="5"/>
      <c r="H45" s="5"/>
      <c r="I45" s="1"/>
      <c r="N45" t="s">
        <v>192</v>
      </c>
      <c r="O45">
        <v>95</v>
      </c>
      <c r="P45" t="s">
        <v>3027</v>
      </c>
    </row>
    <row r="46" spans="1:16" ht="19">
      <c r="A46">
        <v>61</v>
      </c>
      <c r="B46" t="s">
        <v>54</v>
      </c>
      <c r="C46" t="s">
        <v>30</v>
      </c>
      <c r="D46" t="s">
        <v>1476</v>
      </c>
      <c r="E46" t="str">
        <f t="shared" si="0"/>
        <v>yes/100/At 0.04 s, the stentor undergoes a rapid contraction, transitioning from its extended trumpet-like shape into a condensed, ball-like shape. This sudden movement results in a clear and measurable shortening of the body length , which constitutes a definitive contraction according to the provided behavior criteria.</v>
      </c>
      <c r="I46" s="1"/>
      <c r="N46" t="s">
        <v>192</v>
      </c>
      <c r="O46">
        <v>95</v>
      </c>
      <c r="P46" t="s">
        <v>3028</v>
      </c>
    </row>
    <row r="47" spans="1:16" ht="19">
      <c r="A47">
        <v>62</v>
      </c>
      <c r="B47" t="s">
        <v>230</v>
      </c>
      <c r="C47" t="s">
        <v>240</v>
      </c>
      <c r="D47" t="s">
        <v>1525</v>
      </c>
      <c r="E47" t="str">
        <f t="shared" si="0"/>
        <v>yes/100/Between 0:03 and 0:04, the stentor exhibits a rapid contraction. It transitions from an extended, trumpet-like shape where the distance between the "head" and "tail" is at a maximum to a condensed, ball-like shape. This quick change in morphology, occurring in approximately one frame, is a definitive characteristic of a typical contraction.</v>
      </c>
      <c r="I47" s="1"/>
      <c r="N47" t="s">
        <v>192</v>
      </c>
      <c r="O47">
        <v>90</v>
      </c>
      <c r="P47" t="s">
        <v>3029</v>
      </c>
    </row>
    <row r="48" spans="1:16" ht="19">
      <c r="A48">
        <v>63</v>
      </c>
      <c r="B48" t="s">
        <v>221</v>
      </c>
      <c r="C48" t="s">
        <v>31</v>
      </c>
      <c r="D48" t="s">
        <v>1477</v>
      </c>
      <c r="E48" t="str">
        <f t="shared" si="0"/>
        <v>yes/98/At approximately 0:04, the stentor positioned in the lower-left quadrant undergoes a rapid, high-magnitude contraction. It transitions instantly from its extended trumpet-like form into a condensed, ball-like shape that is pulled down toward the debris at the bottom left of the frame. The organism remains in this contracted state for the remainder of the video.</v>
      </c>
      <c r="I48" s="1"/>
      <c r="N48" t="s">
        <v>192</v>
      </c>
      <c r="O48">
        <v>100</v>
      </c>
      <c r="P48" t="s">
        <v>3030</v>
      </c>
    </row>
    <row r="49" spans="1:16" ht="19">
      <c r="A49">
        <v>64</v>
      </c>
      <c r="B49" t="s">
        <v>59</v>
      </c>
      <c r="C49" t="s">
        <v>241</v>
      </c>
      <c r="D49" t="s">
        <v>1526</v>
      </c>
      <c r="E49" t="str">
        <f t="shared" si="0"/>
        <v>no/15/Throughout the video, the stentor maintains a relatively consistent body length and does not exhibit a contraction into a ball-like or spindle-like shape. While there is a slight amount of body wall movement and ciliary activity—and the organism's orientation shifts slightly—the distance between the "head" and the "tail" attachment point does not show a clear or measurable reduction. It remains in an extended, trumpet-like state for the full 9 seconds.</v>
      </c>
      <c r="I49" s="1"/>
      <c r="N49" t="s">
        <v>192</v>
      </c>
      <c r="O49">
        <v>95</v>
      </c>
      <c r="P49" t="s">
        <v>3031</v>
      </c>
    </row>
    <row r="50" spans="1:16" ht="19">
      <c r="A50">
        <v>65</v>
      </c>
      <c r="B50" t="s">
        <v>19</v>
      </c>
      <c r="C50" t="s">
        <v>32</v>
      </c>
      <c r="D50" t="s">
        <v>1531</v>
      </c>
      <c r="E50" t="str">
        <f t="shared" si="0"/>
        <v>yes/96/At approximately 0:05, the stentor undergoes a rapid and sudden contraction. It transitions from its fully extended trumpet shape into a condensed, ball-like form tucked into the debris at the bottom left. This contraction happens within a single frame and the organism remains in its shortened state for the remainder of the video.</v>
      </c>
      <c r="I50" s="1"/>
      <c r="N50" t="s">
        <v>192</v>
      </c>
      <c r="O50">
        <v>90</v>
      </c>
      <c r="P50" t="s">
        <v>3032</v>
      </c>
    </row>
    <row r="51" spans="1:16" ht="19">
      <c r="A51">
        <v>66</v>
      </c>
      <c r="B51" t="s">
        <v>8</v>
      </c>
      <c r="C51" t="s">
        <v>33</v>
      </c>
      <c r="D51" t="s">
        <v>1493</v>
      </c>
      <c r="E51" t="str">
        <f t="shared" si="0"/>
        <v>yes/100/At 0:05, the stentor in the upper portion of the frame undergoes a rapid and complete contraction. While the stentor in the lower-left remains relatively extended (though it shows some slight shape change), the one positioned above it suddenly retracts toward the debris on the right, changing from an elongated trumpet-like shape to a condensed, spindle-like form in a single frame. This is a definitive contraction.</v>
      </c>
      <c r="I51" s="1"/>
      <c r="N51" t="s">
        <v>192</v>
      </c>
      <c r="O51">
        <v>95</v>
      </c>
      <c r="P51" t="s">
        <v>3033</v>
      </c>
    </row>
    <row r="52" spans="1:16" ht="19">
      <c r="A52">
        <v>67</v>
      </c>
      <c r="B52" t="s">
        <v>32</v>
      </c>
      <c r="C52" t="s">
        <v>34</v>
      </c>
      <c r="D52" t="s">
        <v>1494</v>
      </c>
      <c r="E52" t="str">
        <f t="shared" si="0"/>
        <v>yes/100/At 0.05 s, the stentor rapidly changes from its extended trumpet-like shape to a condensed form that disappears into the nearby debris. This rapid shortening significantly reduces the distance between the "head" and "tail," meeting the criteria for a typical contraction.</v>
      </c>
      <c r="I52" s="1"/>
      <c r="N52" t="s">
        <v>192</v>
      </c>
      <c r="O52">
        <v>90</v>
      </c>
      <c r="P52" t="s">
        <v>3034</v>
      </c>
    </row>
    <row r="53" spans="1:16" ht="19">
      <c r="A53">
        <v>68</v>
      </c>
      <c r="B53" t="s">
        <v>233</v>
      </c>
      <c r="C53" t="s">
        <v>35</v>
      </c>
      <c r="D53" t="s">
        <v>1532</v>
      </c>
      <c r="E53" t="str">
        <f t="shared" si="0"/>
        <v>yes/100/At approximately 0:04, the stentor undergoes a rapid contraction. It transitions from its fully extended trumpet-like shape to a condensed, ball-like shape by 0:05. This quick reduction in the distance between the "head" and "tail" constitutes a definitive contraction behavior.</v>
      </c>
      <c r="I53" s="1"/>
      <c r="N53" t="s">
        <v>192</v>
      </c>
      <c r="O53">
        <v>95</v>
      </c>
      <c r="P53" t="s">
        <v>3035</v>
      </c>
    </row>
    <row r="54" spans="1:16" ht="19">
      <c r="A54">
        <v>69</v>
      </c>
      <c r="B54" t="s">
        <v>226</v>
      </c>
      <c r="C54" t="s">
        <v>36</v>
      </c>
      <c r="D54" t="s">
        <v>1533</v>
      </c>
      <c r="E54" t="str">
        <f t="shared" si="0"/>
        <v>yes/100/At approximately 0:04, the stentor begins a rapid movement, and by 0:05, it has completely transitioned from an extended, trumpet-like shape to a condensed, ball-like shape tucked away near the debris. This quick change in body length and morphology is a definitive example of a typical contraction.</v>
      </c>
      <c r="I54" s="1"/>
      <c r="N54" t="s">
        <v>192</v>
      </c>
      <c r="O54">
        <v>100</v>
      </c>
      <c r="P54" t="s">
        <v>3036</v>
      </c>
    </row>
    <row r="55" spans="1:16" ht="19">
      <c r="A55">
        <v>70</v>
      </c>
      <c r="B55" t="s">
        <v>13</v>
      </c>
      <c r="C55" t="s">
        <v>37</v>
      </c>
      <c r="D55" t="s">
        <v>1495</v>
      </c>
      <c r="E55" t="str">
        <f t="shared" si="0"/>
        <v>no/0/The stentor remains in a consistent, partially extended shape throughout the entire video. While it is positioned near a glass needle and shows minor ciliary movement or slight adjustments in orientation, there is no measurable reduction in the distance between the "head" and "tail." The organism does not transition from its trumpet-like form into a condensed, ball-like, or spindle-like shape at any point from 0:00 to 0:09. Therefore, no contraction occurs.</v>
      </c>
      <c r="I55" s="1"/>
      <c r="N55" t="s">
        <v>192</v>
      </c>
      <c r="O55">
        <v>100</v>
      </c>
      <c r="P55" t="s">
        <v>3037</v>
      </c>
    </row>
    <row r="56" spans="1:16" ht="19">
      <c r="A56">
        <v>71</v>
      </c>
      <c r="B56" t="s">
        <v>251</v>
      </c>
      <c r="C56" t="s">
        <v>38</v>
      </c>
      <c r="D56" t="s">
        <v>1478</v>
      </c>
      <c r="E56" t="str">
        <f t="shared" si="0"/>
        <v>yes/100/At 0.04 s, the stentor undergoes a rapid contraction, transitioning from an extended trumpet-like shape into a condensed, spindle-like form. This sudden movement results in a clear and measurable shortening of the body length , which constitutes a definitive contraction according to the provided behavior criteria.</v>
      </c>
      <c r="I56" s="1"/>
      <c r="N56" t="s">
        <v>192</v>
      </c>
      <c r="O56">
        <v>95</v>
      </c>
      <c r="P56" t="s">
        <v>3038</v>
      </c>
    </row>
    <row r="57" spans="1:16" ht="19">
      <c r="A57">
        <v>72</v>
      </c>
      <c r="B57" t="s">
        <v>210</v>
      </c>
      <c r="C57" t="s">
        <v>39</v>
      </c>
      <c r="D57" t="s">
        <v>1534</v>
      </c>
      <c r="E57" t="str">
        <f t="shared" si="0"/>
        <v>yes/97/At approximately 0:04, the primary stentor in the center of the frame undergoes a rapid contraction, pulling back toward the debris on the left. A second stentor visible below it also appears to contract simultaneously. Both organisms transition from their extended trumpet-like forms into condensed shapes that remain tucked against the substrate for the rest of the video.</v>
      </c>
      <c r="I57" s="1"/>
      <c r="N57" t="s">
        <v>192</v>
      </c>
      <c r="O57">
        <v>95</v>
      </c>
      <c r="P57" t="s">
        <v>3039</v>
      </c>
    </row>
    <row r="58" spans="1:16" ht="19">
      <c r="A58">
        <v>73</v>
      </c>
      <c r="B58" t="s">
        <v>55</v>
      </c>
      <c r="C58" t="s">
        <v>242</v>
      </c>
      <c r="D58" t="s">
        <v>1535</v>
      </c>
      <c r="E58" t="str">
        <f t="shared" si="0"/>
        <v>yes/100/At 0:05, the stentor undergoes a rapid and complete contraction. Between 0:00 and 0:04, the organism is clearly visible in an elongated, trumpet-like state with its "head" near the glass needle. Between frames 0:04 and 0:05, it suddenly retracts toward the left edge of the frame, disappearing from its extended position and leaving the area near the needle empty. This sudden reduction in body length is a definitive contraction.</v>
      </c>
      <c r="I58" s="1"/>
      <c r="M58" s="17"/>
      <c r="N58" t="s">
        <v>192</v>
      </c>
      <c r="O58">
        <v>100</v>
      </c>
      <c r="P58" t="s">
        <v>3040</v>
      </c>
    </row>
    <row r="59" spans="1:16" ht="19">
      <c r="A59">
        <v>74</v>
      </c>
      <c r="B59" t="s">
        <v>29</v>
      </c>
      <c r="C59" t="s">
        <v>40</v>
      </c>
      <c r="D59" t="s">
        <v>1485</v>
      </c>
      <c r="E59" t="str">
        <f t="shared" si="0"/>
        <v>no/0/The stentor remains in a condensed, ball-like state throughout the entire video. While there is slight movement and a change in the orientation of the organism, it does not transition from an extended trumpet-like shape to a contracted one. Since the organism is already in its shortest form at the start and does not exhibit any further clear reduction in length, no contraction occurs within the duration of this clip.</v>
      </c>
      <c r="I59" s="1"/>
      <c r="M59" s="17"/>
      <c r="N59" t="s">
        <v>192</v>
      </c>
      <c r="O59">
        <v>90</v>
      </c>
      <c r="P59" t="s">
        <v>3041</v>
      </c>
    </row>
    <row r="60" spans="1:16" ht="19">
      <c r="A60">
        <v>96</v>
      </c>
      <c r="B60" t="s">
        <v>34</v>
      </c>
      <c r="C60" t="s">
        <v>251</v>
      </c>
      <c r="D60" t="s">
        <v>1536</v>
      </c>
      <c r="E60" t="str">
        <f t="shared" si="0"/>
        <v>no/0/Throughout the entire duration of the video (0:00 to 0:09), the stentor remains in a relatively consistent state. While it shifts its position slightly and its cilia are active, there is no discernible shortening of the body length or transition into a ball-like or spindle-like shape. The distance between the "head" and "tail" does not decrease, and the organism maintains its extended, pear-shaped morphology without any sudden or slow contraction events.</v>
      </c>
      <c r="I60" s="1"/>
      <c r="N60" t="s">
        <v>192</v>
      </c>
      <c r="O60">
        <v>90</v>
      </c>
      <c r="P60" t="s">
        <v>3042</v>
      </c>
    </row>
    <row r="61" spans="1:16" ht="19">
      <c r="A61">
        <v>97</v>
      </c>
      <c r="B61" t="s">
        <v>209</v>
      </c>
      <c r="C61" t="s">
        <v>54</v>
      </c>
      <c r="D61" t="s">
        <v>1537</v>
      </c>
      <c r="E61" t="str">
        <f t="shared" si="0"/>
        <v>yes/99/At approximately 0:05, the stentor undergoes an extremely rapid and complete contraction. It transitions from its fully extended trumpet shape into a tight, ball-like form that pulls down toward the lower-left corner of the frame. The organism remains in this condensed state for the duration of the video.</v>
      </c>
      <c r="I61" s="1"/>
      <c r="N61" t="s">
        <v>192</v>
      </c>
      <c r="O61">
        <v>100</v>
      </c>
      <c r="P61" t="s">
        <v>3043</v>
      </c>
    </row>
    <row r="62" spans="1:16" ht="19">
      <c r="A62">
        <v>98</v>
      </c>
      <c r="B62" t="s">
        <v>218</v>
      </c>
      <c r="C62" t="s">
        <v>55</v>
      </c>
      <c r="D62" t="s">
        <v>1479</v>
      </c>
      <c r="E62" t="str">
        <f t="shared" si="0"/>
        <v>yes/98/At approximately 0:01, the stentor undergoes a very rapid contraction into a ball-like shape, followed by an immediate but partial re-extension. However, at approximately 0:05, a second, complete contraction occurs where the organism fully retracts toward its attachment point behind the glass needle and remains condensed for the rest of the video.</v>
      </c>
      <c r="I62" s="1"/>
      <c r="M62" s="17"/>
      <c r="N62" t="s">
        <v>201</v>
      </c>
      <c r="O62">
        <v>0</v>
      </c>
      <c r="P62" t="s">
        <v>3044</v>
      </c>
    </row>
    <row r="63" spans="1:16" ht="19">
      <c r="A63">
        <v>99</v>
      </c>
      <c r="B63" t="s">
        <v>213</v>
      </c>
      <c r="C63" t="s">
        <v>252</v>
      </c>
      <c r="D63" t="s">
        <v>1538</v>
      </c>
      <c r="E63" t="str">
        <f t="shared" si="0"/>
        <v>yes/97/At approximately 0:05, the stentor undergoes a rapid and high-magnitude contraction. It transitions from its fully extended, trumpet-like form into a condensed, spindle-shaped body pulled down toward the debris in the lower left. The organism remains in this shortened state for the duration of the video.</v>
      </c>
      <c r="I63" s="1"/>
      <c r="N63" t="s">
        <v>192</v>
      </c>
      <c r="O63">
        <v>100</v>
      </c>
      <c r="P63" t="s">
        <v>3045</v>
      </c>
    </row>
    <row r="64" spans="1:16" ht="19">
      <c r="A64">
        <v>100</v>
      </c>
      <c r="B64" t="s">
        <v>9</v>
      </c>
      <c r="C64" t="s">
        <v>56</v>
      </c>
      <c r="D64" t="s">
        <v>1539</v>
      </c>
      <c r="E64" t="str">
        <f t="shared" si="0"/>
        <v>yes/100/At 0:06, the stentor undergoes a rapid and complete contraction. From 0:00 to 0:05, the organism is seen in an extended, trumpet-like state. Between frames 0:05 and 0:06, it quickly retracts toward the debris on the right side of the frame, resulting in a condensed, oval/ball-like shape that is clearly visible by 0:08. This sudden change in body length and morphology is a definitive contraction.</v>
      </c>
      <c r="I64" s="1"/>
      <c r="M64" s="17"/>
      <c r="N64" t="s">
        <v>192</v>
      </c>
      <c r="O64">
        <v>90</v>
      </c>
      <c r="P64" t="s">
        <v>3046</v>
      </c>
    </row>
    <row r="65" spans="1:16" ht="19">
      <c r="A65">
        <v>101</v>
      </c>
      <c r="B65" t="s">
        <v>212</v>
      </c>
      <c r="C65" t="s">
        <v>253</v>
      </c>
      <c r="D65" t="s">
        <v>1540</v>
      </c>
      <c r="E65" t="str">
        <f t="shared" si="0"/>
        <v>yes/98/At approximately 0:05, the stentor undergoes a rapid and high-magnitude contraction. It transitions from a fully extended, elongated state to a condensed, ball-like shape tucked against the debris on the right side of the frame. The organism remains in this shortened, contracted state for the remainder of the video.</v>
      </c>
      <c r="I65" s="1"/>
      <c r="N65" t="s">
        <v>192</v>
      </c>
      <c r="O65">
        <v>90</v>
      </c>
      <c r="P65" t="s">
        <v>3047</v>
      </c>
    </row>
    <row r="66" spans="1:16" ht="19">
      <c r="A66">
        <v>102</v>
      </c>
      <c r="B66" t="s">
        <v>62</v>
      </c>
      <c r="C66" t="s">
        <v>57</v>
      </c>
      <c r="D66" t="s">
        <v>1541</v>
      </c>
      <c r="E66" t="str">
        <f t="shared" si="0"/>
        <v>yes/100/The stentor is initially observed in a fully extended, trumpet-like shape from 00:00 to 00:04. At approximately 00:05, it undergoes a rapid and sudden contraction, pulling its "head" toward its "tail". By 00:06, the organism has completely transitioned into a condensed, ball-like shape. This behavior constitutes a clear and unambiguous contraction.</v>
      </c>
      <c r="I66" s="1"/>
      <c r="N66" t="s">
        <v>192</v>
      </c>
      <c r="O66">
        <v>95</v>
      </c>
      <c r="P66" t="s">
        <v>3048</v>
      </c>
    </row>
    <row r="67" spans="1:16" ht="19">
      <c r="A67">
        <v>103</v>
      </c>
      <c r="B67" t="s">
        <v>35</v>
      </c>
      <c r="C67" t="s">
        <v>58</v>
      </c>
      <c r="D67" t="s">
        <v>1486</v>
      </c>
      <c r="E67" t="str">
        <f t="shared" ref="E67:E130" si="1">INDEX($D:$D, MATCH(B67, $C:$C, 0))</f>
        <v>yes/95/At approximately 0.04 s, the stentor begins to change from a spindle-like shape to a more condensed, ball-like shape. This measurable shortening of the body length and reduction in the distance between the "head" and "tail" constitutes a contraction. The process is completed by 0.06 s, resulting in a clearly condensed form.</v>
      </c>
      <c r="I67" s="1"/>
      <c r="N67" t="s">
        <v>192</v>
      </c>
      <c r="O67">
        <v>80</v>
      </c>
      <c r="P67" t="s">
        <v>3049</v>
      </c>
    </row>
    <row r="68" spans="1:16" ht="19">
      <c r="A68">
        <v>104</v>
      </c>
      <c r="B68" t="s">
        <v>266</v>
      </c>
      <c r="C68" t="s">
        <v>254</v>
      </c>
      <c r="D68" t="s">
        <v>1542</v>
      </c>
      <c r="E68" t="str">
        <f t="shared" si="1"/>
        <v>yes/100/Throughout the first four seconds of the video, the stentor remains in an extended, trumpet-like shape. At approximately 00:05, the organism undergoes a rapid and complete contraction, transitioning from its extended state to a condensed, ball-like shape. This behavior matches the typical contraction pattern where the distance between the "head" and "tail" is minimized almost instantaneously.</v>
      </c>
      <c r="I68" s="1"/>
      <c r="N68" t="s">
        <v>192</v>
      </c>
      <c r="O68">
        <v>85</v>
      </c>
      <c r="P68" t="s">
        <v>3050</v>
      </c>
    </row>
    <row r="69" spans="1:16" ht="19">
      <c r="A69">
        <v>105</v>
      </c>
      <c r="B69" t="s">
        <v>63</v>
      </c>
      <c r="C69" t="s">
        <v>255</v>
      </c>
      <c r="D69" t="s">
        <v>3128</v>
      </c>
      <c r="E69" t="str">
        <f t="shared" si="1"/>
        <v>yes/100/The stentor begins the video in an extended trumpet-like shape, which is visible from 00:00 to 00:04. At approximately 00:05, the organism undergoes a rapid contraction. By 00:06, it has successfully transitioned into a condensed, ball-like shape where the distance between the "head" and "tail" is at a minimum. This transformation from an extended state to a condensed state confirms that a contraction occurred.</v>
      </c>
      <c r="I69" s="1"/>
      <c r="N69" t="s">
        <v>192</v>
      </c>
      <c r="O69">
        <v>95</v>
      </c>
      <c r="P69" t="s">
        <v>3051</v>
      </c>
    </row>
    <row r="70" spans="1:16" ht="19">
      <c r="A70">
        <v>107</v>
      </c>
      <c r="B70" t="s">
        <v>255</v>
      </c>
      <c r="C70" t="s">
        <v>257</v>
      </c>
      <c r="D70" t="s">
        <v>1543</v>
      </c>
      <c r="E70" t="str">
        <f t="shared" si="1"/>
        <v>yes/100/At 0:05, the stentor undergoes a rapid and complete contraction. From 0:00 to 0:04, it is clearly visible in its extended trumpet-like state, stretching diagonally across the frame. Between frames 0:04 and 0:05, the organism suddenly retracts toward the lower-right corner, leaving its previous position empty and assuming a condensed, ball-like shape near the debris. This sudden reduction in length and change in morphology is a definitive contraction.</v>
      </c>
      <c r="I70" s="1"/>
      <c r="N70" t="s">
        <v>192</v>
      </c>
      <c r="O70">
        <v>90</v>
      </c>
      <c r="P70" t="s">
        <v>3052</v>
      </c>
    </row>
    <row r="71" spans="1:16" ht="19">
      <c r="A71">
        <v>114</v>
      </c>
      <c r="B71" t="s">
        <v>204</v>
      </c>
      <c r="C71" t="s">
        <v>264</v>
      </c>
      <c r="D71" t="s">
        <v>1544</v>
      </c>
      <c r="E71">
        <f t="shared" si="1"/>
        <v>0</v>
      </c>
      <c r="I71" s="1"/>
      <c r="N71" t="s">
        <v>192</v>
      </c>
      <c r="O71">
        <v>90</v>
      </c>
      <c r="P71" t="s">
        <v>3053</v>
      </c>
    </row>
    <row r="72" spans="1:16" ht="19">
      <c r="A72">
        <v>115</v>
      </c>
      <c r="B72" t="s">
        <v>238</v>
      </c>
      <c r="C72" t="s">
        <v>59</v>
      </c>
      <c r="D72" t="s">
        <v>1496</v>
      </c>
      <c r="E72" t="str">
        <f t="shared" si="1"/>
        <v>no/0/The stentor remains in a condensed, ball-like shape for the duration of the video. While the organism is visible at the beginning and end of the clip, it does not transition from an extended trumpet-like shape to a shortened one. Instead, it appears to already be in a contracted or resting spherical state, with no "head-to-tail" shortening observed during the 9-second interval. Therefore, no contraction behavior occurs within the timeframe of this video.</v>
      </c>
      <c r="I72" s="1"/>
      <c r="M72" s="17"/>
      <c r="N72" t="s">
        <v>192</v>
      </c>
      <c r="O72">
        <v>95</v>
      </c>
      <c r="P72" t="s">
        <v>3054</v>
      </c>
    </row>
    <row r="73" spans="1:16" ht="19">
      <c r="A73">
        <v>116</v>
      </c>
      <c r="B73" t="s">
        <v>31</v>
      </c>
      <c r="C73" t="s">
        <v>60</v>
      </c>
      <c r="D73" t="s">
        <v>1546</v>
      </c>
      <c r="E73" t="str">
        <f t="shared" si="1"/>
        <v>no/0/The video features two stentors that remain in a condensed, oval-to-ball-like shape for the entire duration. From 0:00 to 0:09, neither organism transitions from an extended, trumpet-like form into a shorter one; rather, they are already in a shortened state at the start and maintain this morphology throughout. While there is slight movement and shifting relative to the debris, no clear contraction event occurs.</v>
      </c>
      <c r="I73" s="1"/>
      <c r="N73" t="s">
        <v>192</v>
      </c>
      <c r="O73">
        <v>95</v>
      </c>
      <c r="P73" t="s">
        <v>3055</v>
      </c>
    </row>
    <row r="74" spans="1:16" ht="19">
      <c r="A74">
        <v>117</v>
      </c>
      <c r="B74" t="s">
        <v>217</v>
      </c>
      <c r="C74" t="s">
        <v>265</v>
      </c>
      <c r="D74" t="s">
        <v>1545</v>
      </c>
      <c r="E74" t="str">
        <f t="shared" si="1"/>
        <v>yes/99/At approximately 0:04, the stentor undergoes a rapid, high-magnitude contraction. It transitions instantly from its fully extended trumpet-like form to a condensed, ball-like shape that is pulled down toward the debris at the bottom of the frame. The organism remains in this contracted state for the remainder of the video.</v>
      </c>
      <c r="I74" s="1"/>
      <c r="N74" t="s">
        <v>192</v>
      </c>
      <c r="O74">
        <v>95</v>
      </c>
      <c r="P74" t="s">
        <v>3056</v>
      </c>
    </row>
    <row r="75" spans="1:16" ht="19">
      <c r="A75">
        <v>118</v>
      </c>
      <c r="B75" t="s">
        <v>10</v>
      </c>
      <c r="C75" t="s">
        <v>61</v>
      </c>
      <c r="D75" t="s">
        <v>3129</v>
      </c>
      <c r="E75" t="str">
        <f t="shared" si="1"/>
        <v>yes/100/At 0:05, the stentor undergoes a rapid and complete contraction. From 0:00 to 0:04, the organism is visible in an elongated, trumpet-like state extending diagonally across the frame. Between frames 0:04 and 0:05, it suddenly retracts toward the right side of the frame, significantly shortening its body length and assuming a more condensed, spindle-like form. This sudden reduction in length is a definitive example of a quick contraction.</v>
      </c>
      <c r="I75" s="1"/>
      <c r="N75" t="s">
        <v>192</v>
      </c>
      <c r="O75">
        <v>90</v>
      </c>
      <c r="P75" t="s">
        <v>3057</v>
      </c>
    </row>
    <row r="76" spans="1:16" ht="19">
      <c r="A76">
        <v>119</v>
      </c>
      <c r="B76" t="s">
        <v>56</v>
      </c>
      <c r="C76" t="s">
        <v>266</v>
      </c>
      <c r="D76" t="s">
        <v>1547</v>
      </c>
      <c r="E76" t="str">
        <f t="shared" si="1"/>
        <v>yes/100/At 0.05 s, the stentor undergoes a rapid contraction, transitioning from its extended trumpet-like shape into a condensed, ball-like shape. This sudden movement results in a clear and measurable shortening of the body length , which constitutes a definitive contraction according to the provided behavior criteria.</v>
      </c>
      <c r="I76" s="1"/>
      <c r="N76" t="s">
        <v>1717</v>
      </c>
      <c r="O76" t="s">
        <v>267</v>
      </c>
    </row>
    <row r="77" spans="1:16">
      <c r="A77">
        <v>120</v>
      </c>
      <c r="B77" t="s">
        <v>254</v>
      </c>
      <c r="C77" t="s">
        <v>62</v>
      </c>
      <c r="D77" t="s">
        <v>1548</v>
      </c>
      <c r="E77" t="str">
        <f t="shared" si="1"/>
        <v>yes/100/At 0.04 s, the stentor in the lower half of the frame undergoes a rapid contraction, shifting from an extended trumpet shape to a condensed, spindle-like form. This sudden movement results in a clear and measurable shortening of the body length , which constitutes a definitive contraction according to the behavior criteria.</v>
      </c>
      <c r="N77" t="s">
        <v>1717</v>
      </c>
      <c r="O77" t="s">
        <v>267</v>
      </c>
    </row>
    <row r="78" spans="1:16">
      <c r="A78">
        <v>121</v>
      </c>
      <c r="B78" t="s">
        <v>264</v>
      </c>
      <c r="C78" t="s">
        <v>63</v>
      </c>
      <c r="D78" t="s">
        <v>1549</v>
      </c>
      <c r="E78" t="str">
        <f t="shared" si="1"/>
        <v>yes/100/At 0.06 s, the stentor undergoes a rapid and definitive contraction. It transitions from an extended, trumpet-like shape into a condensed, ball-like form. This behavior involves a clear and measurable shortening of the body length , which constitutes a contraction according to the provided behavior criteria.</v>
      </c>
      <c r="N78" t="s">
        <v>1717</v>
      </c>
      <c r="O78" t="s">
        <v>267</v>
      </c>
    </row>
    <row r="79" spans="1:16">
      <c r="E79" t="e">
        <f t="shared" si="1"/>
        <v>#N/A</v>
      </c>
      <c r="N79" t="s">
        <v>1717</v>
      </c>
      <c r="O79" t="s">
        <v>267</v>
      </c>
    </row>
    <row r="80" spans="1:16">
      <c r="E80" t="e">
        <f t="shared" si="1"/>
        <v>#N/A</v>
      </c>
      <c r="N80" t="s">
        <v>1717</v>
      </c>
      <c r="O80" t="s">
        <v>267</v>
      </c>
    </row>
    <row r="81" spans="5:15">
      <c r="E81" t="e">
        <f t="shared" si="1"/>
        <v>#N/A</v>
      </c>
      <c r="N81" t="s">
        <v>1717</v>
      </c>
      <c r="O81" t="s">
        <v>267</v>
      </c>
    </row>
    <row r="82" spans="5:15">
      <c r="E82" t="e">
        <f t="shared" si="1"/>
        <v>#N/A</v>
      </c>
      <c r="N82" t="s">
        <v>1717</v>
      </c>
      <c r="O82" t="s">
        <v>267</v>
      </c>
    </row>
    <row r="83" spans="5:15">
      <c r="E83" t="e">
        <f t="shared" si="1"/>
        <v>#N/A</v>
      </c>
      <c r="N83" t="s">
        <v>1717</v>
      </c>
      <c r="O83" t="s">
        <v>267</v>
      </c>
    </row>
    <row r="84" spans="5:15">
      <c r="E84" t="e">
        <f t="shared" si="1"/>
        <v>#N/A</v>
      </c>
      <c r="N84" t="s">
        <v>1717</v>
      </c>
      <c r="O84" t="s">
        <v>267</v>
      </c>
    </row>
    <row r="85" spans="5:15">
      <c r="E85" t="e">
        <f t="shared" si="1"/>
        <v>#N/A</v>
      </c>
      <c r="N85" t="s">
        <v>1717</v>
      </c>
      <c r="O85" t="s">
        <v>267</v>
      </c>
    </row>
    <row r="86" spans="5:15">
      <c r="E86" t="e">
        <f t="shared" si="1"/>
        <v>#N/A</v>
      </c>
      <c r="N86" t="s">
        <v>1717</v>
      </c>
      <c r="O86" t="s">
        <v>267</v>
      </c>
    </row>
    <row r="87" spans="5:15">
      <c r="E87" t="e">
        <f t="shared" si="1"/>
        <v>#N/A</v>
      </c>
      <c r="N87" t="s">
        <v>1717</v>
      </c>
      <c r="O87" t="s">
        <v>267</v>
      </c>
    </row>
    <row r="88" spans="5:15">
      <c r="E88" t="e">
        <f t="shared" si="1"/>
        <v>#N/A</v>
      </c>
      <c r="N88" t="s">
        <v>1717</v>
      </c>
      <c r="O88" t="s">
        <v>267</v>
      </c>
    </row>
    <row r="89" spans="5:15">
      <c r="E89" t="e">
        <f t="shared" si="1"/>
        <v>#N/A</v>
      </c>
      <c r="N89" t="s">
        <v>1717</v>
      </c>
      <c r="O89" t="s">
        <v>267</v>
      </c>
    </row>
    <row r="90" spans="5:15">
      <c r="E90" t="e">
        <f t="shared" si="1"/>
        <v>#N/A</v>
      </c>
      <c r="N90" t="s">
        <v>1717</v>
      </c>
      <c r="O90" t="s">
        <v>267</v>
      </c>
    </row>
    <row r="91" spans="5:15">
      <c r="E91" t="e">
        <f t="shared" si="1"/>
        <v>#N/A</v>
      </c>
      <c r="N91" t="s">
        <v>1717</v>
      </c>
      <c r="O91" t="s">
        <v>267</v>
      </c>
    </row>
    <row r="92" spans="5:15">
      <c r="E92" t="e">
        <f t="shared" si="1"/>
        <v>#N/A</v>
      </c>
      <c r="N92" t="s">
        <v>1717</v>
      </c>
      <c r="O92" t="s">
        <v>267</v>
      </c>
    </row>
    <row r="93" spans="5:15">
      <c r="E93" t="e">
        <f t="shared" si="1"/>
        <v>#N/A</v>
      </c>
      <c r="N93" t="s">
        <v>1717</v>
      </c>
      <c r="O93" t="s">
        <v>267</v>
      </c>
    </row>
    <row r="94" spans="5:15">
      <c r="E94" t="e">
        <f t="shared" si="1"/>
        <v>#N/A</v>
      </c>
      <c r="N94" t="s">
        <v>1717</v>
      </c>
      <c r="O94" t="s">
        <v>267</v>
      </c>
    </row>
    <row r="95" spans="5:15">
      <c r="E95" t="e">
        <f t="shared" si="1"/>
        <v>#N/A</v>
      </c>
      <c r="N95" t="s">
        <v>1717</v>
      </c>
      <c r="O95" t="s">
        <v>267</v>
      </c>
    </row>
    <row r="96" spans="5:15">
      <c r="E96" t="e">
        <f t="shared" si="1"/>
        <v>#N/A</v>
      </c>
      <c r="N96" t="s">
        <v>1717</v>
      </c>
      <c r="O96" t="s">
        <v>267</v>
      </c>
    </row>
    <row r="97" spans="5:16">
      <c r="E97" t="e">
        <f t="shared" si="1"/>
        <v>#N/A</v>
      </c>
      <c r="N97" t="s">
        <v>192</v>
      </c>
      <c r="O97">
        <v>95</v>
      </c>
      <c r="P97" t="s">
        <v>3058</v>
      </c>
    </row>
    <row r="98" spans="5:16">
      <c r="E98" t="e">
        <f t="shared" si="1"/>
        <v>#N/A</v>
      </c>
      <c r="N98" t="s">
        <v>192</v>
      </c>
      <c r="O98">
        <v>95</v>
      </c>
      <c r="P98" t="s">
        <v>3059</v>
      </c>
    </row>
    <row r="99" spans="5:16">
      <c r="E99" t="e">
        <f t="shared" si="1"/>
        <v>#N/A</v>
      </c>
      <c r="M99" s="17"/>
      <c r="N99" t="s">
        <v>192</v>
      </c>
      <c r="O99">
        <v>95</v>
      </c>
      <c r="P99" t="s">
        <v>3060</v>
      </c>
    </row>
    <row r="100" spans="5:16">
      <c r="E100" t="e">
        <f t="shared" si="1"/>
        <v>#N/A</v>
      </c>
      <c r="N100" t="s">
        <v>192</v>
      </c>
      <c r="O100">
        <v>90</v>
      </c>
      <c r="P100" t="s">
        <v>3061</v>
      </c>
    </row>
    <row r="101" spans="5:16">
      <c r="E101" t="e">
        <f t="shared" si="1"/>
        <v>#N/A</v>
      </c>
      <c r="N101" t="s">
        <v>192</v>
      </c>
      <c r="O101">
        <v>90</v>
      </c>
      <c r="P101" t="s">
        <v>3062</v>
      </c>
    </row>
    <row r="102" spans="5:16">
      <c r="E102" t="e">
        <f t="shared" si="1"/>
        <v>#N/A</v>
      </c>
      <c r="N102" t="s">
        <v>192</v>
      </c>
      <c r="O102">
        <v>100</v>
      </c>
      <c r="P102" t="s">
        <v>3063</v>
      </c>
    </row>
    <row r="103" spans="5:16">
      <c r="E103" t="e">
        <f t="shared" si="1"/>
        <v>#N/A</v>
      </c>
      <c r="N103" t="s">
        <v>192</v>
      </c>
      <c r="O103">
        <v>100</v>
      </c>
      <c r="P103" t="s">
        <v>3064</v>
      </c>
    </row>
    <row r="104" spans="5:16">
      <c r="E104" t="e">
        <f t="shared" si="1"/>
        <v>#N/A</v>
      </c>
      <c r="N104" t="s">
        <v>201</v>
      </c>
      <c r="O104">
        <v>0</v>
      </c>
      <c r="P104" t="s">
        <v>3065</v>
      </c>
    </row>
    <row r="105" spans="5:16">
      <c r="E105" t="e">
        <f t="shared" si="1"/>
        <v>#N/A</v>
      </c>
      <c r="N105" t="s">
        <v>192</v>
      </c>
      <c r="O105">
        <v>95</v>
      </c>
      <c r="P105" t="s">
        <v>3066</v>
      </c>
    </row>
    <row r="106" spans="5:16">
      <c r="E106" t="e">
        <f t="shared" si="1"/>
        <v>#N/A</v>
      </c>
      <c r="M106" s="17"/>
      <c r="N106" t="s">
        <v>192</v>
      </c>
      <c r="O106">
        <v>90</v>
      </c>
      <c r="P106" t="s">
        <v>3067</v>
      </c>
    </row>
    <row r="107" spans="5:16">
      <c r="E107" t="e">
        <f t="shared" si="1"/>
        <v>#N/A</v>
      </c>
      <c r="N107" t="s">
        <v>1717</v>
      </c>
      <c r="O107" t="s">
        <v>267</v>
      </c>
    </row>
    <row r="108" spans="5:16">
      <c r="E108" t="e">
        <f t="shared" si="1"/>
        <v>#N/A</v>
      </c>
      <c r="N108" t="s">
        <v>192</v>
      </c>
      <c r="O108">
        <v>95</v>
      </c>
      <c r="P108" t="s">
        <v>3068</v>
      </c>
    </row>
    <row r="109" spans="5:16">
      <c r="E109" t="e">
        <f t="shared" si="1"/>
        <v>#N/A</v>
      </c>
      <c r="N109" t="s">
        <v>1717</v>
      </c>
      <c r="O109" t="s">
        <v>267</v>
      </c>
    </row>
    <row r="110" spans="5:16">
      <c r="E110" t="e">
        <f t="shared" si="1"/>
        <v>#N/A</v>
      </c>
      <c r="N110" t="s">
        <v>1717</v>
      </c>
      <c r="O110" t="s">
        <v>267</v>
      </c>
    </row>
    <row r="111" spans="5:16">
      <c r="E111" t="e">
        <f t="shared" si="1"/>
        <v>#N/A</v>
      </c>
      <c r="N111" t="s">
        <v>1717</v>
      </c>
      <c r="O111" t="s">
        <v>267</v>
      </c>
    </row>
    <row r="112" spans="5:16">
      <c r="E112" t="e">
        <f t="shared" si="1"/>
        <v>#N/A</v>
      </c>
      <c r="N112" t="s">
        <v>1717</v>
      </c>
      <c r="O112" t="s">
        <v>267</v>
      </c>
    </row>
    <row r="113" spans="5:17">
      <c r="E113" t="e">
        <f t="shared" si="1"/>
        <v>#N/A</v>
      </c>
      <c r="N113" t="s">
        <v>1717</v>
      </c>
      <c r="O113" t="s">
        <v>267</v>
      </c>
    </row>
    <row r="114" spans="5:17">
      <c r="E114" t="e">
        <f t="shared" si="1"/>
        <v>#N/A</v>
      </c>
      <c r="N114" t="s">
        <v>1717</v>
      </c>
      <c r="O114" t="s">
        <v>267</v>
      </c>
    </row>
    <row r="115" spans="5:17">
      <c r="E115" t="e">
        <f t="shared" si="1"/>
        <v>#N/A</v>
      </c>
      <c r="N115" t="s">
        <v>192</v>
      </c>
      <c r="O115">
        <v>95</v>
      </c>
      <c r="P115" t="s">
        <v>3069</v>
      </c>
    </row>
    <row r="116" spans="5:17">
      <c r="E116" t="e">
        <f t="shared" si="1"/>
        <v>#N/A</v>
      </c>
      <c r="N116" t="s">
        <v>192</v>
      </c>
      <c r="O116">
        <v>80</v>
      </c>
      <c r="P116" t="s">
        <v>3070</v>
      </c>
    </row>
    <row r="117" spans="5:17">
      <c r="E117" t="e">
        <f t="shared" si="1"/>
        <v>#N/A</v>
      </c>
      <c r="N117" t="s">
        <v>192</v>
      </c>
      <c r="O117">
        <v>95</v>
      </c>
      <c r="P117" t="s">
        <v>3071</v>
      </c>
    </row>
    <row r="118" spans="5:17">
      <c r="E118" t="e">
        <f t="shared" si="1"/>
        <v>#N/A</v>
      </c>
      <c r="N118" t="s">
        <v>192</v>
      </c>
      <c r="O118">
        <v>95</v>
      </c>
      <c r="P118" t="s">
        <v>3072</v>
      </c>
      <c r="Q118" t="s">
        <v>3073</v>
      </c>
    </row>
    <row r="119" spans="5:17">
      <c r="E119" t="e">
        <f t="shared" si="1"/>
        <v>#N/A</v>
      </c>
      <c r="N119" t="s">
        <v>201</v>
      </c>
      <c r="O119">
        <v>10</v>
      </c>
      <c r="P119" t="s">
        <v>3074</v>
      </c>
    </row>
    <row r="120" spans="5:17">
      <c r="E120" t="e">
        <f t="shared" si="1"/>
        <v>#N/A</v>
      </c>
      <c r="N120" t="s">
        <v>192</v>
      </c>
      <c r="O120">
        <v>95</v>
      </c>
      <c r="P120" t="s">
        <v>3075</v>
      </c>
    </row>
    <row r="121" spans="5:17">
      <c r="E121" t="e">
        <f t="shared" si="1"/>
        <v>#N/A</v>
      </c>
      <c r="N121" t="s">
        <v>192</v>
      </c>
      <c r="O121">
        <v>90</v>
      </c>
      <c r="P121" t="s">
        <v>3076</v>
      </c>
    </row>
    <row r="122" spans="5:17">
      <c r="E122" t="e">
        <f t="shared" si="1"/>
        <v>#N/A</v>
      </c>
      <c r="N122" t="s">
        <v>192</v>
      </c>
      <c r="O122">
        <v>90</v>
      </c>
      <c r="P122" t="s">
        <v>3077</v>
      </c>
    </row>
    <row r="123" spans="5:17">
      <c r="E123" t="e">
        <f t="shared" si="1"/>
        <v>#N/A</v>
      </c>
      <c r="N123" t="s">
        <v>1717</v>
      </c>
      <c r="O123" t="s">
        <v>267</v>
      </c>
    </row>
    <row r="124" spans="5:17">
      <c r="E124" t="e">
        <f t="shared" si="1"/>
        <v>#N/A</v>
      </c>
      <c r="N124" t="s">
        <v>1717</v>
      </c>
      <c r="O124" t="s">
        <v>267</v>
      </c>
    </row>
    <row r="125" spans="5:17">
      <c r="E125" t="e">
        <f t="shared" si="1"/>
        <v>#N/A</v>
      </c>
      <c r="L125" t="s">
        <v>271</v>
      </c>
      <c r="N125" t="s">
        <v>1717</v>
      </c>
      <c r="O125" t="s">
        <v>267</v>
      </c>
    </row>
    <row r="126" spans="5:17">
      <c r="E126" t="e">
        <f t="shared" si="1"/>
        <v>#N/A</v>
      </c>
      <c r="L126" t="s">
        <v>271</v>
      </c>
      <c r="N126" t="s">
        <v>1717</v>
      </c>
      <c r="O126" t="s">
        <v>267</v>
      </c>
    </row>
    <row r="127" spans="5:17">
      <c r="E127" t="e">
        <f t="shared" si="1"/>
        <v>#N/A</v>
      </c>
      <c r="L127" t="s">
        <v>271</v>
      </c>
      <c r="N127" t="s">
        <v>1717</v>
      </c>
      <c r="O127" t="s">
        <v>267</v>
      </c>
    </row>
    <row r="128" spans="5:17">
      <c r="E128" t="e">
        <f t="shared" si="1"/>
        <v>#N/A</v>
      </c>
      <c r="L128" t="s">
        <v>271</v>
      </c>
      <c r="N128" t="s">
        <v>1717</v>
      </c>
      <c r="O128" t="s">
        <v>267</v>
      </c>
    </row>
    <row r="129" spans="5:15">
      <c r="E129" t="e">
        <f t="shared" si="1"/>
        <v>#N/A</v>
      </c>
      <c r="L129" t="s">
        <v>271</v>
      </c>
      <c r="N129" t="s">
        <v>1717</v>
      </c>
      <c r="O129" t="s">
        <v>267</v>
      </c>
    </row>
    <row r="130" spans="5:15">
      <c r="E130" t="e">
        <f t="shared" si="1"/>
        <v>#N/A</v>
      </c>
      <c r="L130" t="s">
        <v>271</v>
      </c>
      <c r="N130" t="s">
        <v>1717</v>
      </c>
      <c r="O130" t="s">
        <v>267</v>
      </c>
    </row>
    <row r="131" spans="5:15">
      <c r="E131" t="e">
        <f t="shared" ref="E131:E142" si="2">INDEX($D:$D, MATCH(B131, $C:$C, 0))</f>
        <v>#N/A</v>
      </c>
      <c r="L131" t="s">
        <v>271</v>
      </c>
      <c r="N131" t="s">
        <v>1717</v>
      </c>
      <c r="O131" t="s">
        <v>267</v>
      </c>
    </row>
    <row r="132" spans="5:15">
      <c r="E132" t="e">
        <f t="shared" si="2"/>
        <v>#N/A</v>
      </c>
      <c r="L132" t="s">
        <v>271</v>
      </c>
      <c r="N132" t="s">
        <v>1717</v>
      </c>
      <c r="O132" t="s">
        <v>267</v>
      </c>
    </row>
    <row r="133" spans="5:15">
      <c r="E133" t="e">
        <f t="shared" si="2"/>
        <v>#N/A</v>
      </c>
      <c r="L133" t="s">
        <v>271</v>
      </c>
      <c r="N133" t="s">
        <v>1717</v>
      </c>
      <c r="O133" t="s">
        <v>267</v>
      </c>
    </row>
    <row r="134" spans="5:15">
      <c r="E134" t="e">
        <f t="shared" si="2"/>
        <v>#N/A</v>
      </c>
      <c r="L134" t="s">
        <v>271</v>
      </c>
      <c r="N134" t="s">
        <v>1717</v>
      </c>
      <c r="O134" t="s">
        <v>267</v>
      </c>
    </row>
    <row r="135" spans="5:15">
      <c r="E135" t="e">
        <f t="shared" si="2"/>
        <v>#N/A</v>
      </c>
      <c r="L135" t="s">
        <v>271</v>
      </c>
      <c r="N135" t="s">
        <v>1717</v>
      </c>
      <c r="O135" t="s">
        <v>267</v>
      </c>
    </row>
    <row r="136" spans="5:15">
      <c r="E136" t="e">
        <f t="shared" si="2"/>
        <v>#N/A</v>
      </c>
      <c r="L136" t="s">
        <v>271</v>
      </c>
      <c r="N136" t="s">
        <v>1717</v>
      </c>
      <c r="O136" t="s">
        <v>267</v>
      </c>
    </row>
    <row r="137" spans="5:15">
      <c r="E137" t="e">
        <f t="shared" si="2"/>
        <v>#N/A</v>
      </c>
      <c r="L137" t="s">
        <v>271</v>
      </c>
      <c r="N137" t="s">
        <v>1717</v>
      </c>
      <c r="O137" t="s">
        <v>267</v>
      </c>
    </row>
    <row r="138" spans="5:15">
      <c r="E138" t="e">
        <f t="shared" si="2"/>
        <v>#N/A</v>
      </c>
      <c r="L138" t="s">
        <v>271</v>
      </c>
      <c r="N138" t="s">
        <v>1717</v>
      </c>
      <c r="O138" t="s">
        <v>267</v>
      </c>
    </row>
    <row r="139" spans="5:15">
      <c r="E139" t="e">
        <f t="shared" si="2"/>
        <v>#N/A</v>
      </c>
      <c r="L139" t="s">
        <v>271</v>
      </c>
      <c r="N139" t="s">
        <v>1717</v>
      </c>
      <c r="O139" t="s">
        <v>267</v>
      </c>
    </row>
    <row r="140" spans="5:15">
      <c r="E140" t="e">
        <f t="shared" si="2"/>
        <v>#N/A</v>
      </c>
      <c r="N140" t="s">
        <v>1717</v>
      </c>
      <c r="O140" t="s">
        <v>267</v>
      </c>
    </row>
    <row r="141" spans="5:15">
      <c r="E141" t="e">
        <f t="shared" si="2"/>
        <v>#N/A</v>
      </c>
      <c r="N141" t="s">
        <v>1717</v>
      </c>
      <c r="O141" t="s">
        <v>267</v>
      </c>
    </row>
    <row r="142" spans="5:15">
      <c r="E142" t="e">
        <f t="shared" si="2"/>
        <v>#N/A</v>
      </c>
      <c r="N142" t="s">
        <v>1717</v>
      </c>
      <c r="O142" t="s">
        <v>267</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B28E3-CC88-1249-B9F8-0C9BCA4EC61B}">
  <sheetPr filterMode="1"/>
  <dimension ref="A1:N144"/>
  <sheetViews>
    <sheetView zoomScale="84" zoomScaleNormal="100" workbookViewId="0">
      <pane ySplit="1" topLeftCell="A51" activePane="bottomLeft" state="frozen"/>
      <selection pane="bottomLeft" activeCell="B2" sqref="B2:B122"/>
    </sheetView>
  </sheetViews>
  <sheetFormatPr baseColWidth="10" defaultRowHeight="15"/>
  <cols>
    <col min="2" max="2" width="12.5" customWidth="1"/>
    <col min="3" max="3" width="4.83203125" style="2" customWidth="1"/>
    <col min="5" max="5" width="11.33203125" customWidth="1"/>
    <col min="12" max="12" width="14.33203125" customWidth="1"/>
  </cols>
  <sheetData>
    <row r="1" spans="1:14">
      <c r="A1" t="s">
        <v>88</v>
      </c>
      <c r="B1" t="s">
        <v>0</v>
      </c>
      <c r="C1" s="2" t="s">
        <v>202</v>
      </c>
      <c r="D1" t="s">
        <v>6</v>
      </c>
      <c r="E1" t="s">
        <v>1</v>
      </c>
      <c r="H1" t="s">
        <v>2866</v>
      </c>
      <c r="I1" t="s">
        <v>2866</v>
      </c>
      <c r="J1" t="s">
        <v>2841</v>
      </c>
      <c r="K1" t="s">
        <v>2841</v>
      </c>
      <c r="L1" t="s">
        <v>1067</v>
      </c>
      <c r="M1" t="s">
        <v>1192</v>
      </c>
      <c r="N1" t="s">
        <v>1105</v>
      </c>
    </row>
    <row r="2" spans="1:14" ht="19">
      <c r="A2">
        <v>1</v>
      </c>
      <c r="B2" s="1" t="s">
        <v>7</v>
      </c>
      <c r="C2" s="2" t="s">
        <v>271</v>
      </c>
      <c r="D2" t="s">
        <v>84</v>
      </c>
      <c r="E2" t="s">
        <v>391</v>
      </c>
      <c r="H2" t="s">
        <v>192</v>
      </c>
      <c r="I2" t="s">
        <v>2944</v>
      </c>
      <c r="J2" t="s">
        <v>192</v>
      </c>
      <c r="K2" t="s">
        <v>2387</v>
      </c>
      <c r="L2" t="str">
        <f t="shared" ref="L2:L65" si="0">IF(COUNTIF(M:M, B2)&gt;0,$M$1,IF(COUNTIF(N:N, B2)&gt;0,$N$1,"no"))</f>
        <v>segmented videos list</v>
      </c>
      <c r="M2" s="1" t="s">
        <v>8</v>
      </c>
      <c r="N2" s="1" t="s">
        <v>7</v>
      </c>
    </row>
    <row r="3" spans="1:14" ht="19" hidden="1">
      <c r="A3">
        <v>2</v>
      </c>
      <c r="B3" s="1" t="s">
        <v>8</v>
      </c>
      <c r="C3" s="2" t="s">
        <v>271</v>
      </c>
      <c r="D3" t="s">
        <v>1204</v>
      </c>
      <c r="E3" t="s">
        <v>391</v>
      </c>
      <c r="H3" t="s">
        <v>192</v>
      </c>
      <c r="I3" t="s">
        <v>2973</v>
      </c>
      <c r="J3" t="s">
        <v>201</v>
      </c>
      <c r="K3" t="s">
        <v>2416</v>
      </c>
      <c r="L3" t="str">
        <f t="shared" si="0"/>
        <v>to dignose</v>
      </c>
      <c r="M3" s="1" t="s">
        <v>9</v>
      </c>
      <c r="N3" s="1" t="s">
        <v>8</v>
      </c>
    </row>
    <row r="4" spans="1:14" ht="19" hidden="1">
      <c r="A4">
        <v>3</v>
      </c>
      <c r="B4" s="1" t="s">
        <v>9</v>
      </c>
      <c r="C4" s="2" t="s">
        <v>271</v>
      </c>
      <c r="D4" t="s">
        <v>1202</v>
      </c>
      <c r="E4" t="s">
        <v>391</v>
      </c>
      <c r="H4" t="s">
        <v>201</v>
      </c>
      <c r="I4" t="s">
        <v>2986</v>
      </c>
      <c r="J4" t="s">
        <v>192</v>
      </c>
      <c r="K4" t="s">
        <v>2426</v>
      </c>
      <c r="L4" t="str">
        <f t="shared" si="0"/>
        <v>to dignose</v>
      </c>
      <c r="M4" s="1" t="s">
        <v>10</v>
      </c>
      <c r="N4" s="1" t="s">
        <v>9</v>
      </c>
    </row>
    <row r="5" spans="1:14" ht="19" hidden="1">
      <c r="A5">
        <v>4</v>
      </c>
      <c r="B5" s="1" t="s">
        <v>10</v>
      </c>
      <c r="C5" s="2" t="s">
        <v>271</v>
      </c>
      <c r="D5" t="s">
        <v>1204</v>
      </c>
      <c r="E5" t="s">
        <v>391</v>
      </c>
      <c r="H5" t="s">
        <v>201</v>
      </c>
      <c r="I5" t="s">
        <v>2997</v>
      </c>
      <c r="J5" t="s">
        <v>201</v>
      </c>
      <c r="K5" t="s">
        <v>2436</v>
      </c>
      <c r="L5" t="str">
        <f t="shared" si="0"/>
        <v>to dignose</v>
      </c>
      <c r="M5" s="1" t="s">
        <v>203</v>
      </c>
      <c r="N5" s="1" t="s">
        <v>10</v>
      </c>
    </row>
    <row r="6" spans="1:14" ht="19" hidden="1">
      <c r="A6">
        <v>5</v>
      </c>
      <c r="B6" s="1" t="s">
        <v>203</v>
      </c>
      <c r="C6" s="2" t="s">
        <v>267</v>
      </c>
      <c r="D6" t="s">
        <v>1203</v>
      </c>
      <c r="E6" t="s">
        <v>391</v>
      </c>
      <c r="H6" t="s">
        <v>201</v>
      </c>
      <c r="I6" t="s">
        <v>2929</v>
      </c>
      <c r="J6" t="s">
        <v>201</v>
      </c>
      <c r="K6" t="s">
        <v>2301</v>
      </c>
      <c r="L6" t="str">
        <f t="shared" si="0"/>
        <v>to dignose</v>
      </c>
      <c r="M6" s="1" t="s">
        <v>11</v>
      </c>
      <c r="N6" s="1" t="s">
        <v>203</v>
      </c>
    </row>
    <row r="7" spans="1:14" ht="19" hidden="1">
      <c r="A7">
        <v>6</v>
      </c>
      <c r="B7" s="1" t="s">
        <v>11</v>
      </c>
      <c r="C7" s="2" t="s">
        <v>271</v>
      </c>
      <c r="D7" t="s">
        <v>1203</v>
      </c>
      <c r="E7" t="s">
        <v>391</v>
      </c>
      <c r="H7" t="s">
        <v>201</v>
      </c>
      <c r="I7" t="s">
        <v>2952</v>
      </c>
      <c r="J7" t="s">
        <v>201</v>
      </c>
      <c r="K7" t="s">
        <v>2395</v>
      </c>
      <c r="L7" t="str">
        <f t="shared" si="0"/>
        <v>to dignose</v>
      </c>
      <c r="M7" s="1" t="s">
        <v>204</v>
      </c>
      <c r="N7" s="1" t="s">
        <v>11</v>
      </c>
    </row>
    <row r="8" spans="1:14" ht="19" hidden="1">
      <c r="A8">
        <v>7</v>
      </c>
      <c r="B8" s="1" t="s">
        <v>12</v>
      </c>
      <c r="C8" s="2" t="s">
        <v>271</v>
      </c>
      <c r="D8" t="s">
        <v>86</v>
      </c>
      <c r="E8" t="s">
        <v>391</v>
      </c>
      <c r="H8" t="s">
        <v>1717</v>
      </c>
      <c r="I8" t="e">
        <v>#N/A</v>
      </c>
      <c r="J8" t="s">
        <v>1717</v>
      </c>
      <c r="K8" t="e">
        <v>#N/A</v>
      </c>
      <c r="L8" t="str">
        <f t="shared" si="0"/>
        <v>no</v>
      </c>
      <c r="M8" s="1" t="s">
        <v>13</v>
      </c>
      <c r="N8" s="1" t="s">
        <v>204</v>
      </c>
    </row>
    <row r="9" spans="1:14" ht="19" hidden="1">
      <c r="A9">
        <v>8</v>
      </c>
      <c r="B9" s="1" t="s">
        <v>204</v>
      </c>
      <c r="C9" s="2" t="s">
        <v>271</v>
      </c>
      <c r="D9" t="s">
        <v>1223</v>
      </c>
      <c r="E9" t="s">
        <v>391</v>
      </c>
      <c r="H9" t="s">
        <v>192</v>
      </c>
      <c r="I9" t="s">
        <v>2993</v>
      </c>
      <c r="J9" t="s">
        <v>201</v>
      </c>
      <c r="K9" t="s">
        <v>2432</v>
      </c>
      <c r="L9" t="str">
        <f t="shared" si="0"/>
        <v>to dignose</v>
      </c>
      <c r="M9" s="1" t="s">
        <v>14</v>
      </c>
      <c r="N9" s="1" t="s">
        <v>13</v>
      </c>
    </row>
    <row r="10" spans="1:14" ht="19" hidden="1">
      <c r="A10">
        <v>9</v>
      </c>
      <c r="B10" s="1" t="s">
        <v>13</v>
      </c>
      <c r="C10" s="2" t="s">
        <v>271</v>
      </c>
      <c r="D10" t="s">
        <v>1203</v>
      </c>
      <c r="E10" t="s">
        <v>391</v>
      </c>
      <c r="H10" t="s">
        <v>201</v>
      </c>
      <c r="I10" t="s">
        <v>2977</v>
      </c>
      <c r="J10" t="s">
        <v>201</v>
      </c>
      <c r="K10" t="s">
        <v>2420</v>
      </c>
      <c r="L10" t="str">
        <f t="shared" si="0"/>
        <v>to dignose</v>
      </c>
      <c r="M10" s="1" t="s">
        <v>211</v>
      </c>
      <c r="N10" s="1" t="s">
        <v>14</v>
      </c>
    </row>
    <row r="11" spans="1:14" ht="19" hidden="1">
      <c r="A11">
        <v>10</v>
      </c>
      <c r="B11" s="1" t="s">
        <v>14</v>
      </c>
      <c r="C11" s="2" t="s">
        <v>271</v>
      </c>
      <c r="D11" t="s">
        <v>1201</v>
      </c>
      <c r="E11" t="s">
        <v>391</v>
      </c>
      <c r="H11" t="s">
        <v>192</v>
      </c>
      <c r="I11" t="s">
        <v>2942</v>
      </c>
      <c r="J11" t="s">
        <v>192</v>
      </c>
      <c r="K11" t="s">
        <v>2385</v>
      </c>
      <c r="L11" t="str">
        <f t="shared" si="0"/>
        <v>to dignose</v>
      </c>
      <c r="M11" s="1" t="s">
        <v>21</v>
      </c>
      <c r="N11" s="1" t="s">
        <v>208</v>
      </c>
    </row>
    <row r="12" spans="1:14" ht="19" hidden="1">
      <c r="A12">
        <v>11</v>
      </c>
      <c r="B12" s="1" t="s">
        <v>205</v>
      </c>
      <c r="C12" s="2" t="s">
        <v>269</v>
      </c>
      <c r="D12" t="s">
        <v>84</v>
      </c>
      <c r="E12" t="s">
        <v>391</v>
      </c>
      <c r="H12" t="s">
        <v>1717</v>
      </c>
      <c r="I12" t="e">
        <v>#N/A</v>
      </c>
      <c r="J12" t="s">
        <v>1717</v>
      </c>
      <c r="K12" t="e">
        <v>#N/A</v>
      </c>
      <c r="L12" t="str">
        <f t="shared" si="0"/>
        <v>no</v>
      </c>
      <c r="M12" s="1" t="s">
        <v>22</v>
      </c>
      <c r="N12" s="1" t="s">
        <v>19</v>
      </c>
    </row>
    <row r="13" spans="1:14" ht="19" hidden="1">
      <c r="A13">
        <v>12</v>
      </c>
      <c r="B13" s="1" t="s">
        <v>206</v>
      </c>
      <c r="C13" s="2" t="s">
        <v>267</v>
      </c>
      <c r="D13" t="s">
        <v>84</v>
      </c>
      <c r="E13" t="s">
        <v>391</v>
      </c>
      <c r="H13" t="s">
        <v>1717</v>
      </c>
      <c r="I13" t="e">
        <v>#N/A</v>
      </c>
      <c r="J13" t="s">
        <v>1717</v>
      </c>
      <c r="K13" t="e">
        <v>#N/A</v>
      </c>
      <c r="L13" t="str">
        <f t="shared" si="0"/>
        <v>no</v>
      </c>
      <c r="M13" s="1" t="s">
        <v>238</v>
      </c>
      <c r="N13" s="1" t="s">
        <v>20</v>
      </c>
    </row>
    <row r="14" spans="1:14" ht="19" hidden="1">
      <c r="A14">
        <v>13</v>
      </c>
      <c r="B14" s="1" t="s">
        <v>15</v>
      </c>
      <c r="C14" s="2" t="s">
        <v>271</v>
      </c>
      <c r="D14" t="s">
        <v>85</v>
      </c>
      <c r="E14" t="s">
        <v>391</v>
      </c>
      <c r="H14" t="s">
        <v>1717</v>
      </c>
      <c r="I14" t="e">
        <v>#N/A</v>
      </c>
      <c r="J14" t="s">
        <v>1717</v>
      </c>
      <c r="K14" t="e">
        <v>#N/A</v>
      </c>
      <c r="L14" t="str">
        <f t="shared" si="0"/>
        <v>no</v>
      </c>
      <c r="M14" s="1" t="s">
        <v>28</v>
      </c>
      <c r="N14" s="1" t="s">
        <v>209</v>
      </c>
    </row>
    <row r="15" spans="1:14" ht="19" hidden="1">
      <c r="A15">
        <v>14</v>
      </c>
      <c r="B15" s="1" t="s">
        <v>207</v>
      </c>
      <c r="C15" s="2" t="s">
        <v>267</v>
      </c>
      <c r="D15" t="s">
        <v>84</v>
      </c>
      <c r="E15" t="s">
        <v>391</v>
      </c>
      <c r="H15" t="s">
        <v>1717</v>
      </c>
      <c r="I15" t="e">
        <v>#N/A</v>
      </c>
      <c r="J15" t="s">
        <v>1717</v>
      </c>
      <c r="K15" t="e">
        <v>#N/A</v>
      </c>
      <c r="L15" t="str">
        <f t="shared" si="0"/>
        <v>no</v>
      </c>
      <c r="M15" s="1" t="s">
        <v>29</v>
      </c>
      <c r="N15" s="1" t="s">
        <v>210</v>
      </c>
    </row>
    <row r="16" spans="1:14" ht="19" hidden="1">
      <c r="A16">
        <v>15</v>
      </c>
      <c r="B16" s="1" t="s">
        <v>16</v>
      </c>
      <c r="C16" s="2" t="s">
        <v>271</v>
      </c>
      <c r="D16" t="s">
        <v>84</v>
      </c>
      <c r="E16" t="s">
        <v>391</v>
      </c>
      <c r="H16" t="s">
        <v>1717</v>
      </c>
      <c r="I16" t="e">
        <v>#N/A</v>
      </c>
      <c r="J16" t="s">
        <v>1717</v>
      </c>
      <c r="K16" t="e">
        <v>#N/A</v>
      </c>
      <c r="L16" t="str">
        <f t="shared" si="0"/>
        <v>no</v>
      </c>
      <c r="M16" s="1" t="s">
        <v>30</v>
      </c>
      <c r="N16" s="1" t="s">
        <v>211</v>
      </c>
    </row>
    <row r="17" spans="1:14" ht="19" hidden="1">
      <c r="A17">
        <v>16</v>
      </c>
      <c r="B17" s="1" t="s">
        <v>17</v>
      </c>
      <c r="C17" s="2" t="s">
        <v>271</v>
      </c>
      <c r="D17" t="s">
        <v>84</v>
      </c>
      <c r="E17" t="s">
        <v>391</v>
      </c>
      <c r="H17" t="s">
        <v>1717</v>
      </c>
      <c r="I17" t="e">
        <v>#N/A</v>
      </c>
      <c r="J17" t="s">
        <v>1717</v>
      </c>
      <c r="K17" t="e">
        <v>#N/A</v>
      </c>
      <c r="L17" t="str">
        <f t="shared" si="0"/>
        <v>no</v>
      </c>
      <c r="M17" s="1" t="s">
        <v>31</v>
      </c>
      <c r="N17" s="1" t="s">
        <v>212</v>
      </c>
    </row>
    <row r="18" spans="1:14" ht="19" hidden="1">
      <c r="A18">
        <v>17</v>
      </c>
      <c r="B18" s="1" t="s">
        <v>18</v>
      </c>
      <c r="C18" s="2" t="s">
        <v>271</v>
      </c>
      <c r="D18" t="s">
        <v>85</v>
      </c>
      <c r="E18" t="s">
        <v>391</v>
      </c>
      <c r="H18" t="s">
        <v>1717</v>
      </c>
      <c r="I18" t="e">
        <v>#N/A</v>
      </c>
      <c r="J18" t="s">
        <v>1717</v>
      </c>
      <c r="K18" t="e">
        <v>#N/A</v>
      </c>
      <c r="L18" t="str">
        <f t="shared" si="0"/>
        <v>no</v>
      </c>
      <c r="M18" s="1" t="s">
        <v>33</v>
      </c>
      <c r="N18" s="1" t="s">
        <v>213</v>
      </c>
    </row>
    <row r="19" spans="1:14" ht="19">
      <c r="A19">
        <v>18</v>
      </c>
      <c r="B19" s="1" t="s">
        <v>208</v>
      </c>
      <c r="C19" s="2" t="s">
        <v>267</v>
      </c>
      <c r="D19" t="s">
        <v>84</v>
      </c>
      <c r="E19" t="s">
        <v>391</v>
      </c>
      <c r="H19" t="s">
        <v>192</v>
      </c>
      <c r="I19" t="s">
        <v>2949</v>
      </c>
      <c r="J19" t="s">
        <v>192</v>
      </c>
      <c r="K19" t="s">
        <v>2391</v>
      </c>
      <c r="L19" t="str">
        <f t="shared" si="0"/>
        <v>segmented videos list</v>
      </c>
      <c r="M19" s="1" t="s">
        <v>34</v>
      </c>
      <c r="N19" s="1" t="s">
        <v>21</v>
      </c>
    </row>
    <row r="20" spans="1:14" ht="19">
      <c r="A20">
        <v>19</v>
      </c>
      <c r="B20" s="1" t="s">
        <v>19</v>
      </c>
      <c r="C20" s="2" t="s">
        <v>271</v>
      </c>
      <c r="D20" t="s">
        <v>84</v>
      </c>
      <c r="E20" t="s">
        <v>391</v>
      </c>
      <c r="H20" t="s">
        <v>192</v>
      </c>
      <c r="I20" t="s">
        <v>2972</v>
      </c>
      <c r="J20" t="s">
        <v>192</v>
      </c>
      <c r="K20" t="s">
        <v>2415</v>
      </c>
      <c r="L20" t="str">
        <f t="shared" si="0"/>
        <v>segmented videos list</v>
      </c>
      <c r="M20" s="1" t="s">
        <v>37</v>
      </c>
      <c r="N20" s="1" t="s">
        <v>22</v>
      </c>
    </row>
    <row r="21" spans="1:14" ht="19">
      <c r="A21">
        <v>20</v>
      </c>
      <c r="B21" s="1" t="s">
        <v>20</v>
      </c>
      <c r="C21" s="2" t="s">
        <v>271</v>
      </c>
      <c r="D21" t="s">
        <v>84</v>
      </c>
      <c r="E21" t="s">
        <v>391</v>
      </c>
      <c r="H21" t="s">
        <v>192</v>
      </c>
      <c r="I21" t="s">
        <v>2936</v>
      </c>
      <c r="J21" t="s">
        <v>192</v>
      </c>
      <c r="K21" t="s">
        <v>2378</v>
      </c>
      <c r="L21" t="str">
        <f t="shared" si="0"/>
        <v>segmented videos list</v>
      </c>
      <c r="M21" s="1" t="s">
        <v>38</v>
      </c>
      <c r="N21" s="1" t="s">
        <v>217</v>
      </c>
    </row>
    <row r="22" spans="1:14" ht="19">
      <c r="A22">
        <v>21</v>
      </c>
      <c r="B22" s="1" t="s">
        <v>209</v>
      </c>
      <c r="C22" s="2" t="s">
        <v>272</v>
      </c>
      <c r="D22" t="s">
        <v>84</v>
      </c>
      <c r="E22" t="s">
        <v>391</v>
      </c>
      <c r="H22" t="s">
        <v>192</v>
      </c>
      <c r="I22" t="s">
        <v>2983</v>
      </c>
      <c r="J22" t="s">
        <v>192</v>
      </c>
      <c r="K22" t="s">
        <v>2423</v>
      </c>
      <c r="L22" t="str">
        <f t="shared" si="0"/>
        <v>segmented videos list</v>
      </c>
      <c r="M22" s="1" t="s">
        <v>40</v>
      </c>
      <c r="N22" s="1" t="s">
        <v>218</v>
      </c>
    </row>
    <row r="23" spans="1:14" ht="19">
      <c r="A23">
        <v>22</v>
      </c>
      <c r="B23" s="1" t="s">
        <v>210</v>
      </c>
      <c r="C23" s="2" t="s">
        <v>267</v>
      </c>
      <c r="D23" t="s">
        <v>84</v>
      </c>
      <c r="E23" t="s">
        <v>391</v>
      </c>
      <c r="H23" t="s">
        <v>192</v>
      </c>
      <c r="I23" t="s">
        <v>2979</v>
      </c>
      <c r="J23" t="s">
        <v>192</v>
      </c>
      <c r="K23" t="s">
        <v>2439</v>
      </c>
      <c r="L23" t="str">
        <f t="shared" si="0"/>
        <v>segmented videos list</v>
      </c>
      <c r="M23" s="1" t="s">
        <v>55</v>
      </c>
      <c r="N23" s="1" t="s">
        <v>220</v>
      </c>
    </row>
    <row r="24" spans="1:14" ht="19" hidden="1">
      <c r="A24">
        <v>23</v>
      </c>
      <c r="B24" s="1" t="s">
        <v>211</v>
      </c>
      <c r="C24" s="2" t="s">
        <v>271</v>
      </c>
      <c r="D24" t="s">
        <v>1204</v>
      </c>
      <c r="E24" t="s">
        <v>391</v>
      </c>
      <c r="H24" t="s">
        <v>201</v>
      </c>
      <c r="I24" t="s">
        <v>2945</v>
      </c>
      <c r="J24" t="s">
        <v>201</v>
      </c>
      <c r="K24" t="s">
        <v>2388</v>
      </c>
      <c r="L24" t="str">
        <f t="shared" si="0"/>
        <v>to dignose</v>
      </c>
      <c r="M24" s="1" t="s">
        <v>58</v>
      </c>
      <c r="N24" s="1" t="s">
        <v>221</v>
      </c>
    </row>
    <row r="25" spans="1:14" ht="19">
      <c r="A25">
        <v>24</v>
      </c>
      <c r="B25" s="1" t="s">
        <v>212</v>
      </c>
      <c r="C25" s="2" t="s">
        <v>273</v>
      </c>
      <c r="D25" t="s">
        <v>84</v>
      </c>
      <c r="E25" t="s">
        <v>391</v>
      </c>
      <c r="H25" t="s">
        <v>192</v>
      </c>
      <c r="I25" t="s">
        <v>2987</v>
      </c>
      <c r="J25" t="s">
        <v>192</v>
      </c>
      <c r="K25" t="s">
        <v>2427</v>
      </c>
      <c r="L25" t="str">
        <f t="shared" si="0"/>
        <v>segmented videos list</v>
      </c>
      <c r="M25" s="1" t="s">
        <v>255</v>
      </c>
      <c r="N25" s="1" t="s">
        <v>222</v>
      </c>
    </row>
    <row r="26" spans="1:14" ht="19">
      <c r="A26">
        <v>25</v>
      </c>
      <c r="B26" s="1" t="s">
        <v>213</v>
      </c>
      <c r="C26" s="2" t="s">
        <v>273</v>
      </c>
      <c r="D26" t="s">
        <v>84</v>
      </c>
      <c r="E26" t="s">
        <v>391</v>
      </c>
      <c r="H26" t="s">
        <v>192</v>
      </c>
      <c r="I26" t="s">
        <v>2985</v>
      </c>
      <c r="J26" t="s">
        <v>192</v>
      </c>
      <c r="K26" t="s">
        <v>2425</v>
      </c>
      <c r="L26" t="str">
        <f t="shared" si="0"/>
        <v>segmented videos list</v>
      </c>
      <c r="M26" s="1" t="s">
        <v>59</v>
      </c>
      <c r="N26" s="1" t="s">
        <v>223</v>
      </c>
    </row>
    <row r="27" spans="1:14" ht="19" hidden="1">
      <c r="A27">
        <v>26</v>
      </c>
      <c r="B27" s="1" t="s">
        <v>21</v>
      </c>
      <c r="C27" s="2" t="s">
        <v>271</v>
      </c>
      <c r="D27" t="s">
        <v>1230</v>
      </c>
      <c r="E27" t="s">
        <v>391</v>
      </c>
      <c r="H27" t="s">
        <v>192</v>
      </c>
      <c r="I27" t="s">
        <v>2928</v>
      </c>
      <c r="J27" t="s">
        <v>201</v>
      </c>
      <c r="K27" t="s">
        <v>2372</v>
      </c>
      <c r="L27" t="str">
        <f t="shared" si="0"/>
        <v>to dignose</v>
      </c>
      <c r="M27" s="1" t="s">
        <v>61</v>
      </c>
      <c r="N27" s="1" t="s">
        <v>27</v>
      </c>
    </row>
    <row r="28" spans="1:14" ht="19" hidden="1">
      <c r="A28">
        <v>27</v>
      </c>
      <c r="B28" s="1" t="s">
        <v>22</v>
      </c>
      <c r="C28" s="2" t="s">
        <v>271</v>
      </c>
      <c r="D28" t="s">
        <v>1231</v>
      </c>
      <c r="E28" t="s">
        <v>391</v>
      </c>
      <c r="H28" t="s">
        <v>192</v>
      </c>
      <c r="I28" t="s">
        <v>2925</v>
      </c>
      <c r="J28" t="s">
        <v>192</v>
      </c>
      <c r="K28" t="s">
        <v>2369</v>
      </c>
      <c r="L28" t="str">
        <f t="shared" si="0"/>
        <v>to dignose</v>
      </c>
      <c r="M28" s="1"/>
      <c r="N28" s="1" t="s">
        <v>224</v>
      </c>
    </row>
    <row r="29" spans="1:14" ht="19" hidden="1">
      <c r="A29">
        <v>28</v>
      </c>
      <c r="B29" s="1" t="s">
        <v>214</v>
      </c>
      <c r="C29" s="2" t="s">
        <v>269</v>
      </c>
      <c r="D29" t="s">
        <v>84</v>
      </c>
      <c r="E29" t="s">
        <v>391</v>
      </c>
      <c r="H29" t="s">
        <v>1717</v>
      </c>
      <c r="I29" t="e">
        <v>#N/A</v>
      </c>
      <c r="J29" t="s">
        <v>1717</v>
      </c>
      <c r="K29" t="e">
        <v>#N/A</v>
      </c>
      <c r="L29" t="str">
        <f t="shared" si="0"/>
        <v>no</v>
      </c>
      <c r="M29" s="1"/>
      <c r="N29" s="1" t="s">
        <v>225</v>
      </c>
    </row>
    <row r="30" spans="1:14" ht="19" hidden="1">
      <c r="A30">
        <v>29</v>
      </c>
      <c r="B30" s="1" t="s">
        <v>23</v>
      </c>
      <c r="C30" s="2" t="s">
        <v>271</v>
      </c>
      <c r="D30" t="s">
        <v>87</v>
      </c>
      <c r="E30" t="s">
        <v>391</v>
      </c>
      <c r="H30" t="s">
        <v>1717</v>
      </c>
      <c r="I30" t="e">
        <v>#N/A</v>
      </c>
      <c r="J30" t="s">
        <v>1717</v>
      </c>
      <c r="K30" t="e">
        <v>#N/A</v>
      </c>
      <c r="L30" t="str">
        <f t="shared" si="0"/>
        <v>no</v>
      </c>
      <c r="M30" s="1"/>
      <c r="N30" s="1" t="s">
        <v>226</v>
      </c>
    </row>
    <row r="31" spans="1:14" ht="19" hidden="1">
      <c r="A31">
        <v>30</v>
      </c>
      <c r="B31" s="1" t="s">
        <v>215</v>
      </c>
      <c r="C31" s="2" t="s">
        <v>269</v>
      </c>
      <c r="D31" t="s">
        <v>84</v>
      </c>
      <c r="E31" t="s">
        <v>391</v>
      </c>
      <c r="H31" t="s">
        <v>1717</v>
      </c>
      <c r="I31" t="e">
        <v>#N/A</v>
      </c>
      <c r="J31" t="s">
        <v>1717</v>
      </c>
      <c r="K31" t="e">
        <v>#N/A</v>
      </c>
      <c r="L31" t="str">
        <f t="shared" si="0"/>
        <v>no</v>
      </c>
      <c r="M31" s="1"/>
      <c r="N31" s="1" t="s">
        <v>227</v>
      </c>
    </row>
    <row r="32" spans="1:14" ht="19" hidden="1">
      <c r="A32">
        <v>31</v>
      </c>
      <c r="B32" s="1" t="s">
        <v>216</v>
      </c>
      <c r="C32" s="2" t="s">
        <v>269</v>
      </c>
      <c r="D32" t="s">
        <v>84</v>
      </c>
      <c r="E32" t="s">
        <v>391</v>
      </c>
      <c r="H32" t="s">
        <v>1717</v>
      </c>
      <c r="I32" t="e">
        <v>#N/A</v>
      </c>
      <c r="J32" t="s">
        <v>1717</v>
      </c>
      <c r="K32" t="e">
        <v>#N/A</v>
      </c>
      <c r="L32" t="str">
        <f t="shared" si="0"/>
        <v>no</v>
      </c>
      <c r="M32" s="1"/>
      <c r="N32" s="1" t="s">
        <v>228</v>
      </c>
    </row>
    <row r="33" spans="1:14" ht="19" hidden="1">
      <c r="A33">
        <v>32</v>
      </c>
      <c r="B33" s="1" t="s">
        <v>24</v>
      </c>
      <c r="C33" s="2" t="s">
        <v>271</v>
      </c>
      <c r="D33" t="s">
        <v>84</v>
      </c>
      <c r="E33" t="s">
        <v>391</v>
      </c>
      <c r="H33" t="s">
        <v>1717</v>
      </c>
      <c r="I33" t="e">
        <v>#N/A</v>
      </c>
      <c r="J33" t="s">
        <v>1717</v>
      </c>
      <c r="K33" t="e">
        <v>#N/A</v>
      </c>
      <c r="L33" t="str">
        <f t="shared" si="0"/>
        <v>no</v>
      </c>
      <c r="M33" s="1"/>
      <c r="N33" s="1" t="s">
        <v>229</v>
      </c>
    </row>
    <row r="34" spans="1:14" ht="19" hidden="1">
      <c r="A34">
        <v>33</v>
      </c>
      <c r="B34" s="1" t="s">
        <v>25</v>
      </c>
      <c r="C34" s="2" t="s">
        <v>271</v>
      </c>
      <c r="D34" t="s">
        <v>84</v>
      </c>
      <c r="E34" t="s">
        <v>391</v>
      </c>
      <c r="H34" t="s">
        <v>1717</v>
      </c>
      <c r="I34" t="e">
        <v>#N/A</v>
      </c>
      <c r="J34" t="s">
        <v>1717</v>
      </c>
      <c r="K34" t="e">
        <v>#N/A</v>
      </c>
      <c r="L34" t="str">
        <f t="shared" si="0"/>
        <v>no</v>
      </c>
      <c r="M34" s="1"/>
      <c r="N34" s="1" t="s">
        <v>230</v>
      </c>
    </row>
    <row r="35" spans="1:14" ht="19">
      <c r="A35">
        <v>34</v>
      </c>
      <c r="B35" s="1" t="s">
        <v>217</v>
      </c>
      <c r="C35" s="2" t="s">
        <v>267</v>
      </c>
      <c r="D35" t="s">
        <v>84</v>
      </c>
      <c r="E35" t="s">
        <v>391</v>
      </c>
      <c r="H35" t="s">
        <v>192</v>
      </c>
      <c r="I35" t="s">
        <v>2996</v>
      </c>
      <c r="J35" t="s">
        <v>192</v>
      </c>
      <c r="K35" t="s">
        <v>2435</v>
      </c>
      <c r="L35" t="str">
        <f t="shared" si="0"/>
        <v>segmented videos list</v>
      </c>
      <c r="M35" s="1"/>
      <c r="N35" s="1" t="s">
        <v>231</v>
      </c>
    </row>
    <row r="36" spans="1:14" ht="19">
      <c r="A36">
        <v>35</v>
      </c>
      <c r="B36" s="1" t="s">
        <v>218</v>
      </c>
      <c r="C36" s="2" t="s">
        <v>269</v>
      </c>
      <c r="D36" t="s">
        <v>84</v>
      </c>
      <c r="E36" t="s">
        <v>391</v>
      </c>
      <c r="H36" t="s">
        <v>192</v>
      </c>
      <c r="I36" t="s">
        <v>2984</v>
      </c>
      <c r="J36" t="s">
        <v>192</v>
      </c>
      <c r="K36" t="s">
        <v>2424</v>
      </c>
      <c r="L36" t="str">
        <f t="shared" si="0"/>
        <v>segmented videos list</v>
      </c>
      <c r="M36" s="1"/>
      <c r="N36" s="1" t="s">
        <v>232</v>
      </c>
    </row>
    <row r="37" spans="1:14" ht="19" hidden="1">
      <c r="A37">
        <v>36</v>
      </c>
      <c r="B37" s="1" t="s">
        <v>219</v>
      </c>
      <c r="C37" s="2" t="s">
        <v>269</v>
      </c>
      <c r="D37" t="s">
        <v>84</v>
      </c>
      <c r="E37" t="s">
        <v>391</v>
      </c>
      <c r="H37" t="s">
        <v>1717</v>
      </c>
      <c r="I37" t="e">
        <v>#N/A</v>
      </c>
      <c r="J37" t="s">
        <v>1717</v>
      </c>
      <c r="K37" t="e">
        <v>#N/A</v>
      </c>
      <c r="L37" t="str">
        <f t="shared" si="0"/>
        <v>no</v>
      </c>
      <c r="M37" s="1"/>
      <c r="N37" s="1" t="s">
        <v>233</v>
      </c>
    </row>
    <row r="38" spans="1:14" ht="19">
      <c r="A38">
        <v>37</v>
      </c>
      <c r="B38" s="1" t="s">
        <v>220</v>
      </c>
      <c r="C38" s="2" t="s">
        <v>269</v>
      </c>
      <c r="D38" t="s">
        <v>84</v>
      </c>
      <c r="E38" t="s">
        <v>391</v>
      </c>
      <c r="H38" t="s">
        <v>192</v>
      </c>
      <c r="I38" t="s">
        <v>2948</v>
      </c>
      <c r="J38" t="s">
        <v>192</v>
      </c>
      <c r="K38" t="s">
        <v>2390</v>
      </c>
      <c r="L38" t="str">
        <f t="shared" si="0"/>
        <v>segmented videos list</v>
      </c>
      <c r="M38" s="1"/>
      <c r="N38" s="1" t="s">
        <v>234</v>
      </c>
    </row>
    <row r="39" spans="1:14" ht="19">
      <c r="A39">
        <v>38</v>
      </c>
      <c r="B39" s="1" t="s">
        <v>221</v>
      </c>
      <c r="C39" s="2" t="s">
        <v>269</v>
      </c>
      <c r="D39" t="s">
        <v>84</v>
      </c>
      <c r="E39" t="s">
        <v>391</v>
      </c>
      <c r="H39" t="s">
        <v>192</v>
      </c>
      <c r="I39" t="s">
        <v>2970</v>
      </c>
      <c r="J39" t="s">
        <v>192</v>
      </c>
      <c r="K39" t="s">
        <v>2413</v>
      </c>
      <c r="L39" t="str">
        <f t="shared" si="0"/>
        <v>segmented videos list</v>
      </c>
      <c r="M39" s="1"/>
      <c r="N39" s="1" t="s">
        <v>235</v>
      </c>
    </row>
    <row r="40" spans="1:14" ht="19">
      <c r="A40">
        <v>39</v>
      </c>
      <c r="B40" s="1" t="s">
        <v>222</v>
      </c>
      <c r="C40" s="2" t="s">
        <v>267</v>
      </c>
      <c r="D40" t="s">
        <v>84</v>
      </c>
      <c r="E40" t="s">
        <v>391</v>
      </c>
      <c r="H40" t="s">
        <v>201</v>
      </c>
      <c r="I40" t="s">
        <v>2967</v>
      </c>
      <c r="J40" t="s">
        <v>192</v>
      </c>
      <c r="K40" t="s">
        <v>2410</v>
      </c>
      <c r="L40" t="str">
        <f t="shared" si="0"/>
        <v>segmented videos list</v>
      </c>
      <c r="M40" s="1"/>
      <c r="N40" s="1" t="s">
        <v>236</v>
      </c>
    </row>
    <row r="41" spans="1:14" ht="19" hidden="1">
      <c r="A41">
        <v>40</v>
      </c>
      <c r="B41" s="1" t="s">
        <v>26</v>
      </c>
      <c r="C41" s="2" t="s">
        <v>271</v>
      </c>
      <c r="D41" t="s">
        <v>84</v>
      </c>
      <c r="E41" t="s">
        <v>391</v>
      </c>
      <c r="H41" t="s">
        <v>1717</v>
      </c>
      <c r="I41" t="e">
        <v>#N/A</v>
      </c>
      <c r="J41" t="s">
        <v>1717</v>
      </c>
      <c r="K41" t="e">
        <v>#N/A</v>
      </c>
      <c r="L41" t="str">
        <f t="shared" si="0"/>
        <v>no</v>
      </c>
      <c r="M41" s="1"/>
      <c r="N41" s="1" t="s">
        <v>237</v>
      </c>
    </row>
    <row r="42" spans="1:14" ht="19">
      <c r="A42">
        <v>41</v>
      </c>
      <c r="B42" s="1" t="s">
        <v>223</v>
      </c>
      <c r="C42" s="2" t="s">
        <v>269</v>
      </c>
      <c r="D42" t="s">
        <v>84</v>
      </c>
      <c r="E42" t="s">
        <v>391</v>
      </c>
      <c r="H42" t="s">
        <v>192</v>
      </c>
      <c r="I42" t="s">
        <v>2957</v>
      </c>
      <c r="J42" t="s">
        <v>192</v>
      </c>
      <c r="K42" t="s">
        <v>2400</v>
      </c>
      <c r="L42" t="str">
        <f t="shared" si="0"/>
        <v>segmented videos list</v>
      </c>
      <c r="M42" s="1"/>
      <c r="N42" s="1" t="s">
        <v>238</v>
      </c>
    </row>
    <row r="43" spans="1:14" ht="19">
      <c r="A43">
        <v>42</v>
      </c>
      <c r="B43" s="1" t="s">
        <v>27</v>
      </c>
      <c r="C43" s="2" t="s">
        <v>271</v>
      </c>
      <c r="D43" t="s">
        <v>84</v>
      </c>
      <c r="E43" t="s">
        <v>391</v>
      </c>
      <c r="H43" t="s">
        <v>192</v>
      </c>
      <c r="I43" t="s">
        <v>2955</v>
      </c>
      <c r="J43" t="s">
        <v>192</v>
      </c>
      <c r="K43" t="s">
        <v>2398</v>
      </c>
      <c r="L43" t="str">
        <f t="shared" si="0"/>
        <v>segmented videos list</v>
      </c>
      <c r="M43" s="1"/>
      <c r="N43" s="1" t="s">
        <v>28</v>
      </c>
    </row>
    <row r="44" spans="1:14" ht="19">
      <c r="A44">
        <v>43</v>
      </c>
      <c r="B44" s="1" t="s">
        <v>224</v>
      </c>
      <c r="C44" s="2" t="s">
        <v>267</v>
      </c>
      <c r="D44" t="s">
        <v>84</v>
      </c>
      <c r="E44" t="s">
        <v>391</v>
      </c>
      <c r="H44" t="s">
        <v>192</v>
      </c>
      <c r="I44" t="s">
        <v>2962</v>
      </c>
      <c r="J44" t="s">
        <v>192</v>
      </c>
      <c r="K44" t="s">
        <v>2405</v>
      </c>
      <c r="L44" t="str">
        <f t="shared" si="0"/>
        <v>segmented videos list</v>
      </c>
      <c r="M44" s="1"/>
      <c r="N44" s="1" t="s">
        <v>29</v>
      </c>
    </row>
    <row r="45" spans="1:14" ht="19">
      <c r="A45">
        <v>44</v>
      </c>
      <c r="B45" s="1" t="s">
        <v>225</v>
      </c>
      <c r="C45" s="2" t="s">
        <v>274</v>
      </c>
      <c r="D45" t="s">
        <v>84</v>
      </c>
      <c r="E45" t="s">
        <v>391</v>
      </c>
      <c r="H45" t="s">
        <v>192</v>
      </c>
      <c r="I45" t="s">
        <v>2930</v>
      </c>
      <c r="J45" t="s">
        <v>192</v>
      </c>
      <c r="K45" s="5" t="s">
        <v>2373</v>
      </c>
      <c r="L45" t="str">
        <f t="shared" si="0"/>
        <v>segmented videos list</v>
      </c>
      <c r="M45" s="1"/>
      <c r="N45" s="1" t="s">
        <v>239</v>
      </c>
    </row>
    <row r="46" spans="1:14" ht="19">
      <c r="A46">
        <v>45</v>
      </c>
      <c r="B46" s="1" t="s">
        <v>226</v>
      </c>
      <c r="C46" s="2" t="s">
        <v>274</v>
      </c>
      <c r="D46" t="s">
        <v>84</v>
      </c>
      <c r="E46" t="s">
        <v>391</v>
      </c>
      <c r="H46" t="s">
        <v>192</v>
      </c>
      <c r="I46" t="s">
        <v>2976</v>
      </c>
      <c r="J46" t="s">
        <v>192</v>
      </c>
      <c r="K46" t="s">
        <v>2419</v>
      </c>
      <c r="L46" t="str">
        <f t="shared" si="0"/>
        <v>segmented videos list</v>
      </c>
      <c r="M46" s="1"/>
      <c r="N46" s="1" t="s">
        <v>30</v>
      </c>
    </row>
    <row r="47" spans="1:14" ht="19">
      <c r="A47">
        <v>46</v>
      </c>
      <c r="B47" s="1" t="s">
        <v>227</v>
      </c>
      <c r="C47" s="2" t="s">
        <v>269</v>
      </c>
      <c r="D47" t="s">
        <v>84</v>
      </c>
      <c r="E47" t="s">
        <v>391</v>
      </c>
      <c r="H47" t="s">
        <v>192</v>
      </c>
      <c r="I47" t="s">
        <v>2924</v>
      </c>
      <c r="J47" t="s">
        <v>192</v>
      </c>
      <c r="K47" t="s">
        <v>2368</v>
      </c>
      <c r="L47" t="str">
        <f t="shared" si="0"/>
        <v>segmented videos list</v>
      </c>
      <c r="M47" s="1"/>
      <c r="N47" s="1" t="s">
        <v>240</v>
      </c>
    </row>
    <row r="48" spans="1:14" ht="19">
      <c r="A48">
        <v>47</v>
      </c>
      <c r="B48" s="1" t="s">
        <v>228</v>
      </c>
      <c r="C48" s="2" t="s">
        <v>269</v>
      </c>
      <c r="D48" t="s">
        <v>84</v>
      </c>
      <c r="E48" t="s">
        <v>391</v>
      </c>
      <c r="H48" t="s">
        <v>192</v>
      </c>
      <c r="I48" t="s">
        <v>2958</v>
      </c>
      <c r="J48" t="s">
        <v>192</v>
      </c>
      <c r="K48" t="s">
        <v>2401</v>
      </c>
      <c r="L48" t="str">
        <f t="shared" si="0"/>
        <v>segmented videos list</v>
      </c>
      <c r="M48" s="1"/>
      <c r="N48" s="1" t="s">
        <v>31</v>
      </c>
    </row>
    <row r="49" spans="1:14" ht="19">
      <c r="A49">
        <v>48</v>
      </c>
      <c r="B49" s="1" t="s">
        <v>229</v>
      </c>
      <c r="C49" s="2" t="s">
        <v>269</v>
      </c>
      <c r="D49" t="s">
        <v>84</v>
      </c>
      <c r="E49" t="s">
        <v>391</v>
      </c>
      <c r="H49" t="s">
        <v>192</v>
      </c>
      <c r="I49" t="s">
        <v>2954</v>
      </c>
      <c r="J49" t="s">
        <v>192</v>
      </c>
      <c r="K49" t="s">
        <v>2397</v>
      </c>
      <c r="L49" t="str">
        <f t="shared" si="0"/>
        <v>segmented videos list</v>
      </c>
      <c r="M49" s="1"/>
      <c r="N49" s="1" t="s">
        <v>241</v>
      </c>
    </row>
    <row r="50" spans="1:14" ht="19">
      <c r="A50">
        <v>49</v>
      </c>
      <c r="B50" s="1" t="s">
        <v>230</v>
      </c>
      <c r="C50" s="2" t="s">
        <v>269</v>
      </c>
      <c r="D50" t="s">
        <v>84</v>
      </c>
      <c r="E50" t="s">
        <v>391</v>
      </c>
      <c r="H50" t="s">
        <v>192</v>
      </c>
      <c r="I50" t="s">
        <v>2969</v>
      </c>
      <c r="J50" t="s">
        <v>192</v>
      </c>
      <c r="K50" t="s">
        <v>2412</v>
      </c>
      <c r="L50" t="str">
        <f t="shared" si="0"/>
        <v>segmented videos list</v>
      </c>
      <c r="M50" s="1"/>
      <c r="N50" s="1" t="s">
        <v>32</v>
      </c>
    </row>
    <row r="51" spans="1:14" ht="19">
      <c r="A51">
        <v>50</v>
      </c>
      <c r="B51" s="1" t="s">
        <v>231</v>
      </c>
      <c r="C51" s="2" t="s">
        <v>269</v>
      </c>
      <c r="D51" t="s">
        <v>84</v>
      </c>
      <c r="E51" t="s">
        <v>391</v>
      </c>
      <c r="H51" t="s">
        <v>192</v>
      </c>
      <c r="I51" t="s">
        <v>2926</v>
      </c>
      <c r="J51" t="s">
        <v>192</v>
      </c>
      <c r="K51" t="s">
        <v>2370</v>
      </c>
      <c r="L51" t="str">
        <f t="shared" si="0"/>
        <v>segmented videos list</v>
      </c>
      <c r="M51" s="1"/>
      <c r="N51" s="1" t="s">
        <v>33</v>
      </c>
    </row>
    <row r="52" spans="1:14" ht="19">
      <c r="A52">
        <v>51</v>
      </c>
      <c r="B52" s="1" t="s">
        <v>232</v>
      </c>
      <c r="C52" s="2" t="s">
        <v>274</v>
      </c>
      <c r="D52" t="s">
        <v>84</v>
      </c>
      <c r="E52" t="s">
        <v>391</v>
      </c>
      <c r="H52" t="s">
        <v>192</v>
      </c>
      <c r="I52" t="s">
        <v>2927</v>
      </c>
      <c r="J52" t="s">
        <v>192</v>
      </c>
      <c r="K52" t="s">
        <v>2371</v>
      </c>
      <c r="L52" t="str">
        <f t="shared" si="0"/>
        <v>segmented videos list</v>
      </c>
      <c r="M52" s="1"/>
      <c r="N52" s="1" t="s">
        <v>34</v>
      </c>
    </row>
    <row r="53" spans="1:14" ht="19">
      <c r="A53">
        <v>52</v>
      </c>
      <c r="B53" s="1" t="s">
        <v>233</v>
      </c>
      <c r="C53" s="2" t="s">
        <v>274</v>
      </c>
      <c r="D53" t="s">
        <v>84</v>
      </c>
      <c r="E53" t="s">
        <v>391</v>
      </c>
      <c r="H53" t="s">
        <v>192</v>
      </c>
      <c r="I53" t="s">
        <v>2975</v>
      </c>
      <c r="J53" t="s">
        <v>192</v>
      </c>
      <c r="K53" t="s">
        <v>2418</v>
      </c>
      <c r="L53" t="str">
        <f t="shared" si="0"/>
        <v>segmented videos list</v>
      </c>
      <c r="M53" s="1"/>
      <c r="N53" s="1" t="s">
        <v>35</v>
      </c>
    </row>
    <row r="54" spans="1:14" ht="19">
      <c r="A54">
        <v>53</v>
      </c>
      <c r="B54" s="1" t="s">
        <v>234</v>
      </c>
      <c r="C54" s="2" t="s">
        <v>274</v>
      </c>
      <c r="D54" t="s">
        <v>84</v>
      </c>
      <c r="E54" t="s">
        <v>391</v>
      </c>
      <c r="H54" t="s">
        <v>192</v>
      </c>
      <c r="I54" t="s">
        <v>2939</v>
      </c>
      <c r="J54" t="s">
        <v>192</v>
      </c>
      <c r="K54" t="s">
        <v>2381</v>
      </c>
      <c r="L54" t="str">
        <f t="shared" si="0"/>
        <v>segmented videos list</v>
      </c>
      <c r="M54" s="1"/>
      <c r="N54" s="1" t="s">
        <v>36</v>
      </c>
    </row>
    <row r="55" spans="1:14" ht="19">
      <c r="A55">
        <v>54</v>
      </c>
      <c r="B55" s="1" t="s">
        <v>235</v>
      </c>
      <c r="C55" s="2" t="s">
        <v>274</v>
      </c>
      <c r="D55" t="s">
        <v>84</v>
      </c>
      <c r="E55" t="s">
        <v>391</v>
      </c>
      <c r="H55" t="s">
        <v>192</v>
      </c>
      <c r="I55" t="s">
        <v>2940</v>
      </c>
      <c r="J55" t="s">
        <v>192</v>
      </c>
      <c r="K55" t="s">
        <v>2382</v>
      </c>
      <c r="L55" t="str">
        <f t="shared" si="0"/>
        <v>segmented videos list</v>
      </c>
      <c r="M55" s="1"/>
      <c r="N55" s="1" t="s">
        <v>37</v>
      </c>
    </row>
    <row r="56" spans="1:14" ht="19">
      <c r="A56">
        <v>55</v>
      </c>
      <c r="B56" s="1" t="s">
        <v>236</v>
      </c>
      <c r="C56" s="2" t="s">
        <v>269</v>
      </c>
      <c r="D56" t="s">
        <v>84</v>
      </c>
      <c r="E56" t="s">
        <v>391</v>
      </c>
      <c r="H56" t="s">
        <v>192</v>
      </c>
      <c r="I56" t="s">
        <v>2959</v>
      </c>
      <c r="J56" t="s">
        <v>192</v>
      </c>
      <c r="K56" t="s">
        <v>2402</v>
      </c>
      <c r="L56" t="str">
        <f t="shared" si="0"/>
        <v>segmented videos list</v>
      </c>
      <c r="M56" s="1"/>
      <c r="N56" s="1" t="s">
        <v>38</v>
      </c>
    </row>
    <row r="57" spans="1:14" ht="19">
      <c r="A57">
        <v>56</v>
      </c>
      <c r="B57" s="1" t="s">
        <v>237</v>
      </c>
      <c r="C57" s="2" t="s">
        <v>269</v>
      </c>
      <c r="D57" t="s">
        <v>84</v>
      </c>
      <c r="E57" t="s">
        <v>391</v>
      </c>
      <c r="H57" t="s">
        <v>192</v>
      </c>
      <c r="I57" t="s">
        <v>2943</v>
      </c>
      <c r="J57" t="s">
        <v>192</v>
      </c>
      <c r="K57" t="s">
        <v>2386</v>
      </c>
      <c r="L57" t="str">
        <f t="shared" si="0"/>
        <v>segmented videos list</v>
      </c>
      <c r="M57" s="1"/>
      <c r="N57" s="1" t="s">
        <v>39</v>
      </c>
    </row>
    <row r="58" spans="1:14" ht="19" hidden="1">
      <c r="A58">
        <v>57</v>
      </c>
      <c r="B58" s="1" t="s">
        <v>238</v>
      </c>
      <c r="C58" s="2" t="s">
        <v>269</v>
      </c>
      <c r="D58" t="s">
        <v>1201</v>
      </c>
      <c r="E58" t="s">
        <v>391</v>
      </c>
      <c r="H58" t="s">
        <v>192</v>
      </c>
      <c r="I58" t="s">
        <v>2994</v>
      </c>
      <c r="J58" t="s">
        <v>192</v>
      </c>
      <c r="K58" t="s">
        <v>2433</v>
      </c>
      <c r="L58" t="str">
        <f t="shared" si="0"/>
        <v>to dignose</v>
      </c>
      <c r="M58" s="1"/>
      <c r="N58" s="1" t="s">
        <v>242</v>
      </c>
    </row>
    <row r="59" spans="1:14" ht="19" hidden="1">
      <c r="A59">
        <v>58</v>
      </c>
      <c r="B59" s="1" t="s">
        <v>28</v>
      </c>
      <c r="C59" s="2" t="s">
        <v>271</v>
      </c>
      <c r="D59" t="s">
        <v>1201</v>
      </c>
      <c r="E59" t="s">
        <v>391</v>
      </c>
      <c r="H59" t="s">
        <v>192</v>
      </c>
      <c r="I59" t="s">
        <v>2941</v>
      </c>
      <c r="J59" t="s">
        <v>201</v>
      </c>
      <c r="K59" t="s">
        <v>2384</v>
      </c>
      <c r="L59" t="str">
        <f t="shared" si="0"/>
        <v>to dignose</v>
      </c>
      <c r="M59" s="1"/>
      <c r="N59" s="1" t="s">
        <v>40</v>
      </c>
    </row>
    <row r="60" spans="1:14" ht="19" hidden="1">
      <c r="A60">
        <v>59</v>
      </c>
      <c r="B60" s="1" t="s">
        <v>29</v>
      </c>
      <c r="C60" s="2" t="s">
        <v>271</v>
      </c>
      <c r="D60" t="s">
        <v>1204</v>
      </c>
      <c r="E60" t="s">
        <v>391</v>
      </c>
      <c r="H60" t="s">
        <v>192</v>
      </c>
      <c r="I60" t="s">
        <v>2981</v>
      </c>
      <c r="J60" t="s">
        <v>192</v>
      </c>
      <c r="K60" t="s">
        <v>2422</v>
      </c>
      <c r="L60" t="str">
        <f t="shared" si="0"/>
        <v>to dignose</v>
      </c>
      <c r="M60" s="1"/>
      <c r="N60" s="1" t="s">
        <v>251</v>
      </c>
    </row>
    <row r="61" spans="1:14" ht="19">
      <c r="A61">
        <v>60</v>
      </c>
      <c r="B61" s="1" t="s">
        <v>239</v>
      </c>
      <c r="C61" s="2" t="s">
        <v>269</v>
      </c>
      <c r="D61" t="s">
        <v>84</v>
      </c>
      <c r="E61" t="s">
        <v>391</v>
      </c>
      <c r="H61" t="s">
        <v>192</v>
      </c>
      <c r="I61" t="s">
        <v>2950</v>
      </c>
      <c r="J61" t="s">
        <v>192</v>
      </c>
      <c r="K61" t="s">
        <v>2392</v>
      </c>
      <c r="L61" t="str">
        <f t="shared" si="0"/>
        <v>segmented videos list</v>
      </c>
      <c r="M61" s="1"/>
      <c r="N61" s="1" t="s">
        <v>54</v>
      </c>
    </row>
    <row r="62" spans="1:14" ht="19" hidden="1">
      <c r="A62">
        <v>61</v>
      </c>
      <c r="B62" s="1" t="s">
        <v>30</v>
      </c>
      <c r="C62" s="2" t="s">
        <v>271</v>
      </c>
      <c r="D62" t="s">
        <v>1201</v>
      </c>
      <c r="E62" t="s">
        <v>391</v>
      </c>
      <c r="H62" t="s">
        <v>201</v>
      </c>
      <c r="I62" t="s">
        <v>2938</v>
      </c>
      <c r="J62" t="s">
        <v>201</v>
      </c>
      <c r="K62" t="s">
        <v>2380</v>
      </c>
      <c r="L62" t="str">
        <f t="shared" si="0"/>
        <v>to dignose</v>
      </c>
      <c r="M62" s="1"/>
      <c r="N62" s="1" t="s">
        <v>55</v>
      </c>
    </row>
    <row r="63" spans="1:14" ht="19">
      <c r="A63">
        <v>62</v>
      </c>
      <c r="B63" s="1" t="s">
        <v>240</v>
      </c>
      <c r="C63" s="2" t="s">
        <v>269</v>
      </c>
      <c r="D63" t="s">
        <v>84</v>
      </c>
      <c r="E63" t="s">
        <v>391</v>
      </c>
      <c r="H63" t="s">
        <v>192</v>
      </c>
      <c r="I63" t="s">
        <v>2956</v>
      </c>
      <c r="J63" t="s">
        <v>192</v>
      </c>
      <c r="K63" t="s">
        <v>2399</v>
      </c>
      <c r="L63" t="str">
        <f t="shared" si="0"/>
        <v>segmented videos list</v>
      </c>
      <c r="M63" s="1"/>
      <c r="N63" s="1" t="s">
        <v>252</v>
      </c>
    </row>
    <row r="64" spans="1:14" ht="19" hidden="1">
      <c r="A64">
        <v>63</v>
      </c>
      <c r="B64" s="1" t="s">
        <v>31</v>
      </c>
      <c r="C64" s="2" t="s">
        <v>271</v>
      </c>
      <c r="D64" t="s">
        <v>1201</v>
      </c>
      <c r="E64" t="s">
        <v>391</v>
      </c>
      <c r="H64" t="s">
        <v>192</v>
      </c>
      <c r="I64" t="s">
        <v>2995</v>
      </c>
      <c r="J64" t="s">
        <v>201</v>
      </c>
      <c r="K64" t="s">
        <v>2434</v>
      </c>
      <c r="L64" t="str">
        <f t="shared" si="0"/>
        <v>to dignose</v>
      </c>
      <c r="M64" s="1"/>
      <c r="N64" s="1" t="s">
        <v>56</v>
      </c>
    </row>
    <row r="65" spans="1:14" ht="19">
      <c r="A65">
        <v>64</v>
      </c>
      <c r="B65" s="1" t="s">
        <v>241</v>
      </c>
      <c r="C65" s="2" t="s">
        <v>269</v>
      </c>
      <c r="D65" t="s">
        <v>84</v>
      </c>
      <c r="E65" t="s">
        <v>391</v>
      </c>
      <c r="H65" t="s">
        <v>192</v>
      </c>
      <c r="I65" t="s">
        <v>2935</v>
      </c>
      <c r="J65" t="s">
        <v>192</v>
      </c>
      <c r="K65" t="s">
        <v>2377</v>
      </c>
      <c r="L65" t="str">
        <f t="shared" si="0"/>
        <v>segmented videos list</v>
      </c>
      <c r="M65" s="1"/>
      <c r="N65" s="1" t="s">
        <v>253</v>
      </c>
    </row>
    <row r="66" spans="1:14" ht="19">
      <c r="A66">
        <v>65</v>
      </c>
      <c r="B66" s="1" t="s">
        <v>32</v>
      </c>
      <c r="C66" s="2" t="s">
        <v>271</v>
      </c>
      <c r="D66" t="s">
        <v>84</v>
      </c>
      <c r="E66" t="s">
        <v>391</v>
      </c>
      <c r="H66" t="s">
        <v>192</v>
      </c>
      <c r="I66" t="s">
        <v>2974</v>
      </c>
      <c r="J66" t="s">
        <v>192</v>
      </c>
      <c r="K66" t="s">
        <v>2417</v>
      </c>
      <c r="L66" t="str">
        <f t="shared" ref="L66:L129" si="1">IF(COUNTIF(M:M, B66)&gt;0,$M$1,IF(COUNTIF(N:N, B66)&gt;0,$N$1,"no"))</f>
        <v>segmented videos list</v>
      </c>
      <c r="M66" s="1"/>
      <c r="N66" s="1" t="s">
        <v>57</v>
      </c>
    </row>
    <row r="67" spans="1:14" ht="19" hidden="1">
      <c r="A67">
        <v>66</v>
      </c>
      <c r="B67" s="1" t="s">
        <v>33</v>
      </c>
      <c r="C67" s="2" t="s">
        <v>271</v>
      </c>
      <c r="D67" t="s">
        <v>1204</v>
      </c>
      <c r="E67" t="s">
        <v>391</v>
      </c>
      <c r="H67" t="s">
        <v>192</v>
      </c>
      <c r="I67" t="s">
        <v>2960</v>
      </c>
      <c r="J67" t="s">
        <v>192</v>
      </c>
      <c r="K67" t="s">
        <v>2403</v>
      </c>
      <c r="L67" t="str">
        <f t="shared" si="1"/>
        <v>to dignose</v>
      </c>
      <c r="M67" s="1"/>
      <c r="N67" s="1" t="s">
        <v>58</v>
      </c>
    </row>
    <row r="68" spans="1:14" ht="19" hidden="1">
      <c r="A68">
        <v>67</v>
      </c>
      <c r="B68" s="1" t="s">
        <v>34</v>
      </c>
      <c r="C68" s="2" t="s">
        <v>271</v>
      </c>
      <c r="D68" t="s">
        <v>1204</v>
      </c>
      <c r="E68" t="s">
        <v>391</v>
      </c>
      <c r="H68" t="s">
        <v>192</v>
      </c>
      <c r="I68" t="s">
        <v>2982</v>
      </c>
      <c r="J68" t="s">
        <v>201</v>
      </c>
      <c r="K68" t="s">
        <v>2355</v>
      </c>
      <c r="L68" t="str">
        <f t="shared" si="1"/>
        <v>to dignose</v>
      </c>
      <c r="M68" s="1"/>
      <c r="N68" s="1" t="s">
        <v>254</v>
      </c>
    </row>
    <row r="69" spans="1:14" ht="19">
      <c r="A69">
        <v>68</v>
      </c>
      <c r="B69" s="1" t="s">
        <v>35</v>
      </c>
      <c r="C69" s="2" t="s">
        <v>271</v>
      </c>
      <c r="D69" t="s">
        <v>85</v>
      </c>
      <c r="E69" t="s">
        <v>391</v>
      </c>
      <c r="H69" t="s">
        <v>192</v>
      </c>
      <c r="I69" t="s">
        <v>2989</v>
      </c>
      <c r="J69" t="s">
        <v>192</v>
      </c>
      <c r="K69" t="s">
        <v>2429</v>
      </c>
      <c r="L69" t="str">
        <f t="shared" si="1"/>
        <v>segmented videos list</v>
      </c>
      <c r="M69" s="1"/>
      <c r="N69" s="1" t="s">
        <v>255</v>
      </c>
    </row>
    <row r="70" spans="1:14" ht="19">
      <c r="A70">
        <v>69</v>
      </c>
      <c r="B70" s="1" t="s">
        <v>36</v>
      </c>
      <c r="C70" s="2" t="s">
        <v>271</v>
      </c>
      <c r="D70" t="s">
        <v>85</v>
      </c>
      <c r="E70" t="s">
        <v>391</v>
      </c>
      <c r="H70" t="s">
        <v>192</v>
      </c>
      <c r="I70" t="s">
        <v>2965</v>
      </c>
      <c r="J70" t="s">
        <v>192</v>
      </c>
      <c r="K70" t="s">
        <v>2408</v>
      </c>
      <c r="L70" t="str">
        <f t="shared" si="1"/>
        <v>segmented videos list</v>
      </c>
      <c r="M70" s="1"/>
      <c r="N70" s="1" t="s">
        <v>257</v>
      </c>
    </row>
    <row r="71" spans="1:14" ht="19" hidden="1">
      <c r="A71">
        <v>70</v>
      </c>
      <c r="B71" s="1" t="s">
        <v>37</v>
      </c>
      <c r="C71" s="2" t="s">
        <v>271</v>
      </c>
      <c r="D71" t="s">
        <v>1204</v>
      </c>
      <c r="E71" t="s">
        <v>391</v>
      </c>
      <c r="H71" t="s">
        <v>192</v>
      </c>
      <c r="I71" t="s">
        <v>2961</v>
      </c>
      <c r="J71" t="s">
        <v>192</v>
      </c>
      <c r="K71" t="s">
        <v>2404</v>
      </c>
      <c r="L71" t="str">
        <f t="shared" si="1"/>
        <v>to dignose</v>
      </c>
      <c r="M71" s="1"/>
      <c r="N71" s="1" t="s">
        <v>264</v>
      </c>
    </row>
    <row r="72" spans="1:14" ht="19" hidden="1">
      <c r="A72">
        <v>71</v>
      </c>
      <c r="B72" s="1" t="s">
        <v>38</v>
      </c>
      <c r="C72" s="2" t="s">
        <v>271</v>
      </c>
      <c r="D72" t="s">
        <v>1201</v>
      </c>
      <c r="E72" t="s">
        <v>391</v>
      </c>
      <c r="H72" t="s">
        <v>192</v>
      </c>
      <c r="I72" t="s">
        <v>2963</v>
      </c>
      <c r="J72" t="s">
        <v>192</v>
      </c>
      <c r="K72" t="s">
        <v>2406</v>
      </c>
      <c r="L72" t="str">
        <f t="shared" si="1"/>
        <v>to dignose</v>
      </c>
      <c r="M72" s="1"/>
      <c r="N72" s="1" t="s">
        <v>59</v>
      </c>
    </row>
    <row r="73" spans="1:14" ht="19">
      <c r="A73">
        <v>72</v>
      </c>
      <c r="B73" s="1" t="s">
        <v>39</v>
      </c>
      <c r="C73" s="2" t="s">
        <v>271</v>
      </c>
      <c r="D73" t="s">
        <v>84</v>
      </c>
      <c r="E73" t="s">
        <v>391</v>
      </c>
      <c r="H73" t="s">
        <v>192</v>
      </c>
      <c r="I73" t="s">
        <v>2953</v>
      </c>
      <c r="J73" t="s">
        <v>192</v>
      </c>
      <c r="K73" t="s">
        <v>2396</v>
      </c>
      <c r="L73" t="str">
        <f t="shared" si="1"/>
        <v>segmented videos list</v>
      </c>
      <c r="M73" s="1"/>
      <c r="N73" s="1" t="s">
        <v>60</v>
      </c>
    </row>
    <row r="74" spans="1:14" ht="19">
      <c r="A74">
        <v>73</v>
      </c>
      <c r="B74" s="1" t="s">
        <v>242</v>
      </c>
      <c r="C74" s="2" t="s">
        <v>267</v>
      </c>
      <c r="D74" t="s">
        <v>84</v>
      </c>
      <c r="E74" t="s">
        <v>391</v>
      </c>
      <c r="H74" t="s">
        <v>192</v>
      </c>
      <c r="I74" t="s">
        <v>2932</v>
      </c>
      <c r="J74" t="s">
        <v>192</v>
      </c>
      <c r="K74" t="s">
        <v>2374</v>
      </c>
      <c r="L74" t="str">
        <f t="shared" si="1"/>
        <v>segmented videos list</v>
      </c>
      <c r="M74" s="1"/>
      <c r="N74" s="1" t="s">
        <v>265</v>
      </c>
    </row>
    <row r="75" spans="1:14" ht="19" hidden="1">
      <c r="A75">
        <v>74</v>
      </c>
      <c r="B75" s="1" t="s">
        <v>40</v>
      </c>
      <c r="C75" s="2" t="s">
        <v>271</v>
      </c>
      <c r="D75" t="s">
        <v>1203</v>
      </c>
      <c r="E75" t="s">
        <v>391</v>
      </c>
      <c r="H75" t="s">
        <v>192</v>
      </c>
      <c r="I75" t="s">
        <v>2951</v>
      </c>
      <c r="J75" t="s">
        <v>192</v>
      </c>
      <c r="K75" t="s">
        <v>2394</v>
      </c>
      <c r="L75" t="str">
        <f t="shared" si="1"/>
        <v>to dignose</v>
      </c>
      <c r="M75" s="1"/>
      <c r="N75" s="1" t="s">
        <v>61</v>
      </c>
    </row>
    <row r="76" spans="1:14" ht="19" hidden="1">
      <c r="A76">
        <v>75</v>
      </c>
      <c r="B76" s="1" t="s">
        <v>243</v>
      </c>
      <c r="C76" s="2" t="s">
        <v>269</v>
      </c>
      <c r="D76" t="s">
        <v>84</v>
      </c>
      <c r="E76" t="s">
        <v>391</v>
      </c>
      <c r="H76" t="s">
        <v>1717</v>
      </c>
      <c r="I76" t="e">
        <v>#N/A</v>
      </c>
      <c r="J76" t="s">
        <v>1717</v>
      </c>
      <c r="K76" t="e">
        <v>#N/A</v>
      </c>
      <c r="L76" t="str">
        <f t="shared" si="1"/>
        <v>no</v>
      </c>
      <c r="M76" s="1"/>
      <c r="N76" s="1" t="s">
        <v>266</v>
      </c>
    </row>
    <row r="77" spans="1:14" ht="19" hidden="1">
      <c r="A77">
        <v>76</v>
      </c>
      <c r="B77" s="1" t="s">
        <v>41</v>
      </c>
      <c r="C77" s="2" t="s">
        <v>271</v>
      </c>
      <c r="D77" t="s">
        <v>84</v>
      </c>
      <c r="E77" t="s">
        <v>391</v>
      </c>
      <c r="H77" t="s">
        <v>1717</v>
      </c>
      <c r="I77" t="e">
        <v>#N/A</v>
      </c>
      <c r="J77" t="s">
        <v>1717</v>
      </c>
      <c r="K77" t="e">
        <v>#N/A</v>
      </c>
      <c r="L77" t="str">
        <f t="shared" si="1"/>
        <v>no</v>
      </c>
      <c r="M77" s="1"/>
      <c r="N77" s="1" t="s">
        <v>62</v>
      </c>
    </row>
    <row r="78" spans="1:14" ht="19" hidden="1">
      <c r="A78">
        <v>77</v>
      </c>
      <c r="B78" s="1" t="s">
        <v>244</v>
      </c>
      <c r="C78" s="2" t="s">
        <v>274</v>
      </c>
      <c r="D78" t="s">
        <v>84</v>
      </c>
      <c r="E78" t="s">
        <v>391</v>
      </c>
      <c r="H78" t="s">
        <v>1717</v>
      </c>
      <c r="I78" t="e">
        <v>#N/A</v>
      </c>
      <c r="J78" t="s">
        <v>1717</v>
      </c>
      <c r="K78" t="e">
        <v>#N/A</v>
      </c>
      <c r="L78" t="str">
        <f t="shared" si="1"/>
        <v>no</v>
      </c>
      <c r="M78" s="1"/>
      <c r="N78" s="1" t="s">
        <v>63</v>
      </c>
    </row>
    <row r="79" spans="1:14" ht="19" hidden="1">
      <c r="A79">
        <v>78</v>
      </c>
      <c r="B79" s="1" t="s">
        <v>245</v>
      </c>
      <c r="C79" s="2" t="s">
        <v>269</v>
      </c>
      <c r="D79" t="s">
        <v>84</v>
      </c>
      <c r="E79" t="s">
        <v>391</v>
      </c>
      <c r="H79" t="s">
        <v>1717</v>
      </c>
      <c r="I79" t="e">
        <v>#N/A</v>
      </c>
      <c r="J79" t="s">
        <v>1717</v>
      </c>
      <c r="K79" t="e">
        <v>#N/A</v>
      </c>
      <c r="L79" t="str">
        <f t="shared" si="1"/>
        <v>no</v>
      </c>
      <c r="M79" s="1"/>
      <c r="N79" s="1"/>
    </row>
    <row r="80" spans="1:14" ht="19" hidden="1">
      <c r="A80">
        <v>79</v>
      </c>
      <c r="B80" s="1" t="s">
        <v>42</v>
      </c>
      <c r="C80" s="2" t="s">
        <v>271</v>
      </c>
      <c r="D80" t="s">
        <v>87</v>
      </c>
      <c r="E80" t="s">
        <v>391</v>
      </c>
      <c r="H80" t="s">
        <v>1717</v>
      </c>
      <c r="I80" t="e">
        <v>#N/A</v>
      </c>
      <c r="J80" t="s">
        <v>1717</v>
      </c>
      <c r="K80" t="e">
        <v>#N/A</v>
      </c>
      <c r="L80" t="str">
        <f t="shared" si="1"/>
        <v>no</v>
      </c>
      <c r="M80" s="1"/>
      <c r="N80" s="1"/>
    </row>
    <row r="81" spans="1:12" ht="19" hidden="1">
      <c r="A81">
        <v>80</v>
      </c>
      <c r="B81" s="1" t="s">
        <v>43</v>
      </c>
      <c r="C81" s="2" t="s">
        <v>271</v>
      </c>
      <c r="D81" t="s">
        <v>87</v>
      </c>
      <c r="E81" t="s">
        <v>391</v>
      </c>
      <c r="H81" t="s">
        <v>1717</v>
      </c>
      <c r="I81" t="e">
        <v>#N/A</v>
      </c>
      <c r="J81" t="s">
        <v>1717</v>
      </c>
      <c r="K81" t="e">
        <v>#N/A</v>
      </c>
      <c r="L81" t="str">
        <f t="shared" si="1"/>
        <v>no</v>
      </c>
    </row>
    <row r="82" spans="1:12" ht="19" hidden="1">
      <c r="A82">
        <v>81</v>
      </c>
      <c r="B82" s="1" t="s">
        <v>246</v>
      </c>
      <c r="C82" s="2" t="s">
        <v>273</v>
      </c>
      <c r="D82" t="s">
        <v>84</v>
      </c>
      <c r="E82" t="s">
        <v>391</v>
      </c>
      <c r="H82" t="s">
        <v>1717</v>
      </c>
      <c r="I82" t="e">
        <v>#N/A</v>
      </c>
      <c r="J82" t="s">
        <v>1717</v>
      </c>
      <c r="K82" t="e">
        <v>#N/A</v>
      </c>
      <c r="L82" t="str">
        <f t="shared" si="1"/>
        <v>no</v>
      </c>
    </row>
    <row r="83" spans="1:12" ht="19" hidden="1">
      <c r="A83">
        <v>82</v>
      </c>
      <c r="B83" s="1" t="s">
        <v>247</v>
      </c>
      <c r="C83" s="2" t="s">
        <v>269</v>
      </c>
      <c r="D83" t="s">
        <v>84</v>
      </c>
      <c r="E83" t="s">
        <v>391</v>
      </c>
      <c r="H83" t="s">
        <v>1717</v>
      </c>
      <c r="I83" t="e">
        <v>#N/A</v>
      </c>
      <c r="J83" t="s">
        <v>1717</v>
      </c>
      <c r="K83" t="e">
        <v>#N/A</v>
      </c>
      <c r="L83" t="str">
        <f t="shared" si="1"/>
        <v>no</v>
      </c>
    </row>
    <row r="84" spans="1:12" ht="19" hidden="1">
      <c r="A84">
        <v>83</v>
      </c>
      <c r="B84" s="1" t="s">
        <v>248</v>
      </c>
      <c r="C84" s="2" t="s">
        <v>269</v>
      </c>
      <c r="D84" t="s">
        <v>84</v>
      </c>
      <c r="E84" t="s">
        <v>391</v>
      </c>
      <c r="H84" t="s">
        <v>1717</v>
      </c>
      <c r="I84" t="e">
        <v>#N/A</v>
      </c>
      <c r="J84" t="s">
        <v>1717</v>
      </c>
      <c r="K84" t="e">
        <v>#N/A</v>
      </c>
      <c r="L84" t="str">
        <f t="shared" si="1"/>
        <v>no</v>
      </c>
    </row>
    <row r="85" spans="1:12" ht="19" hidden="1">
      <c r="A85">
        <v>84</v>
      </c>
      <c r="B85" s="1" t="s">
        <v>44</v>
      </c>
      <c r="C85" s="2" t="s">
        <v>271</v>
      </c>
      <c r="D85" t="s">
        <v>87</v>
      </c>
      <c r="E85" t="s">
        <v>391</v>
      </c>
      <c r="H85" t="s">
        <v>1717</v>
      </c>
      <c r="I85" t="e">
        <v>#N/A</v>
      </c>
      <c r="J85" t="s">
        <v>1717</v>
      </c>
      <c r="K85" t="e">
        <v>#N/A</v>
      </c>
      <c r="L85" t="str">
        <f t="shared" si="1"/>
        <v>no</v>
      </c>
    </row>
    <row r="86" spans="1:12" ht="19" hidden="1">
      <c r="A86">
        <v>85</v>
      </c>
      <c r="B86" s="1" t="s">
        <v>249</v>
      </c>
      <c r="C86" s="2" t="s">
        <v>274</v>
      </c>
      <c r="D86" t="s">
        <v>84</v>
      </c>
      <c r="E86" t="s">
        <v>391</v>
      </c>
      <c r="H86" t="s">
        <v>1717</v>
      </c>
      <c r="I86" t="e">
        <v>#N/A</v>
      </c>
      <c r="J86" t="s">
        <v>1717</v>
      </c>
      <c r="K86" t="e">
        <v>#N/A</v>
      </c>
      <c r="L86" t="str">
        <f t="shared" si="1"/>
        <v>no</v>
      </c>
    </row>
    <row r="87" spans="1:12" ht="19" hidden="1">
      <c r="A87">
        <v>86</v>
      </c>
      <c r="B87" s="1" t="s">
        <v>45</v>
      </c>
      <c r="C87" s="2" t="s">
        <v>271</v>
      </c>
      <c r="D87" t="s">
        <v>84</v>
      </c>
      <c r="E87" t="s">
        <v>391</v>
      </c>
      <c r="H87" t="s">
        <v>1717</v>
      </c>
      <c r="I87" t="e">
        <v>#N/A</v>
      </c>
      <c r="J87" t="s">
        <v>1717</v>
      </c>
      <c r="K87" t="e">
        <v>#N/A</v>
      </c>
      <c r="L87" t="str">
        <f t="shared" si="1"/>
        <v>no</v>
      </c>
    </row>
    <row r="88" spans="1:12" ht="19" hidden="1">
      <c r="A88">
        <v>87</v>
      </c>
      <c r="B88" s="1" t="s">
        <v>250</v>
      </c>
      <c r="C88" s="2" t="s">
        <v>268</v>
      </c>
      <c r="D88" t="s">
        <v>84</v>
      </c>
      <c r="E88" t="s">
        <v>391</v>
      </c>
      <c r="H88" t="s">
        <v>1717</v>
      </c>
      <c r="I88" t="e">
        <v>#N/A</v>
      </c>
      <c r="J88" t="s">
        <v>1717</v>
      </c>
      <c r="K88" t="e">
        <v>#N/A</v>
      </c>
      <c r="L88" t="str">
        <f t="shared" si="1"/>
        <v>no</v>
      </c>
    </row>
    <row r="89" spans="1:12" ht="19" hidden="1">
      <c r="A89">
        <v>88</v>
      </c>
      <c r="B89" s="1" t="s">
        <v>46</v>
      </c>
      <c r="C89" s="2" t="s">
        <v>271</v>
      </c>
      <c r="D89" t="s">
        <v>84</v>
      </c>
      <c r="E89" t="s">
        <v>391</v>
      </c>
      <c r="H89" t="s">
        <v>1717</v>
      </c>
      <c r="I89" t="e">
        <v>#N/A</v>
      </c>
      <c r="J89" t="s">
        <v>1717</v>
      </c>
      <c r="K89" t="e">
        <v>#N/A</v>
      </c>
      <c r="L89" t="str">
        <f t="shared" si="1"/>
        <v>no</v>
      </c>
    </row>
    <row r="90" spans="1:12" ht="19" hidden="1">
      <c r="A90">
        <v>89</v>
      </c>
      <c r="B90" s="1" t="s">
        <v>47</v>
      </c>
      <c r="C90" s="2" t="s">
        <v>271</v>
      </c>
      <c r="D90" t="s">
        <v>84</v>
      </c>
      <c r="E90" t="s">
        <v>391</v>
      </c>
      <c r="H90" t="s">
        <v>1717</v>
      </c>
      <c r="I90" t="e">
        <v>#N/A</v>
      </c>
      <c r="J90" t="s">
        <v>1717</v>
      </c>
      <c r="K90" t="e">
        <v>#N/A</v>
      </c>
      <c r="L90" t="str">
        <f t="shared" si="1"/>
        <v>no</v>
      </c>
    </row>
    <row r="91" spans="1:12" ht="19" hidden="1">
      <c r="A91">
        <v>90</v>
      </c>
      <c r="B91" s="1" t="s">
        <v>48</v>
      </c>
      <c r="C91" s="2" t="s">
        <v>271</v>
      </c>
      <c r="D91" t="s">
        <v>84</v>
      </c>
      <c r="E91" t="s">
        <v>391</v>
      </c>
      <c r="H91" t="s">
        <v>1717</v>
      </c>
      <c r="I91" t="e">
        <v>#N/A</v>
      </c>
      <c r="J91" t="s">
        <v>1717</v>
      </c>
      <c r="K91" t="e">
        <v>#N/A</v>
      </c>
      <c r="L91" t="str">
        <f t="shared" si="1"/>
        <v>no</v>
      </c>
    </row>
    <row r="92" spans="1:12" ht="19" hidden="1">
      <c r="A92">
        <v>91</v>
      </c>
      <c r="B92" s="1" t="s">
        <v>49</v>
      </c>
      <c r="C92" s="2" t="s">
        <v>271</v>
      </c>
      <c r="D92" t="s">
        <v>84</v>
      </c>
      <c r="E92" t="s">
        <v>391</v>
      </c>
      <c r="H92" t="s">
        <v>1717</v>
      </c>
      <c r="I92" t="e">
        <v>#N/A</v>
      </c>
      <c r="J92" t="s">
        <v>1717</v>
      </c>
      <c r="K92" t="e">
        <v>#N/A</v>
      </c>
      <c r="L92" t="str">
        <f t="shared" si="1"/>
        <v>no</v>
      </c>
    </row>
    <row r="93" spans="1:12" ht="19" hidden="1">
      <c r="A93">
        <v>92</v>
      </c>
      <c r="B93" s="1" t="s">
        <v>50</v>
      </c>
      <c r="C93" s="2" t="s">
        <v>271</v>
      </c>
      <c r="D93" t="s">
        <v>84</v>
      </c>
      <c r="E93" t="s">
        <v>391</v>
      </c>
      <c r="H93" t="s">
        <v>1717</v>
      </c>
      <c r="I93" t="e">
        <v>#N/A</v>
      </c>
      <c r="J93" t="s">
        <v>1717</v>
      </c>
      <c r="K93" t="e">
        <v>#N/A</v>
      </c>
      <c r="L93" t="str">
        <f t="shared" si="1"/>
        <v>no</v>
      </c>
    </row>
    <row r="94" spans="1:12" ht="19" hidden="1">
      <c r="A94">
        <v>93</v>
      </c>
      <c r="B94" s="1" t="s">
        <v>51</v>
      </c>
      <c r="C94" s="2" t="s">
        <v>271</v>
      </c>
      <c r="D94" t="s">
        <v>84</v>
      </c>
      <c r="E94" t="s">
        <v>391</v>
      </c>
      <c r="H94" t="s">
        <v>1717</v>
      </c>
      <c r="I94" t="e">
        <v>#N/A</v>
      </c>
      <c r="J94" t="s">
        <v>1717</v>
      </c>
      <c r="K94" t="e">
        <v>#N/A</v>
      </c>
      <c r="L94" t="str">
        <f t="shared" si="1"/>
        <v>no</v>
      </c>
    </row>
    <row r="95" spans="1:12" ht="19" hidden="1">
      <c r="A95">
        <v>94</v>
      </c>
      <c r="B95" s="1" t="s">
        <v>52</v>
      </c>
      <c r="C95" s="2" t="s">
        <v>271</v>
      </c>
      <c r="D95" t="s">
        <v>84</v>
      </c>
      <c r="E95" t="s">
        <v>391</v>
      </c>
      <c r="H95" t="s">
        <v>1717</v>
      </c>
      <c r="I95" t="e">
        <v>#N/A</v>
      </c>
      <c r="J95" t="s">
        <v>1717</v>
      </c>
      <c r="K95" t="e">
        <v>#N/A</v>
      </c>
      <c r="L95" t="str">
        <f t="shared" si="1"/>
        <v>no</v>
      </c>
    </row>
    <row r="96" spans="1:12" ht="19" hidden="1">
      <c r="A96">
        <v>95</v>
      </c>
      <c r="B96" s="1" t="s">
        <v>53</v>
      </c>
      <c r="C96" s="2" t="s">
        <v>271</v>
      </c>
      <c r="D96" t="s">
        <v>84</v>
      </c>
      <c r="E96" t="s">
        <v>391</v>
      </c>
      <c r="H96" t="s">
        <v>1717</v>
      </c>
      <c r="I96" t="e">
        <v>#N/A</v>
      </c>
      <c r="J96" t="s">
        <v>1717</v>
      </c>
      <c r="K96" t="e">
        <v>#N/A</v>
      </c>
      <c r="L96" t="str">
        <f t="shared" si="1"/>
        <v>no</v>
      </c>
    </row>
    <row r="97" spans="1:12" ht="19">
      <c r="A97">
        <v>96</v>
      </c>
      <c r="B97" s="1" t="s">
        <v>251</v>
      </c>
      <c r="C97" s="2" t="s">
        <v>267</v>
      </c>
      <c r="D97" t="s">
        <v>84</v>
      </c>
      <c r="E97" t="s">
        <v>391</v>
      </c>
      <c r="H97" t="s">
        <v>192</v>
      </c>
      <c r="I97" t="s">
        <v>2978</v>
      </c>
      <c r="J97" t="s">
        <v>192</v>
      </c>
      <c r="K97" t="s">
        <v>2438</v>
      </c>
      <c r="L97" t="str">
        <f t="shared" si="1"/>
        <v>segmented videos list</v>
      </c>
    </row>
    <row r="98" spans="1:12" ht="19">
      <c r="A98">
        <v>97</v>
      </c>
      <c r="B98" s="1" t="s">
        <v>54</v>
      </c>
      <c r="C98" s="2" t="s">
        <v>271</v>
      </c>
      <c r="D98" t="s">
        <v>84</v>
      </c>
      <c r="E98" t="s">
        <v>391</v>
      </c>
      <c r="H98" t="s">
        <v>192</v>
      </c>
      <c r="I98" t="s">
        <v>2968</v>
      </c>
      <c r="J98" t="s">
        <v>192</v>
      </c>
      <c r="K98" t="s">
        <v>2411</v>
      </c>
      <c r="L98" t="str">
        <f t="shared" si="1"/>
        <v>segmented videos list</v>
      </c>
    </row>
    <row r="99" spans="1:12" ht="19" hidden="1">
      <c r="A99">
        <v>98</v>
      </c>
      <c r="B99" s="1" t="s">
        <v>55</v>
      </c>
      <c r="C99" s="2" t="s">
        <v>271</v>
      </c>
      <c r="D99" t="s">
        <v>1201</v>
      </c>
      <c r="E99" t="s">
        <v>391</v>
      </c>
      <c r="H99" t="s">
        <v>192</v>
      </c>
      <c r="I99" t="s">
        <v>2980</v>
      </c>
      <c r="J99" t="s">
        <v>192</v>
      </c>
      <c r="K99" t="s">
        <v>2421</v>
      </c>
      <c r="L99" t="str">
        <f t="shared" si="1"/>
        <v>to dignose</v>
      </c>
    </row>
    <row r="100" spans="1:12" ht="19">
      <c r="A100">
        <v>99</v>
      </c>
      <c r="B100" s="1" t="s">
        <v>252</v>
      </c>
      <c r="C100" s="2" t="s">
        <v>274</v>
      </c>
      <c r="D100" t="s">
        <v>84</v>
      </c>
      <c r="E100" t="s">
        <v>391</v>
      </c>
      <c r="H100" t="s">
        <v>192</v>
      </c>
      <c r="I100" t="s">
        <v>2947</v>
      </c>
      <c r="J100" t="s">
        <v>192</v>
      </c>
      <c r="K100" t="s">
        <v>2389</v>
      </c>
      <c r="L100" t="str">
        <f t="shared" si="1"/>
        <v>segmented videos list</v>
      </c>
    </row>
    <row r="101" spans="1:12" ht="19">
      <c r="A101">
        <v>100</v>
      </c>
      <c r="B101" s="1" t="s">
        <v>56</v>
      </c>
      <c r="C101" s="2" t="s">
        <v>271</v>
      </c>
      <c r="D101" t="s">
        <v>84</v>
      </c>
      <c r="E101" t="s">
        <v>391</v>
      </c>
      <c r="H101" t="s">
        <v>192</v>
      </c>
      <c r="I101" t="s">
        <v>2998</v>
      </c>
      <c r="J101" t="s">
        <v>192</v>
      </c>
      <c r="K101" t="s">
        <v>2402</v>
      </c>
      <c r="L101" t="str">
        <f t="shared" si="1"/>
        <v>segmented videos list</v>
      </c>
    </row>
    <row r="102" spans="1:12" ht="19">
      <c r="A102">
        <v>101</v>
      </c>
      <c r="B102" s="1" t="s">
        <v>253</v>
      </c>
      <c r="C102" s="2" t="s">
        <v>267</v>
      </c>
      <c r="D102" t="s">
        <v>84</v>
      </c>
      <c r="E102" t="s">
        <v>391</v>
      </c>
      <c r="H102" t="s">
        <v>192</v>
      </c>
      <c r="I102" t="s">
        <v>2931</v>
      </c>
      <c r="J102" t="s">
        <v>192</v>
      </c>
      <c r="K102" t="s">
        <v>2437</v>
      </c>
      <c r="L102" t="str">
        <f t="shared" si="1"/>
        <v>segmented videos list</v>
      </c>
    </row>
    <row r="103" spans="1:12" ht="19">
      <c r="A103">
        <v>102</v>
      </c>
      <c r="B103" s="1" t="s">
        <v>57</v>
      </c>
      <c r="C103" s="2" t="s">
        <v>271</v>
      </c>
      <c r="D103" t="s">
        <v>84</v>
      </c>
      <c r="E103" t="s">
        <v>391</v>
      </c>
      <c r="H103" t="s">
        <v>192</v>
      </c>
      <c r="I103" t="s">
        <v>2937</v>
      </c>
      <c r="J103" t="s">
        <v>192</v>
      </c>
      <c r="K103" t="s">
        <v>2379</v>
      </c>
      <c r="L103" t="str">
        <f t="shared" si="1"/>
        <v>segmented videos list</v>
      </c>
    </row>
    <row r="104" spans="1:12" ht="19" hidden="1">
      <c r="A104">
        <v>103</v>
      </c>
      <c r="B104" s="1" t="s">
        <v>58</v>
      </c>
      <c r="C104" s="2" t="s">
        <v>271</v>
      </c>
      <c r="D104" t="s">
        <v>1203</v>
      </c>
      <c r="E104" t="s">
        <v>391</v>
      </c>
      <c r="H104" t="s">
        <v>201</v>
      </c>
      <c r="I104" t="s">
        <v>2964</v>
      </c>
      <c r="J104" t="s">
        <v>201</v>
      </c>
      <c r="K104" t="s">
        <v>2407</v>
      </c>
      <c r="L104" t="str">
        <f t="shared" si="1"/>
        <v>to dignose</v>
      </c>
    </row>
    <row r="105" spans="1:12" ht="19">
      <c r="A105">
        <v>104</v>
      </c>
      <c r="B105" s="1" t="s">
        <v>254</v>
      </c>
      <c r="C105" s="2" t="s">
        <v>269</v>
      </c>
      <c r="D105" t="s">
        <v>84</v>
      </c>
      <c r="E105" t="s">
        <v>391</v>
      </c>
      <c r="H105" t="s">
        <v>192</v>
      </c>
      <c r="I105" t="s">
        <v>2999</v>
      </c>
      <c r="J105" t="s">
        <v>192</v>
      </c>
      <c r="K105" t="s">
        <v>2383</v>
      </c>
      <c r="L105" t="str">
        <f t="shared" si="1"/>
        <v>segmented videos list</v>
      </c>
    </row>
    <row r="106" spans="1:12" ht="19" hidden="1">
      <c r="A106">
        <v>105</v>
      </c>
      <c r="B106" s="1" t="s">
        <v>255</v>
      </c>
      <c r="C106" s="2" t="s">
        <v>269</v>
      </c>
      <c r="D106" t="s">
        <v>1201</v>
      </c>
      <c r="E106" t="s">
        <v>391</v>
      </c>
      <c r="H106" t="s">
        <v>192</v>
      </c>
      <c r="I106" t="s">
        <v>2992</v>
      </c>
      <c r="J106" t="s">
        <v>192</v>
      </c>
      <c r="K106" t="s">
        <v>2431</v>
      </c>
      <c r="L106" t="str">
        <f t="shared" si="1"/>
        <v>to dignose</v>
      </c>
    </row>
    <row r="107" spans="1:12" ht="19" hidden="1">
      <c r="A107">
        <v>106</v>
      </c>
      <c r="B107" s="1" t="s">
        <v>256</v>
      </c>
      <c r="C107" s="2" t="s">
        <v>269</v>
      </c>
      <c r="D107" t="s">
        <v>84</v>
      </c>
      <c r="E107" t="s">
        <v>391</v>
      </c>
      <c r="H107" t="s">
        <v>1717</v>
      </c>
      <c r="I107" t="e">
        <v>#N/A</v>
      </c>
      <c r="J107" t="s">
        <v>1717</v>
      </c>
      <c r="K107" t="e">
        <v>#N/A</v>
      </c>
      <c r="L107" t="str">
        <f t="shared" si="1"/>
        <v>no</v>
      </c>
    </row>
    <row r="108" spans="1:12" ht="19">
      <c r="A108">
        <v>107</v>
      </c>
      <c r="B108" s="1" t="s">
        <v>257</v>
      </c>
      <c r="C108" s="2" t="s">
        <v>274</v>
      </c>
      <c r="D108" t="s">
        <v>84</v>
      </c>
      <c r="E108" t="s">
        <v>391</v>
      </c>
      <c r="H108" t="s">
        <v>192</v>
      </c>
      <c r="I108" t="s">
        <v>2966</v>
      </c>
      <c r="J108" t="s">
        <v>192</v>
      </c>
      <c r="K108" t="s">
        <v>2409</v>
      </c>
      <c r="L108" t="str">
        <f t="shared" si="1"/>
        <v>segmented videos list</v>
      </c>
    </row>
    <row r="109" spans="1:12" ht="19" hidden="1">
      <c r="A109">
        <v>108</v>
      </c>
      <c r="B109" s="1" t="s">
        <v>258</v>
      </c>
      <c r="C109" s="2" t="s">
        <v>267</v>
      </c>
      <c r="D109" t="s">
        <v>84</v>
      </c>
      <c r="E109" t="s">
        <v>391</v>
      </c>
      <c r="H109" t="s">
        <v>1717</v>
      </c>
      <c r="I109" t="e">
        <v>#N/A</v>
      </c>
      <c r="J109" t="s">
        <v>1717</v>
      </c>
      <c r="K109" t="e">
        <v>#N/A</v>
      </c>
      <c r="L109" t="str">
        <f t="shared" si="1"/>
        <v>no</v>
      </c>
    </row>
    <row r="110" spans="1:12" ht="19" hidden="1">
      <c r="A110">
        <v>109</v>
      </c>
      <c r="B110" s="1" t="s">
        <v>259</v>
      </c>
      <c r="C110" s="2" t="s">
        <v>274</v>
      </c>
      <c r="D110" t="s">
        <v>84</v>
      </c>
      <c r="E110" t="s">
        <v>391</v>
      </c>
      <c r="H110" t="s">
        <v>1717</v>
      </c>
      <c r="I110" t="e">
        <v>#N/A</v>
      </c>
      <c r="J110" t="s">
        <v>1717</v>
      </c>
      <c r="K110" t="e">
        <v>#N/A</v>
      </c>
      <c r="L110" t="str">
        <f t="shared" si="1"/>
        <v>no</v>
      </c>
    </row>
    <row r="111" spans="1:12" ht="19" hidden="1">
      <c r="A111">
        <v>110</v>
      </c>
      <c r="B111" s="1" t="s">
        <v>260</v>
      </c>
      <c r="C111" s="2" t="s">
        <v>269</v>
      </c>
      <c r="D111" t="s">
        <v>84</v>
      </c>
      <c r="E111" t="s">
        <v>391</v>
      </c>
      <c r="H111" t="s">
        <v>1717</v>
      </c>
      <c r="I111" t="e">
        <v>#N/A</v>
      </c>
      <c r="J111" t="s">
        <v>1717</v>
      </c>
      <c r="K111" t="e">
        <v>#N/A</v>
      </c>
      <c r="L111" t="str">
        <f t="shared" si="1"/>
        <v>no</v>
      </c>
    </row>
    <row r="112" spans="1:12" ht="19" hidden="1">
      <c r="A112">
        <v>111</v>
      </c>
      <c r="B112" s="1" t="s">
        <v>261</v>
      </c>
      <c r="C112" s="2" t="s">
        <v>274</v>
      </c>
      <c r="D112" t="s">
        <v>84</v>
      </c>
      <c r="E112" t="s">
        <v>391</v>
      </c>
      <c r="H112" t="s">
        <v>1717</v>
      </c>
      <c r="I112" t="e">
        <v>#N/A</v>
      </c>
      <c r="J112" t="s">
        <v>1717</v>
      </c>
      <c r="K112" t="e">
        <v>#N/A</v>
      </c>
      <c r="L112" t="str">
        <f t="shared" si="1"/>
        <v>no</v>
      </c>
    </row>
    <row r="113" spans="1:12" ht="19" hidden="1">
      <c r="A113">
        <v>112</v>
      </c>
      <c r="B113" s="1" t="s">
        <v>262</v>
      </c>
      <c r="C113" s="2" t="s">
        <v>269</v>
      </c>
      <c r="D113" t="s">
        <v>84</v>
      </c>
      <c r="E113" t="s">
        <v>391</v>
      </c>
      <c r="H113" t="s">
        <v>1717</v>
      </c>
      <c r="I113" t="e">
        <v>#N/A</v>
      </c>
      <c r="J113" t="s">
        <v>1717</v>
      </c>
      <c r="K113" t="e">
        <v>#N/A</v>
      </c>
      <c r="L113" t="str">
        <f t="shared" si="1"/>
        <v>no</v>
      </c>
    </row>
    <row r="114" spans="1:12" ht="19" hidden="1">
      <c r="A114">
        <v>113</v>
      </c>
      <c r="B114" s="1" t="s">
        <v>263</v>
      </c>
      <c r="C114" s="2" t="s">
        <v>269</v>
      </c>
      <c r="D114" t="s">
        <v>84</v>
      </c>
      <c r="E114" t="s">
        <v>391</v>
      </c>
      <c r="H114" t="s">
        <v>1717</v>
      </c>
      <c r="I114" t="e">
        <v>#N/A</v>
      </c>
      <c r="J114" t="s">
        <v>1717</v>
      </c>
      <c r="K114" t="e">
        <v>#N/A</v>
      </c>
      <c r="L114" t="str">
        <f t="shared" si="1"/>
        <v>no</v>
      </c>
    </row>
    <row r="115" spans="1:12" ht="19">
      <c r="A115">
        <v>114</v>
      </c>
      <c r="B115" s="1" t="s">
        <v>264</v>
      </c>
      <c r="C115" s="2" t="s">
        <v>267</v>
      </c>
      <c r="D115" t="s">
        <v>85</v>
      </c>
      <c r="E115" t="s">
        <v>391</v>
      </c>
      <c r="H115" t="s">
        <v>192</v>
      </c>
      <c r="I115" t="s">
        <v>3000</v>
      </c>
      <c r="J115" t="s">
        <v>192</v>
      </c>
      <c r="K115" t="s">
        <v>2393</v>
      </c>
      <c r="L115" t="str">
        <f t="shared" si="1"/>
        <v>segmented videos list</v>
      </c>
    </row>
    <row r="116" spans="1:12" ht="19" hidden="1">
      <c r="A116">
        <v>115</v>
      </c>
      <c r="B116" s="1" t="s">
        <v>59</v>
      </c>
      <c r="C116" s="2" t="s">
        <v>271</v>
      </c>
      <c r="D116" t="s">
        <v>1204</v>
      </c>
      <c r="E116" t="s">
        <v>391</v>
      </c>
      <c r="H116" t="s">
        <v>192</v>
      </c>
      <c r="I116" t="s">
        <v>2971</v>
      </c>
      <c r="J116" t="s">
        <v>201</v>
      </c>
      <c r="K116" t="s">
        <v>2414</v>
      </c>
      <c r="L116" t="str">
        <f t="shared" si="1"/>
        <v>to dignose</v>
      </c>
    </row>
    <row r="117" spans="1:12" ht="19">
      <c r="A117">
        <v>116</v>
      </c>
      <c r="B117" s="1" t="s">
        <v>60</v>
      </c>
      <c r="C117" s="2" t="s">
        <v>271</v>
      </c>
      <c r="D117" t="s">
        <v>84</v>
      </c>
      <c r="E117" t="s">
        <v>391</v>
      </c>
      <c r="H117" t="s">
        <v>192</v>
      </c>
      <c r="I117" t="s">
        <v>2934</v>
      </c>
      <c r="J117" t="s">
        <v>192</v>
      </c>
      <c r="K117" t="s">
        <v>2376</v>
      </c>
      <c r="L117" t="str">
        <f t="shared" si="1"/>
        <v>segmented videos list</v>
      </c>
    </row>
    <row r="118" spans="1:12" ht="19">
      <c r="A118">
        <v>117</v>
      </c>
      <c r="B118" s="1" t="s">
        <v>265</v>
      </c>
      <c r="C118" s="2" t="s">
        <v>267</v>
      </c>
      <c r="D118" t="s">
        <v>84</v>
      </c>
      <c r="E118" t="s">
        <v>391</v>
      </c>
      <c r="H118" t="s">
        <v>192</v>
      </c>
      <c r="I118" t="s">
        <v>2933</v>
      </c>
      <c r="J118" t="s">
        <v>192</v>
      </c>
      <c r="K118" t="s">
        <v>2375</v>
      </c>
      <c r="L118" t="str">
        <f t="shared" si="1"/>
        <v>segmented videos list</v>
      </c>
    </row>
    <row r="119" spans="1:12" ht="19" hidden="1">
      <c r="A119">
        <v>118</v>
      </c>
      <c r="B119" s="1" t="s">
        <v>61</v>
      </c>
      <c r="C119" s="2" t="s">
        <v>271</v>
      </c>
      <c r="D119" t="s">
        <v>1203</v>
      </c>
      <c r="E119" t="s">
        <v>391</v>
      </c>
      <c r="H119" t="s">
        <v>201</v>
      </c>
      <c r="I119" t="s">
        <v>2946</v>
      </c>
      <c r="J119" t="s">
        <v>201</v>
      </c>
      <c r="K119" t="s">
        <v>2083</v>
      </c>
      <c r="L119" t="str">
        <f t="shared" si="1"/>
        <v>to dignose</v>
      </c>
    </row>
    <row r="120" spans="1:12" ht="19">
      <c r="A120">
        <v>119</v>
      </c>
      <c r="B120" s="1" t="s">
        <v>266</v>
      </c>
      <c r="C120" s="2" t="s">
        <v>269</v>
      </c>
      <c r="D120" t="s">
        <v>84</v>
      </c>
      <c r="E120" t="s">
        <v>391</v>
      </c>
      <c r="H120" t="s">
        <v>192</v>
      </c>
      <c r="I120" t="s">
        <v>2990</v>
      </c>
      <c r="J120" t="s">
        <v>192</v>
      </c>
      <c r="K120" t="s">
        <v>2430</v>
      </c>
      <c r="L120" t="str">
        <f t="shared" si="1"/>
        <v>segmented videos list</v>
      </c>
    </row>
    <row r="121" spans="1:12" ht="19">
      <c r="A121">
        <v>120</v>
      </c>
      <c r="B121" s="1" t="s">
        <v>62</v>
      </c>
      <c r="C121" s="2" t="s">
        <v>271</v>
      </c>
      <c r="D121" t="s">
        <v>84</v>
      </c>
      <c r="E121" t="s">
        <v>391</v>
      </c>
      <c r="H121" t="s">
        <v>192</v>
      </c>
      <c r="I121" t="s">
        <v>2988</v>
      </c>
      <c r="J121" t="s">
        <v>192</v>
      </c>
      <c r="K121" t="s">
        <v>2428</v>
      </c>
      <c r="L121" t="str">
        <f t="shared" si="1"/>
        <v>segmented videos list</v>
      </c>
    </row>
    <row r="122" spans="1:12" ht="19">
      <c r="A122">
        <v>121</v>
      </c>
      <c r="B122" s="1" t="s">
        <v>63</v>
      </c>
      <c r="C122" s="2" t="s">
        <v>271</v>
      </c>
      <c r="D122" t="s">
        <v>84</v>
      </c>
      <c r="E122" t="s">
        <v>391</v>
      </c>
      <c r="H122" t="s">
        <v>192</v>
      </c>
      <c r="I122" t="s">
        <v>2991</v>
      </c>
      <c r="J122" t="s">
        <v>192</v>
      </c>
      <c r="K122" t="s">
        <v>2440</v>
      </c>
      <c r="L122" t="str">
        <f t="shared" si="1"/>
        <v>segmented videos list</v>
      </c>
    </row>
    <row r="123" spans="1:12" ht="19" hidden="1">
      <c r="A123">
        <v>122</v>
      </c>
      <c r="B123" s="1" t="s">
        <v>64</v>
      </c>
      <c r="C123" s="2" t="s">
        <v>271</v>
      </c>
      <c r="D123" t="s">
        <v>84</v>
      </c>
      <c r="E123" t="s">
        <v>391</v>
      </c>
      <c r="H123" t="s">
        <v>1717</v>
      </c>
      <c r="I123" t="e">
        <v>#N/A</v>
      </c>
      <c r="J123" t="s">
        <v>1717</v>
      </c>
      <c r="K123" t="e">
        <v>#N/A</v>
      </c>
      <c r="L123" t="str">
        <f t="shared" si="1"/>
        <v>no</v>
      </c>
    </row>
    <row r="124" spans="1:12" ht="19" hidden="1">
      <c r="A124">
        <v>123</v>
      </c>
      <c r="B124" s="1" t="s">
        <v>65</v>
      </c>
      <c r="C124" s="2" t="s">
        <v>271</v>
      </c>
      <c r="D124" t="s">
        <v>84</v>
      </c>
      <c r="E124" t="s">
        <v>391</v>
      </c>
      <c r="H124" t="s">
        <v>1717</v>
      </c>
      <c r="I124" t="e">
        <v>#N/A</v>
      </c>
      <c r="J124" t="s">
        <v>1717</v>
      </c>
      <c r="K124" t="e">
        <v>#N/A</v>
      </c>
      <c r="L124" t="str">
        <f t="shared" si="1"/>
        <v>no</v>
      </c>
    </row>
    <row r="125" spans="1:12" ht="19" hidden="1">
      <c r="A125">
        <v>124</v>
      </c>
      <c r="B125" s="1" t="s">
        <v>66</v>
      </c>
      <c r="C125" s="2" t="s">
        <v>271</v>
      </c>
      <c r="D125" t="s">
        <v>84</v>
      </c>
      <c r="E125" t="s">
        <v>391</v>
      </c>
      <c r="H125" t="s">
        <v>1717</v>
      </c>
      <c r="I125" t="e">
        <v>#N/A</v>
      </c>
      <c r="J125" t="s">
        <v>1717</v>
      </c>
      <c r="K125" t="e">
        <v>#N/A</v>
      </c>
      <c r="L125" t="str">
        <f t="shared" si="1"/>
        <v>no</v>
      </c>
    </row>
    <row r="126" spans="1:12" ht="19" hidden="1">
      <c r="A126">
        <v>125</v>
      </c>
      <c r="B126" s="1" t="s">
        <v>67</v>
      </c>
      <c r="C126" s="2" t="s">
        <v>271</v>
      </c>
      <c r="D126" t="s">
        <v>84</v>
      </c>
      <c r="E126" t="s">
        <v>391</v>
      </c>
      <c r="H126" t="s">
        <v>1717</v>
      </c>
      <c r="I126" t="e">
        <v>#N/A</v>
      </c>
      <c r="J126" t="s">
        <v>1717</v>
      </c>
      <c r="K126" t="e">
        <v>#N/A</v>
      </c>
      <c r="L126" t="str">
        <f t="shared" si="1"/>
        <v>no</v>
      </c>
    </row>
    <row r="127" spans="1:12" ht="19" hidden="1">
      <c r="A127">
        <v>126</v>
      </c>
      <c r="B127" s="1" t="s">
        <v>68</v>
      </c>
      <c r="C127" s="2" t="s">
        <v>271</v>
      </c>
      <c r="D127" t="s">
        <v>84</v>
      </c>
      <c r="E127" t="s">
        <v>391</v>
      </c>
      <c r="H127" t="s">
        <v>1717</v>
      </c>
      <c r="I127" t="e">
        <v>#N/A</v>
      </c>
      <c r="J127" t="s">
        <v>1717</v>
      </c>
      <c r="K127" t="e">
        <v>#N/A</v>
      </c>
      <c r="L127" t="str">
        <f t="shared" si="1"/>
        <v>no</v>
      </c>
    </row>
    <row r="128" spans="1:12" ht="19" hidden="1">
      <c r="A128">
        <v>127</v>
      </c>
      <c r="B128" s="1" t="s">
        <v>69</v>
      </c>
      <c r="C128" s="2" t="s">
        <v>271</v>
      </c>
      <c r="D128" t="s">
        <v>84</v>
      </c>
      <c r="E128" t="s">
        <v>391</v>
      </c>
      <c r="H128" t="s">
        <v>1717</v>
      </c>
      <c r="I128" t="e">
        <v>#N/A</v>
      </c>
      <c r="J128" t="s">
        <v>1717</v>
      </c>
      <c r="K128" t="e">
        <v>#N/A</v>
      </c>
      <c r="L128" t="str">
        <f t="shared" si="1"/>
        <v>no</v>
      </c>
    </row>
    <row r="129" spans="1:12" ht="19" hidden="1">
      <c r="A129">
        <v>128</v>
      </c>
      <c r="B129" s="1" t="s">
        <v>70</v>
      </c>
      <c r="C129" s="2" t="s">
        <v>271</v>
      </c>
      <c r="D129" t="s">
        <v>84</v>
      </c>
      <c r="E129" t="s">
        <v>391</v>
      </c>
      <c r="H129" t="s">
        <v>1717</v>
      </c>
      <c r="I129" t="e">
        <v>#N/A</v>
      </c>
      <c r="J129" t="s">
        <v>1717</v>
      </c>
      <c r="K129" t="e">
        <v>#N/A</v>
      </c>
      <c r="L129" t="str">
        <f t="shared" si="1"/>
        <v>no</v>
      </c>
    </row>
    <row r="130" spans="1:12" ht="19" hidden="1">
      <c r="A130">
        <v>129</v>
      </c>
      <c r="B130" s="1" t="s">
        <v>71</v>
      </c>
      <c r="C130" s="2" t="s">
        <v>271</v>
      </c>
      <c r="D130" t="s">
        <v>84</v>
      </c>
      <c r="E130" t="s">
        <v>391</v>
      </c>
      <c r="H130" t="s">
        <v>1717</v>
      </c>
      <c r="I130" t="e">
        <v>#N/A</v>
      </c>
      <c r="J130" t="s">
        <v>1717</v>
      </c>
      <c r="K130" t="e">
        <v>#N/A</v>
      </c>
      <c r="L130" t="str">
        <f t="shared" ref="L130:L142" si="2">IF(COUNTIF(M:M, B130)&gt;0,$M$1,IF(COUNTIF(N:N, B130)&gt;0,$N$1,"no"))</f>
        <v>no</v>
      </c>
    </row>
    <row r="131" spans="1:12" ht="19" hidden="1">
      <c r="A131">
        <v>130</v>
      </c>
      <c r="B131" s="1" t="s">
        <v>72</v>
      </c>
      <c r="C131" s="2" t="s">
        <v>271</v>
      </c>
      <c r="D131" t="s">
        <v>84</v>
      </c>
      <c r="E131" t="s">
        <v>391</v>
      </c>
      <c r="H131" t="s">
        <v>1717</v>
      </c>
      <c r="I131" t="e">
        <v>#N/A</v>
      </c>
      <c r="J131" t="s">
        <v>1717</v>
      </c>
      <c r="K131" t="e">
        <v>#N/A</v>
      </c>
      <c r="L131" t="str">
        <f t="shared" si="2"/>
        <v>no</v>
      </c>
    </row>
    <row r="132" spans="1:12" ht="19" hidden="1">
      <c r="A132">
        <v>131</v>
      </c>
      <c r="B132" s="1" t="s">
        <v>73</v>
      </c>
      <c r="C132" s="2" t="s">
        <v>271</v>
      </c>
      <c r="D132" t="s">
        <v>84</v>
      </c>
      <c r="E132" t="s">
        <v>391</v>
      </c>
      <c r="H132" t="s">
        <v>1717</v>
      </c>
      <c r="I132" t="e">
        <v>#N/A</v>
      </c>
      <c r="J132" t="s">
        <v>1717</v>
      </c>
      <c r="K132" t="e">
        <v>#N/A</v>
      </c>
      <c r="L132" t="str">
        <f t="shared" si="2"/>
        <v>no</v>
      </c>
    </row>
    <row r="133" spans="1:12" ht="19" hidden="1">
      <c r="A133">
        <v>132</v>
      </c>
      <c r="B133" s="1" t="s">
        <v>74</v>
      </c>
      <c r="C133" s="2" t="s">
        <v>271</v>
      </c>
      <c r="D133" t="s">
        <v>84</v>
      </c>
      <c r="E133" t="s">
        <v>391</v>
      </c>
      <c r="H133" t="s">
        <v>1717</v>
      </c>
      <c r="I133" t="e">
        <v>#N/A</v>
      </c>
      <c r="J133" t="s">
        <v>1717</v>
      </c>
      <c r="K133" t="e">
        <v>#N/A</v>
      </c>
      <c r="L133" t="str">
        <f t="shared" si="2"/>
        <v>no</v>
      </c>
    </row>
    <row r="134" spans="1:12" ht="19" hidden="1">
      <c r="A134">
        <v>133</v>
      </c>
      <c r="B134" s="1" t="s">
        <v>75</v>
      </c>
      <c r="C134" s="2" t="s">
        <v>271</v>
      </c>
      <c r="D134" t="s">
        <v>84</v>
      </c>
      <c r="E134" t="s">
        <v>391</v>
      </c>
      <c r="H134" t="s">
        <v>1717</v>
      </c>
      <c r="I134" t="e">
        <v>#N/A</v>
      </c>
      <c r="J134" t="s">
        <v>1717</v>
      </c>
      <c r="K134" t="e">
        <v>#N/A</v>
      </c>
      <c r="L134" t="str">
        <f t="shared" si="2"/>
        <v>no</v>
      </c>
    </row>
    <row r="135" spans="1:12" ht="19" hidden="1">
      <c r="A135">
        <v>134</v>
      </c>
      <c r="B135" s="1" t="s">
        <v>76</v>
      </c>
      <c r="C135" s="2" t="s">
        <v>271</v>
      </c>
      <c r="D135" t="s">
        <v>84</v>
      </c>
      <c r="E135" t="s">
        <v>391</v>
      </c>
      <c r="H135" t="s">
        <v>1717</v>
      </c>
      <c r="I135" t="e">
        <v>#N/A</v>
      </c>
      <c r="J135" t="s">
        <v>1717</v>
      </c>
      <c r="K135" t="e">
        <v>#N/A</v>
      </c>
      <c r="L135" t="str">
        <f t="shared" si="2"/>
        <v>no</v>
      </c>
    </row>
    <row r="136" spans="1:12" ht="19" hidden="1">
      <c r="A136">
        <v>135</v>
      </c>
      <c r="B136" s="1" t="s">
        <v>77</v>
      </c>
      <c r="C136" s="2" t="s">
        <v>271</v>
      </c>
      <c r="D136" t="s">
        <v>84</v>
      </c>
      <c r="E136" t="s">
        <v>391</v>
      </c>
      <c r="H136" t="s">
        <v>1717</v>
      </c>
      <c r="I136" t="e">
        <v>#N/A</v>
      </c>
      <c r="J136" t="s">
        <v>1717</v>
      </c>
      <c r="K136" t="e">
        <v>#N/A</v>
      </c>
      <c r="L136" t="str">
        <f t="shared" si="2"/>
        <v>no</v>
      </c>
    </row>
    <row r="137" spans="1:12" ht="19" hidden="1">
      <c r="A137">
        <v>136</v>
      </c>
      <c r="B137" s="1" t="s">
        <v>78</v>
      </c>
      <c r="C137" s="2" t="s">
        <v>271</v>
      </c>
      <c r="D137" t="s">
        <v>84</v>
      </c>
      <c r="E137" t="s">
        <v>391</v>
      </c>
      <c r="H137" t="s">
        <v>1717</v>
      </c>
      <c r="I137" t="e">
        <v>#N/A</v>
      </c>
      <c r="J137" t="s">
        <v>1717</v>
      </c>
      <c r="K137" t="e">
        <v>#N/A</v>
      </c>
      <c r="L137" t="str">
        <f t="shared" si="2"/>
        <v>no</v>
      </c>
    </row>
    <row r="138" spans="1:12" ht="19" hidden="1">
      <c r="A138">
        <v>137</v>
      </c>
      <c r="B138" s="1" t="s">
        <v>79</v>
      </c>
      <c r="C138" s="2" t="s">
        <v>271</v>
      </c>
      <c r="D138" t="s">
        <v>84</v>
      </c>
      <c r="E138" t="s">
        <v>391</v>
      </c>
      <c r="H138" t="s">
        <v>1717</v>
      </c>
      <c r="I138" t="e">
        <v>#N/A</v>
      </c>
      <c r="J138" t="s">
        <v>1717</v>
      </c>
      <c r="K138" t="e">
        <v>#N/A</v>
      </c>
      <c r="L138" t="str">
        <f t="shared" si="2"/>
        <v>no</v>
      </c>
    </row>
    <row r="139" spans="1:12" ht="19" hidden="1">
      <c r="A139">
        <v>138</v>
      </c>
      <c r="B139" s="1" t="s">
        <v>80</v>
      </c>
      <c r="C139" s="2" t="s">
        <v>271</v>
      </c>
      <c r="D139" t="s">
        <v>84</v>
      </c>
      <c r="E139" t="s">
        <v>391</v>
      </c>
      <c r="H139" t="s">
        <v>1717</v>
      </c>
      <c r="I139" t="e">
        <v>#N/A</v>
      </c>
      <c r="J139" t="s">
        <v>1717</v>
      </c>
      <c r="K139" t="e">
        <v>#N/A</v>
      </c>
      <c r="L139" t="str">
        <f t="shared" si="2"/>
        <v>no</v>
      </c>
    </row>
    <row r="140" spans="1:12" ht="19" hidden="1">
      <c r="A140">
        <v>139</v>
      </c>
      <c r="B140" s="1" t="s">
        <v>81</v>
      </c>
      <c r="C140" s="2" t="s">
        <v>271</v>
      </c>
      <c r="D140" t="s">
        <v>84</v>
      </c>
      <c r="E140" t="s">
        <v>391</v>
      </c>
      <c r="H140" t="s">
        <v>1717</v>
      </c>
      <c r="I140" t="e">
        <v>#N/A</v>
      </c>
      <c r="J140" t="s">
        <v>1717</v>
      </c>
      <c r="K140" t="e">
        <v>#N/A</v>
      </c>
      <c r="L140" t="str">
        <f t="shared" si="2"/>
        <v>no</v>
      </c>
    </row>
    <row r="141" spans="1:12" ht="19" hidden="1">
      <c r="A141">
        <v>140</v>
      </c>
      <c r="B141" s="1" t="s">
        <v>82</v>
      </c>
      <c r="C141" s="2" t="s">
        <v>271</v>
      </c>
      <c r="D141" t="s">
        <v>84</v>
      </c>
      <c r="E141" t="s">
        <v>391</v>
      </c>
      <c r="H141" t="s">
        <v>1717</v>
      </c>
      <c r="I141" t="e">
        <v>#N/A</v>
      </c>
      <c r="J141" t="s">
        <v>1717</v>
      </c>
      <c r="K141" t="e">
        <v>#N/A</v>
      </c>
      <c r="L141" t="str">
        <f t="shared" si="2"/>
        <v>no</v>
      </c>
    </row>
    <row r="142" spans="1:12" ht="19" hidden="1">
      <c r="A142">
        <v>141</v>
      </c>
      <c r="B142" s="1" t="s">
        <v>83</v>
      </c>
      <c r="C142" s="2" t="s">
        <v>271</v>
      </c>
      <c r="D142" t="s">
        <v>84</v>
      </c>
      <c r="E142" t="s">
        <v>391</v>
      </c>
      <c r="H142" t="s">
        <v>1717</v>
      </c>
      <c r="I142" t="e">
        <v>#N/A</v>
      </c>
      <c r="J142" t="s">
        <v>1717</v>
      </c>
      <c r="K142" t="e">
        <v>#N/A</v>
      </c>
      <c r="L142" t="str">
        <f t="shared" si="2"/>
        <v>no</v>
      </c>
    </row>
    <row r="143" spans="1:12" ht="19" hidden="1">
      <c r="B143" s="1"/>
    </row>
    <row r="144" spans="1:12" ht="19" hidden="1">
      <c r="B144" s="1"/>
    </row>
  </sheetData>
  <autoFilter ref="A1:N144" xr:uid="{15AB28E3-CC88-1249-B9F8-0C9BCA4EC61B}">
    <filterColumn colId="11">
      <filters>
        <filter val="segmented videos list"/>
      </filters>
    </filterColumn>
  </autoFilter>
  <phoneticPr fontId="1" type="noConversion"/>
  <conditionalFormatting sqref="E1:E1048576">
    <cfRule type="cellIs" dxfId="142" priority="4" operator="equal">
      <formula>"no"</formula>
    </cfRule>
    <cfRule type="cellIs" dxfId="141" priority="5" operator="equal">
      <formula>"yes"</formula>
    </cfRule>
  </conditionalFormatting>
  <conditionalFormatting sqref="F2:F142">
    <cfRule type="expression" dxfId="140" priority="3">
      <formula>F2&lt;&gt;E2</formula>
    </cfRule>
  </conditionalFormatting>
  <conditionalFormatting sqref="H2:H142">
    <cfRule type="expression" dxfId="139" priority="2" stopIfTrue="1">
      <formula>H2&lt;&gt;E2</formula>
    </cfRule>
  </conditionalFormatting>
  <conditionalFormatting sqref="J2:J142">
    <cfRule type="expression" dxfId="138" priority="1">
      <formula>J2&lt;&gt;E2</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D417E-B802-954C-8C30-000B5893A3FB}">
  <sheetPr filterMode="1"/>
  <dimension ref="A1:N142"/>
  <sheetViews>
    <sheetView workbookViewId="0">
      <selection activeCell="J51" sqref="J51"/>
    </sheetView>
  </sheetViews>
  <sheetFormatPr baseColWidth="10" defaultRowHeight="15"/>
  <cols>
    <col min="2" max="2" width="12" style="5" customWidth="1"/>
    <col min="3" max="3" width="5.1640625" customWidth="1"/>
    <col min="5" max="5" width="11.33203125" customWidth="1"/>
    <col min="12" max="12" width="14.33203125" customWidth="1"/>
  </cols>
  <sheetData>
    <row r="1" spans="1:14">
      <c r="A1" t="s">
        <v>88</v>
      </c>
      <c r="B1" s="5" t="s">
        <v>0</v>
      </c>
      <c r="C1" s="2" t="s">
        <v>202</v>
      </c>
      <c r="D1" t="s">
        <v>6</v>
      </c>
      <c r="E1" t="s">
        <v>1</v>
      </c>
      <c r="H1" t="s">
        <v>2866</v>
      </c>
      <c r="I1" t="s">
        <v>2866</v>
      </c>
      <c r="J1" t="s">
        <v>2841</v>
      </c>
      <c r="K1" t="s">
        <v>2841</v>
      </c>
      <c r="L1" t="s">
        <v>1067</v>
      </c>
      <c r="M1" t="s">
        <v>1192</v>
      </c>
      <c r="N1" t="s">
        <v>1105</v>
      </c>
    </row>
    <row r="2" spans="1:14" ht="19">
      <c r="A2">
        <v>1</v>
      </c>
      <c r="B2" s="14" t="s">
        <v>299</v>
      </c>
      <c r="C2" t="s">
        <v>271</v>
      </c>
      <c r="E2" t="s">
        <v>390</v>
      </c>
      <c r="H2" t="s">
        <v>201</v>
      </c>
      <c r="I2" t="s">
        <v>2920</v>
      </c>
      <c r="J2" t="s">
        <v>201</v>
      </c>
      <c r="K2" t="s">
        <v>2173</v>
      </c>
      <c r="L2" t="str">
        <f>IF(COUNTIF(M:M, B2)&gt;0,$M$1,IF(COUNTIF(N:N, B2)&gt;0,$N$1,"no"))</f>
        <v>segmented videos list</v>
      </c>
      <c r="M2" s="1"/>
      <c r="N2" s="1" t="s">
        <v>327</v>
      </c>
    </row>
    <row r="3" spans="1:14" ht="19">
      <c r="A3">
        <v>2</v>
      </c>
      <c r="B3" s="14" t="s">
        <v>300</v>
      </c>
      <c r="C3" t="s">
        <v>271</v>
      </c>
      <c r="E3" t="s">
        <v>390</v>
      </c>
      <c r="H3" t="s">
        <v>192</v>
      </c>
      <c r="I3" t="s">
        <v>2907</v>
      </c>
      <c r="J3" t="s">
        <v>201</v>
      </c>
      <c r="K3" t="s">
        <v>2462</v>
      </c>
      <c r="L3" t="str">
        <f t="shared" ref="L3:L66" si="0">IF(COUNTIF(M:M, B3)&gt;0,$M$1,IF(COUNTIF(N:N, B3)&gt;0,$N$1,"no"))</f>
        <v>segmented videos list</v>
      </c>
      <c r="M3" s="1"/>
      <c r="N3" s="1" t="s">
        <v>348</v>
      </c>
    </row>
    <row r="4" spans="1:14" ht="19" hidden="1">
      <c r="A4">
        <v>3</v>
      </c>
      <c r="B4" s="14" t="s">
        <v>301</v>
      </c>
      <c r="C4" t="s">
        <v>295</v>
      </c>
      <c r="E4" t="s">
        <v>391</v>
      </c>
      <c r="H4" t="s">
        <v>201</v>
      </c>
      <c r="I4" t="s">
        <v>2667</v>
      </c>
      <c r="J4" t="s">
        <v>201</v>
      </c>
      <c r="K4" t="s">
        <v>2476</v>
      </c>
      <c r="L4" t="str">
        <f t="shared" si="0"/>
        <v>segmented videos list</v>
      </c>
      <c r="M4" s="1"/>
      <c r="N4" s="1" t="s">
        <v>311</v>
      </c>
    </row>
    <row r="5" spans="1:14" ht="19">
      <c r="A5">
        <v>4</v>
      </c>
      <c r="B5" s="14" t="s">
        <v>302</v>
      </c>
      <c r="C5" t="s">
        <v>271</v>
      </c>
      <c r="E5" t="s">
        <v>390</v>
      </c>
      <c r="H5" t="s">
        <v>201</v>
      </c>
      <c r="I5" t="s">
        <v>2590</v>
      </c>
      <c r="J5" t="s">
        <v>201</v>
      </c>
      <c r="K5" t="s">
        <v>2145</v>
      </c>
      <c r="L5" t="str">
        <f t="shared" si="0"/>
        <v>segmented videos list</v>
      </c>
      <c r="M5" s="1"/>
      <c r="N5" s="1" t="s">
        <v>328</v>
      </c>
    </row>
    <row r="6" spans="1:14" ht="19" hidden="1">
      <c r="A6">
        <v>5</v>
      </c>
      <c r="B6" s="14" t="s">
        <v>303</v>
      </c>
      <c r="C6" t="s">
        <v>271</v>
      </c>
      <c r="E6" t="s">
        <v>390</v>
      </c>
      <c r="H6" t="s">
        <v>1717</v>
      </c>
      <c r="I6" t="e">
        <v>#N/A</v>
      </c>
      <c r="J6" t="s">
        <v>1717</v>
      </c>
      <c r="K6" t="e">
        <v>#N/A</v>
      </c>
      <c r="L6" t="str">
        <f t="shared" si="0"/>
        <v>no</v>
      </c>
      <c r="M6" s="1"/>
      <c r="N6" s="1" t="s">
        <v>349</v>
      </c>
    </row>
    <row r="7" spans="1:14" ht="19">
      <c r="A7">
        <v>6</v>
      </c>
      <c r="B7" s="14" t="s">
        <v>304</v>
      </c>
      <c r="C7" t="s">
        <v>268</v>
      </c>
      <c r="E7" t="s">
        <v>390</v>
      </c>
      <c r="H7" t="s">
        <v>192</v>
      </c>
      <c r="I7" t="s">
        <v>2915</v>
      </c>
      <c r="J7" t="s">
        <v>192</v>
      </c>
      <c r="K7" t="s">
        <v>2469</v>
      </c>
      <c r="L7" t="str">
        <f t="shared" si="0"/>
        <v>segmented videos list</v>
      </c>
      <c r="M7" s="1"/>
      <c r="N7" s="1" t="s">
        <v>312</v>
      </c>
    </row>
    <row r="8" spans="1:14" ht="19">
      <c r="A8">
        <v>7</v>
      </c>
      <c r="B8" s="14" t="s">
        <v>305</v>
      </c>
      <c r="C8" t="s">
        <v>269</v>
      </c>
      <c r="E8" t="s">
        <v>390</v>
      </c>
      <c r="H8" t="s">
        <v>192</v>
      </c>
      <c r="I8" t="s">
        <v>2898</v>
      </c>
      <c r="J8" t="s">
        <v>192</v>
      </c>
      <c r="K8" t="s">
        <v>2453</v>
      </c>
      <c r="L8" t="str">
        <f t="shared" si="0"/>
        <v>segmented videos list</v>
      </c>
      <c r="M8" s="1"/>
      <c r="N8" s="1" t="s">
        <v>329</v>
      </c>
    </row>
    <row r="9" spans="1:14" ht="19" hidden="1">
      <c r="A9">
        <v>8</v>
      </c>
      <c r="B9" s="14" t="s">
        <v>306</v>
      </c>
      <c r="C9" t="s">
        <v>295</v>
      </c>
      <c r="E9" t="s">
        <v>391</v>
      </c>
      <c r="H9" t="s">
        <v>1717</v>
      </c>
      <c r="I9" t="e">
        <v>#N/A</v>
      </c>
      <c r="J9" t="s">
        <v>1717</v>
      </c>
      <c r="K9" t="e">
        <v>#N/A</v>
      </c>
      <c r="L9" t="str">
        <f t="shared" si="0"/>
        <v>no</v>
      </c>
      <c r="M9" s="1"/>
      <c r="N9" s="1" t="s">
        <v>350</v>
      </c>
    </row>
    <row r="10" spans="1:14" ht="19" hidden="1">
      <c r="A10">
        <v>9</v>
      </c>
      <c r="B10" s="14" t="s">
        <v>307</v>
      </c>
      <c r="C10" t="s">
        <v>295</v>
      </c>
      <c r="E10" t="s">
        <v>391</v>
      </c>
      <c r="H10" t="s">
        <v>1717</v>
      </c>
      <c r="I10" t="e">
        <v>#N/A</v>
      </c>
      <c r="J10" t="s">
        <v>1717</v>
      </c>
      <c r="K10" t="e">
        <v>#N/A</v>
      </c>
      <c r="L10" t="str">
        <f t="shared" si="0"/>
        <v>no</v>
      </c>
      <c r="M10" s="1"/>
      <c r="N10" s="1" t="s">
        <v>313</v>
      </c>
    </row>
    <row r="11" spans="1:14" ht="19" hidden="1">
      <c r="A11">
        <v>10</v>
      </c>
      <c r="B11" s="14" t="s">
        <v>308</v>
      </c>
      <c r="C11" t="s">
        <v>295</v>
      </c>
      <c r="E11" t="s">
        <v>391</v>
      </c>
      <c r="H11" t="s">
        <v>192</v>
      </c>
      <c r="I11" t="s">
        <v>2897</v>
      </c>
      <c r="J11" t="s">
        <v>192</v>
      </c>
      <c r="K11" t="s">
        <v>2452</v>
      </c>
      <c r="L11" t="str">
        <f t="shared" si="0"/>
        <v>segmented videos list</v>
      </c>
      <c r="M11" s="1"/>
      <c r="N11" s="1" t="s">
        <v>330</v>
      </c>
    </row>
    <row r="12" spans="1:14" ht="19" hidden="1">
      <c r="A12">
        <v>11</v>
      </c>
      <c r="B12" s="14" t="s">
        <v>309</v>
      </c>
      <c r="C12" t="s">
        <v>354</v>
      </c>
      <c r="E12" t="s">
        <v>391</v>
      </c>
      <c r="H12" t="s">
        <v>192</v>
      </c>
      <c r="I12" t="s">
        <v>2896</v>
      </c>
      <c r="J12" t="s">
        <v>192</v>
      </c>
      <c r="K12" t="s">
        <v>2451</v>
      </c>
      <c r="L12" t="str">
        <f t="shared" si="0"/>
        <v>segmented videos list</v>
      </c>
      <c r="M12" s="1"/>
      <c r="N12" s="1" t="s">
        <v>351</v>
      </c>
    </row>
    <row r="13" spans="1:14" ht="19" hidden="1">
      <c r="A13">
        <v>12</v>
      </c>
      <c r="B13" s="14" t="s">
        <v>310</v>
      </c>
      <c r="C13" t="s">
        <v>295</v>
      </c>
      <c r="E13" t="s">
        <v>391</v>
      </c>
      <c r="H13" t="s">
        <v>192</v>
      </c>
      <c r="I13" t="s">
        <v>2904</v>
      </c>
      <c r="J13" t="s">
        <v>192</v>
      </c>
      <c r="K13" t="s">
        <v>2459</v>
      </c>
      <c r="L13" t="str">
        <f t="shared" si="0"/>
        <v>segmented videos list</v>
      </c>
      <c r="M13" s="1"/>
      <c r="N13" s="1" t="s">
        <v>314</v>
      </c>
    </row>
    <row r="14" spans="1:14" ht="19" hidden="1">
      <c r="A14">
        <v>13</v>
      </c>
      <c r="B14" s="14" t="s">
        <v>311</v>
      </c>
      <c r="C14" t="s">
        <v>355</v>
      </c>
      <c r="E14" t="s">
        <v>391</v>
      </c>
      <c r="H14" t="s">
        <v>201</v>
      </c>
      <c r="I14" t="s">
        <v>2917</v>
      </c>
      <c r="J14" t="s">
        <v>192</v>
      </c>
      <c r="K14" t="s">
        <v>2471</v>
      </c>
      <c r="L14" t="str">
        <f t="shared" si="0"/>
        <v>segmented videos list</v>
      </c>
      <c r="M14" s="1"/>
      <c r="N14" s="1" t="s">
        <v>331</v>
      </c>
    </row>
    <row r="15" spans="1:14" ht="19">
      <c r="A15">
        <v>14</v>
      </c>
      <c r="B15" s="14" t="s">
        <v>312</v>
      </c>
      <c r="C15" t="s">
        <v>271</v>
      </c>
      <c r="E15" t="s">
        <v>390</v>
      </c>
      <c r="H15" t="s">
        <v>192</v>
      </c>
      <c r="I15" t="s">
        <v>2891</v>
      </c>
      <c r="J15" t="s">
        <v>192</v>
      </c>
      <c r="K15" t="s">
        <v>2447</v>
      </c>
      <c r="L15" t="str">
        <f t="shared" si="0"/>
        <v>segmented videos list</v>
      </c>
      <c r="M15" s="1"/>
      <c r="N15" s="1" t="s">
        <v>352</v>
      </c>
    </row>
    <row r="16" spans="1:14" ht="19" hidden="1">
      <c r="A16">
        <v>15</v>
      </c>
      <c r="B16" s="14" t="s">
        <v>313</v>
      </c>
      <c r="C16" t="s">
        <v>355</v>
      </c>
      <c r="E16" t="s">
        <v>391</v>
      </c>
      <c r="H16" t="s">
        <v>192</v>
      </c>
      <c r="I16" t="s">
        <v>2890</v>
      </c>
      <c r="J16" t="s">
        <v>192</v>
      </c>
      <c r="K16" t="s">
        <v>2446</v>
      </c>
      <c r="L16" t="str">
        <f t="shared" si="0"/>
        <v>segmented videos list</v>
      </c>
      <c r="M16" s="1"/>
      <c r="N16" s="1" t="s">
        <v>318</v>
      </c>
    </row>
    <row r="17" spans="1:14" ht="19">
      <c r="A17">
        <v>16</v>
      </c>
      <c r="B17" s="14" t="s">
        <v>314</v>
      </c>
      <c r="C17" t="s">
        <v>270</v>
      </c>
      <c r="E17" t="s">
        <v>390</v>
      </c>
      <c r="H17" t="s">
        <v>192</v>
      </c>
      <c r="I17" t="s">
        <v>2902</v>
      </c>
      <c r="J17" t="s">
        <v>192</v>
      </c>
      <c r="K17" t="s">
        <v>2457</v>
      </c>
      <c r="L17" t="str">
        <f t="shared" si="0"/>
        <v>segmented videos list</v>
      </c>
      <c r="M17" s="1"/>
      <c r="N17" s="1" t="s">
        <v>332</v>
      </c>
    </row>
    <row r="18" spans="1:14" ht="19" hidden="1">
      <c r="A18">
        <v>17</v>
      </c>
      <c r="B18" s="14" t="s">
        <v>315</v>
      </c>
      <c r="C18" t="s">
        <v>271</v>
      </c>
      <c r="E18" t="s">
        <v>390</v>
      </c>
      <c r="H18" t="s">
        <v>1717</v>
      </c>
      <c r="I18" t="e">
        <v>#N/A</v>
      </c>
      <c r="J18" t="s">
        <v>1717</v>
      </c>
      <c r="K18" t="e">
        <v>#N/A</v>
      </c>
      <c r="L18" t="str">
        <f t="shared" si="0"/>
        <v>no</v>
      </c>
      <c r="M18" s="1"/>
      <c r="N18" s="1" t="s">
        <v>299</v>
      </c>
    </row>
    <row r="19" spans="1:14" ht="19" hidden="1">
      <c r="A19">
        <v>18</v>
      </c>
      <c r="B19" s="14" t="s">
        <v>316</v>
      </c>
      <c r="C19" t="s">
        <v>271</v>
      </c>
      <c r="E19" t="s">
        <v>390</v>
      </c>
      <c r="H19" t="s">
        <v>1717</v>
      </c>
      <c r="I19" t="e">
        <v>#N/A</v>
      </c>
      <c r="J19" t="s">
        <v>1717</v>
      </c>
      <c r="K19" t="e">
        <v>#N/A</v>
      </c>
      <c r="L19" t="str">
        <f t="shared" si="0"/>
        <v>no</v>
      </c>
      <c r="M19" s="1"/>
      <c r="N19" s="1" t="s">
        <v>319</v>
      </c>
    </row>
    <row r="20" spans="1:14" ht="19" hidden="1">
      <c r="A20">
        <v>19</v>
      </c>
      <c r="B20" s="14" t="s">
        <v>317</v>
      </c>
      <c r="C20" t="s">
        <v>271</v>
      </c>
      <c r="E20" t="s">
        <v>390</v>
      </c>
      <c r="H20" t="s">
        <v>1717</v>
      </c>
      <c r="I20" t="e">
        <v>#N/A</v>
      </c>
      <c r="J20" t="s">
        <v>1717</v>
      </c>
      <c r="K20" t="e">
        <v>#N/A</v>
      </c>
      <c r="L20" t="str">
        <f t="shared" si="0"/>
        <v>no</v>
      </c>
      <c r="M20" s="1"/>
      <c r="N20" s="1" t="s">
        <v>333</v>
      </c>
    </row>
    <row r="21" spans="1:14" ht="19" hidden="1">
      <c r="A21">
        <v>20</v>
      </c>
      <c r="B21" s="14" t="s">
        <v>318</v>
      </c>
      <c r="C21" t="s">
        <v>295</v>
      </c>
      <c r="E21" t="s">
        <v>391</v>
      </c>
      <c r="H21" t="s">
        <v>192</v>
      </c>
      <c r="I21" t="s">
        <v>2908</v>
      </c>
      <c r="J21" t="s">
        <v>192</v>
      </c>
      <c r="K21" t="s">
        <v>2478</v>
      </c>
      <c r="L21" t="str">
        <f t="shared" si="0"/>
        <v>segmented videos list</v>
      </c>
      <c r="M21" s="1"/>
      <c r="N21" s="1" t="s">
        <v>300</v>
      </c>
    </row>
    <row r="22" spans="1:14" ht="19" hidden="1">
      <c r="A22">
        <v>21</v>
      </c>
      <c r="B22" s="14" t="s">
        <v>319</v>
      </c>
      <c r="C22" t="s">
        <v>295</v>
      </c>
      <c r="E22" t="s">
        <v>391</v>
      </c>
      <c r="H22" t="s">
        <v>192</v>
      </c>
      <c r="I22" t="s">
        <v>2911</v>
      </c>
      <c r="J22" t="s">
        <v>192</v>
      </c>
      <c r="K22" t="s">
        <v>2465</v>
      </c>
      <c r="L22" t="str">
        <f t="shared" si="0"/>
        <v>segmented videos list</v>
      </c>
      <c r="M22" s="1"/>
      <c r="N22" s="1" t="s">
        <v>320</v>
      </c>
    </row>
    <row r="23" spans="1:14" ht="19" hidden="1">
      <c r="A23">
        <v>22</v>
      </c>
      <c r="B23" s="14" t="s">
        <v>320</v>
      </c>
      <c r="C23" t="s">
        <v>295</v>
      </c>
      <c r="E23" t="s">
        <v>391</v>
      </c>
      <c r="H23" t="s">
        <v>192</v>
      </c>
      <c r="I23" t="s">
        <v>2910</v>
      </c>
      <c r="J23" t="s">
        <v>192</v>
      </c>
      <c r="K23" t="s">
        <v>2464</v>
      </c>
      <c r="L23" t="str">
        <f t="shared" si="0"/>
        <v>segmented videos list</v>
      </c>
      <c r="M23" s="1"/>
      <c r="N23" s="1" t="s">
        <v>338</v>
      </c>
    </row>
    <row r="24" spans="1:14" ht="19" hidden="1">
      <c r="A24">
        <v>23</v>
      </c>
      <c r="B24" s="14" t="s">
        <v>321</v>
      </c>
      <c r="C24" t="s">
        <v>296</v>
      </c>
      <c r="E24" t="s">
        <v>391</v>
      </c>
      <c r="H24" t="s">
        <v>192</v>
      </c>
      <c r="I24" t="s">
        <v>2895</v>
      </c>
      <c r="J24" t="s">
        <v>192</v>
      </c>
      <c r="K24" t="s">
        <v>2450</v>
      </c>
      <c r="L24" t="str">
        <f t="shared" si="0"/>
        <v>segmented videos list</v>
      </c>
      <c r="M24" s="1"/>
      <c r="N24" s="1" t="s">
        <v>301</v>
      </c>
    </row>
    <row r="25" spans="1:14" ht="19" hidden="1">
      <c r="A25">
        <v>24</v>
      </c>
      <c r="B25" s="14" t="s">
        <v>322</v>
      </c>
      <c r="C25" t="s">
        <v>296</v>
      </c>
      <c r="E25" t="s">
        <v>391</v>
      </c>
      <c r="H25" t="s">
        <v>192</v>
      </c>
      <c r="I25" t="s">
        <v>2899</v>
      </c>
      <c r="J25" t="s">
        <v>192</v>
      </c>
      <c r="K25" t="s">
        <v>2454</v>
      </c>
      <c r="L25" t="str">
        <f t="shared" si="0"/>
        <v>segmented videos list</v>
      </c>
      <c r="M25" s="1"/>
      <c r="N25" s="1" t="s">
        <v>321</v>
      </c>
    </row>
    <row r="26" spans="1:14" ht="19" hidden="1">
      <c r="A26">
        <v>25</v>
      </c>
      <c r="B26" s="14" t="s">
        <v>323</v>
      </c>
      <c r="C26" t="s">
        <v>296</v>
      </c>
      <c r="E26" t="s">
        <v>391</v>
      </c>
      <c r="H26" t="s">
        <v>192</v>
      </c>
      <c r="I26" t="s">
        <v>2889</v>
      </c>
      <c r="J26" t="s">
        <v>192</v>
      </c>
      <c r="K26" t="s">
        <v>2445</v>
      </c>
      <c r="L26" t="str">
        <f t="shared" si="0"/>
        <v>segmented videos list</v>
      </c>
      <c r="M26" s="1"/>
      <c r="N26" s="1" t="s">
        <v>339</v>
      </c>
    </row>
    <row r="27" spans="1:14" ht="19" hidden="1">
      <c r="A27">
        <v>26</v>
      </c>
      <c r="B27" s="14" t="s">
        <v>324</v>
      </c>
      <c r="C27" t="s">
        <v>296</v>
      </c>
      <c r="E27" t="s">
        <v>391</v>
      </c>
      <c r="H27" t="s">
        <v>192</v>
      </c>
      <c r="I27" t="s">
        <v>2906</v>
      </c>
      <c r="J27" t="s">
        <v>192</v>
      </c>
      <c r="K27" t="s">
        <v>2461</v>
      </c>
      <c r="L27" t="str">
        <f t="shared" si="0"/>
        <v>segmented videos list</v>
      </c>
      <c r="M27" s="1"/>
      <c r="N27" s="1" t="s">
        <v>302</v>
      </c>
    </row>
    <row r="28" spans="1:14" ht="19" hidden="1">
      <c r="A28">
        <v>27</v>
      </c>
      <c r="B28" s="14" t="s">
        <v>325</v>
      </c>
      <c r="C28" t="s">
        <v>296</v>
      </c>
      <c r="E28" t="s">
        <v>391</v>
      </c>
      <c r="H28" t="s">
        <v>192</v>
      </c>
      <c r="I28" t="s">
        <v>2886</v>
      </c>
      <c r="J28" t="s">
        <v>192</v>
      </c>
      <c r="K28" t="s">
        <v>2442</v>
      </c>
      <c r="L28" t="str">
        <f t="shared" si="0"/>
        <v>segmented videos list</v>
      </c>
      <c r="M28" s="1"/>
      <c r="N28" s="1" t="s">
        <v>322</v>
      </c>
    </row>
    <row r="29" spans="1:14" ht="19" hidden="1">
      <c r="A29">
        <v>28</v>
      </c>
      <c r="B29" s="14" t="s">
        <v>326</v>
      </c>
      <c r="C29" t="s">
        <v>296</v>
      </c>
      <c r="E29" t="s">
        <v>391</v>
      </c>
      <c r="H29" t="s">
        <v>192</v>
      </c>
      <c r="I29" t="s">
        <v>2901</v>
      </c>
      <c r="J29" t="s">
        <v>192</v>
      </c>
      <c r="K29" t="s">
        <v>2456</v>
      </c>
      <c r="L29" t="str">
        <f t="shared" si="0"/>
        <v>segmented videos list</v>
      </c>
      <c r="M29" s="1"/>
      <c r="N29" s="1" t="s">
        <v>340</v>
      </c>
    </row>
    <row r="30" spans="1:14" ht="19">
      <c r="A30">
        <v>29</v>
      </c>
      <c r="B30" s="14" t="s">
        <v>327</v>
      </c>
      <c r="C30" t="s">
        <v>271</v>
      </c>
      <c r="E30" t="s">
        <v>390</v>
      </c>
      <c r="H30" t="s">
        <v>192</v>
      </c>
      <c r="I30" t="s">
        <v>2914</v>
      </c>
      <c r="J30" t="s">
        <v>192</v>
      </c>
      <c r="K30" t="s">
        <v>2468</v>
      </c>
      <c r="L30" t="str">
        <f t="shared" si="0"/>
        <v>segmented videos list</v>
      </c>
      <c r="M30" s="1"/>
      <c r="N30" s="1" t="s">
        <v>304</v>
      </c>
    </row>
    <row r="31" spans="1:14" ht="19">
      <c r="A31">
        <v>30</v>
      </c>
      <c r="B31" s="14" t="s">
        <v>328</v>
      </c>
      <c r="C31" t="s">
        <v>270</v>
      </c>
      <c r="E31" t="s">
        <v>390</v>
      </c>
      <c r="H31" t="s">
        <v>192</v>
      </c>
      <c r="I31" t="s">
        <v>2905</v>
      </c>
      <c r="J31" t="s">
        <v>192</v>
      </c>
      <c r="K31" t="s">
        <v>2460</v>
      </c>
      <c r="L31" t="str">
        <f t="shared" si="0"/>
        <v>segmented videos list</v>
      </c>
      <c r="M31" s="1"/>
      <c r="N31" s="1" t="s">
        <v>323</v>
      </c>
    </row>
    <row r="32" spans="1:14" ht="19">
      <c r="A32">
        <v>31</v>
      </c>
      <c r="B32" s="14" t="s">
        <v>329</v>
      </c>
      <c r="C32" t="s">
        <v>269</v>
      </c>
      <c r="E32" t="s">
        <v>390</v>
      </c>
      <c r="H32" t="s">
        <v>192</v>
      </c>
      <c r="I32" t="s">
        <v>2885</v>
      </c>
      <c r="J32" t="s">
        <v>201</v>
      </c>
      <c r="K32" t="s">
        <v>2441</v>
      </c>
      <c r="L32" t="str">
        <f t="shared" si="0"/>
        <v>segmented videos list</v>
      </c>
      <c r="M32" s="1"/>
      <c r="N32" s="1" t="s">
        <v>341</v>
      </c>
    </row>
    <row r="33" spans="1:14" ht="19">
      <c r="A33">
        <v>32</v>
      </c>
      <c r="B33" s="14" t="s">
        <v>330</v>
      </c>
      <c r="C33" t="s">
        <v>269</v>
      </c>
      <c r="E33" t="s">
        <v>390</v>
      </c>
      <c r="H33" t="s">
        <v>192</v>
      </c>
      <c r="I33" t="s">
        <v>2892</v>
      </c>
      <c r="J33" t="s">
        <v>201</v>
      </c>
      <c r="K33" t="s">
        <v>2448</v>
      </c>
      <c r="L33" t="str">
        <f t="shared" si="0"/>
        <v>segmented videos list</v>
      </c>
      <c r="M33" s="1"/>
      <c r="N33" s="1" t="s">
        <v>305</v>
      </c>
    </row>
    <row r="34" spans="1:14" ht="19">
      <c r="A34">
        <v>33</v>
      </c>
      <c r="B34" s="14" t="s">
        <v>331</v>
      </c>
      <c r="C34" t="s">
        <v>271</v>
      </c>
      <c r="E34" t="s">
        <v>390</v>
      </c>
      <c r="H34" t="s">
        <v>201</v>
      </c>
      <c r="I34" t="s">
        <v>2913</v>
      </c>
      <c r="J34" t="s">
        <v>201</v>
      </c>
      <c r="K34" t="s">
        <v>2467</v>
      </c>
      <c r="L34" t="str">
        <f t="shared" si="0"/>
        <v>segmented videos list</v>
      </c>
      <c r="M34" s="1"/>
      <c r="N34" s="1" t="s">
        <v>324</v>
      </c>
    </row>
    <row r="35" spans="1:14" ht="19" hidden="1">
      <c r="A35">
        <v>34</v>
      </c>
      <c r="B35" s="14" t="s">
        <v>332</v>
      </c>
      <c r="C35" t="s">
        <v>295</v>
      </c>
      <c r="E35" t="s">
        <v>391</v>
      </c>
      <c r="H35" t="s">
        <v>192</v>
      </c>
      <c r="I35" t="s">
        <v>2919</v>
      </c>
      <c r="J35" t="s">
        <v>201</v>
      </c>
      <c r="K35" t="s">
        <v>2473</v>
      </c>
      <c r="L35" t="str">
        <f t="shared" si="0"/>
        <v>segmented videos list</v>
      </c>
      <c r="M35" s="1"/>
      <c r="N35" s="1" t="s">
        <v>342</v>
      </c>
    </row>
    <row r="36" spans="1:14" ht="19">
      <c r="A36">
        <v>35</v>
      </c>
      <c r="B36" s="14" t="s">
        <v>333</v>
      </c>
      <c r="C36" t="s">
        <v>269</v>
      </c>
      <c r="E36" t="s">
        <v>390</v>
      </c>
      <c r="H36" t="s">
        <v>192</v>
      </c>
      <c r="I36" t="s">
        <v>2900</v>
      </c>
      <c r="J36" t="s">
        <v>192</v>
      </c>
      <c r="K36" t="s">
        <v>2455</v>
      </c>
      <c r="L36" t="str">
        <f t="shared" si="0"/>
        <v>segmented videos list</v>
      </c>
      <c r="M36" s="1"/>
      <c r="N36" s="1" t="s">
        <v>308</v>
      </c>
    </row>
    <row r="37" spans="1:14" ht="19" hidden="1">
      <c r="A37">
        <v>36</v>
      </c>
      <c r="B37" s="14" t="s">
        <v>334</v>
      </c>
      <c r="C37" t="s">
        <v>296</v>
      </c>
      <c r="E37" t="s">
        <v>391</v>
      </c>
      <c r="H37" t="s">
        <v>1717</v>
      </c>
      <c r="I37" t="e">
        <v>#N/A</v>
      </c>
      <c r="J37" t="s">
        <v>1717</v>
      </c>
      <c r="K37" t="e">
        <v>#N/A</v>
      </c>
      <c r="L37" t="str">
        <f t="shared" si="0"/>
        <v>no</v>
      </c>
      <c r="M37" s="1"/>
      <c r="N37" s="1" t="s">
        <v>325</v>
      </c>
    </row>
    <row r="38" spans="1:14" ht="19" hidden="1">
      <c r="A38">
        <v>37</v>
      </c>
      <c r="B38" s="14" t="s">
        <v>335</v>
      </c>
      <c r="C38" t="s">
        <v>355</v>
      </c>
      <c r="E38" t="s">
        <v>391</v>
      </c>
      <c r="H38" t="s">
        <v>1717</v>
      </c>
      <c r="I38" t="e">
        <v>#N/A</v>
      </c>
      <c r="J38" t="s">
        <v>1717</v>
      </c>
      <c r="K38" t="e">
        <v>#N/A</v>
      </c>
      <c r="L38" t="str">
        <f t="shared" si="0"/>
        <v>no</v>
      </c>
      <c r="M38" s="1"/>
      <c r="N38" s="1" t="s">
        <v>343</v>
      </c>
    </row>
    <row r="39" spans="1:14" ht="19" hidden="1">
      <c r="A39">
        <v>38</v>
      </c>
      <c r="B39" s="14" t="s">
        <v>336</v>
      </c>
      <c r="C39" t="s">
        <v>268</v>
      </c>
      <c r="E39" t="s">
        <v>390</v>
      </c>
      <c r="H39" t="s">
        <v>1717</v>
      </c>
      <c r="I39" t="e">
        <v>#N/A</v>
      </c>
      <c r="J39" t="s">
        <v>1717</v>
      </c>
      <c r="K39" t="e">
        <v>#N/A</v>
      </c>
      <c r="L39" t="str">
        <f t="shared" si="0"/>
        <v>no</v>
      </c>
      <c r="M39" s="1"/>
      <c r="N39" s="1" t="s">
        <v>309</v>
      </c>
    </row>
    <row r="40" spans="1:14" ht="19" hidden="1">
      <c r="A40">
        <v>39</v>
      </c>
      <c r="B40" s="14" t="s">
        <v>337</v>
      </c>
      <c r="C40" t="s">
        <v>296</v>
      </c>
      <c r="E40" t="s">
        <v>391</v>
      </c>
      <c r="H40" t="s">
        <v>1717</v>
      </c>
      <c r="I40" t="e">
        <v>#N/A</v>
      </c>
      <c r="J40" t="s">
        <v>1717</v>
      </c>
      <c r="K40" t="e">
        <v>#N/A</v>
      </c>
      <c r="L40" t="str">
        <f t="shared" si="0"/>
        <v>no</v>
      </c>
      <c r="M40" s="1"/>
      <c r="N40" s="1" t="s">
        <v>326</v>
      </c>
    </row>
    <row r="41" spans="1:14" ht="19" hidden="1">
      <c r="A41">
        <v>40</v>
      </c>
      <c r="B41" s="14" t="s">
        <v>338</v>
      </c>
      <c r="C41" t="s">
        <v>296</v>
      </c>
      <c r="E41" t="s">
        <v>391</v>
      </c>
      <c r="H41" t="s">
        <v>192</v>
      </c>
      <c r="I41" t="s">
        <v>2903</v>
      </c>
      <c r="J41" t="s">
        <v>192</v>
      </c>
      <c r="K41" t="s">
        <v>2458</v>
      </c>
      <c r="L41" t="str">
        <f t="shared" si="0"/>
        <v>segmented videos list</v>
      </c>
      <c r="M41" s="1"/>
      <c r="N41" s="1" t="s">
        <v>347</v>
      </c>
    </row>
    <row r="42" spans="1:14" ht="19">
      <c r="A42">
        <v>41</v>
      </c>
      <c r="B42" s="14" t="s">
        <v>339</v>
      </c>
      <c r="C42" t="s">
        <v>271</v>
      </c>
      <c r="E42" t="s">
        <v>390</v>
      </c>
      <c r="H42" t="s">
        <v>201</v>
      </c>
      <c r="I42" t="s">
        <v>2894</v>
      </c>
      <c r="J42" t="s">
        <v>201</v>
      </c>
      <c r="K42" t="s">
        <v>2083</v>
      </c>
      <c r="L42" t="str">
        <f t="shared" si="0"/>
        <v>segmented videos list</v>
      </c>
      <c r="M42" s="1"/>
      <c r="N42" s="1" t="s">
        <v>310</v>
      </c>
    </row>
    <row r="43" spans="1:14" ht="19" hidden="1">
      <c r="A43">
        <v>42</v>
      </c>
      <c r="B43" s="14" t="s">
        <v>340</v>
      </c>
      <c r="C43" t="s">
        <v>296</v>
      </c>
      <c r="E43" t="s">
        <v>391</v>
      </c>
      <c r="H43" t="s">
        <v>192</v>
      </c>
      <c r="I43" t="s">
        <v>2893</v>
      </c>
      <c r="J43" t="s">
        <v>192</v>
      </c>
      <c r="K43" t="s">
        <v>2449</v>
      </c>
      <c r="L43" t="str">
        <f t="shared" si="0"/>
        <v>segmented videos list</v>
      </c>
      <c r="M43" s="1"/>
      <c r="N43" s="1"/>
    </row>
    <row r="44" spans="1:14" ht="19" hidden="1">
      <c r="A44">
        <v>43</v>
      </c>
      <c r="B44" s="14" t="s">
        <v>341</v>
      </c>
      <c r="C44" t="s">
        <v>295</v>
      </c>
      <c r="E44" t="s">
        <v>391</v>
      </c>
      <c r="H44" t="s">
        <v>192</v>
      </c>
      <c r="I44" t="s">
        <v>2912</v>
      </c>
      <c r="J44" t="s">
        <v>192</v>
      </c>
      <c r="K44" t="s">
        <v>2466</v>
      </c>
      <c r="L44" t="str">
        <f t="shared" si="0"/>
        <v>segmented videos list</v>
      </c>
      <c r="M44" s="1"/>
      <c r="N44" s="1"/>
    </row>
    <row r="45" spans="1:14" ht="19">
      <c r="A45">
        <v>44</v>
      </c>
      <c r="B45" s="14" t="s">
        <v>342</v>
      </c>
      <c r="C45" t="s">
        <v>269</v>
      </c>
      <c r="E45" t="s">
        <v>390</v>
      </c>
      <c r="H45" t="s">
        <v>192</v>
      </c>
      <c r="I45" t="s">
        <v>2918</v>
      </c>
      <c r="J45" s="5" t="s">
        <v>192</v>
      </c>
      <c r="K45" s="5" t="s">
        <v>2472</v>
      </c>
      <c r="L45" t="str">
        <f t="shared" si="0"/>
        <v>segmented videos list</v>
      </c>
      <c r="M45" s="1"/>
      <c r="N45" s="1"/>
    </row>
    <row r="46" spans="1:14" ht="19" hidden="1">
      <c r="A46">
        <v>45</v>
      </c>
      <c r="B46" s="14" t="s">
        <v>343</v>
      </c>
      <c r="C46" t="s">
        <v>296</v>
      </c>
      <c r="E46" t="s">
        <v>391</v>
      </c>
      <c r="H46" t="s">
        <v>192</v>
      </c>
      <c r="I46" t="s">
        <v>2922</v>
      </c>
      <c r="J46" t="s">
        <v>192</v>
      </c>
      <c r="K46" t="s">
        <v>2475</v>
      </c>
      <c r="L46" t="str">
        <f t="shared" si="0"/>
        <v>segmented videos list</v>
      </c>
      <c r="M46" s="1"/>
      <c r="N46" s="1"/>
    </row>
    <row r="47" spans="1:14" ht="19" hidden="1">
      <c r="A47">
        <v>46</v>
      </c>
      <c r="B47" s="14" t="s">
        <v>344</v>
      </c>
      <c r="C47" t="s">
        <v>295</v>
      </c>
      <c r="E47" t="s">
        <v>391</v>
      </c>
      <c r="H47" t="s">
        <v>1717</v>
      </c>
      <c r="I47" t="e">
        <v>#N/A</v>
      </c>
      <c r="J47" t="s">
        <v>1717</v>
      </c>
      <c r="K47" t="e">
        <v>#N/A</v>
      </c>
      <c r="L47" t="str">
        <f t="shared" si="0"/>
        <v>no</v>
      </c>
      <c r="M47" s="1"/>
      <c r="N47" s="1"/>
    </row>
    <row r="48" spans="1:14" ht="19" hidden="1">
      <c r="A48">
        <v>47</v>
      </c>
      <c r="B48" s="14" t="s">
        <v>345</v>
      </c>
      <c r="C48" t="s">
        <v>296</v>
      </c>
      <c r="E48" t="s">
        <v>391</v>
      </c>
      <c r="H48" t="s">
        <v>1717</v>
      </c>
      <c r="I48" t="e">
        <v>#N/A</v>
      </c>
      <c r="J48" t="s">
        <v>1717</v>
      </c>
      <c r="K48" t="e">
        <v>#N/A</v>
      </c>
      <c r="L48" t="str">
        <f t="shared" si="0"/>
        <v>no</v>
      </c>
      <c r="M48" s="1"/>
      <c r="N48" s="1"/>
    </row>
    <row r="49" spans="1:14" ht="19" hidden="1">
      <c r="A49">
        <v>48</v>
      </c>
      <c r="B49" s="14" t="s">
        <v>346</v>
      </c>
      <c r="C49" t="s">
        <v>296</v>
      </c>
      <c r="E49" t="s">
        <v>391</v>
      </c>
      <c r="H49" t="s">
        <v>1717</v>
      </c>
      <c r="I49" t="e">
        <v>#N/A</v>
      </c>
      <c r="J49" t="s">
        <v>1717</v>
      </c>
      <c r="K49" t="e">
        <v>#N/A</v>
      </c>
      <c r="L49" t="str">
        <f t="shared" si="0"/>
        <v>no</v>
      </c>
      <c r="M49" s="1"/>
      <c r="N49" s="1"/>
    </row>
    <row r="50" spans="1:14" ht="19" hidden="1">
      <c r="A50">
        <v>49</v>
      </c>
      <c r="B50" s="14" t="s">
        <v>347</v>
      </c>
      <c r="C50" t="s">
        <v>295</v>
      </c>
      <c r="E50" t="s">
        <v>391</v>
      </c>
      <c r="H50" t="s">
        <v>192</v>
      </c>
      <c r="I50" t="s">
        <v>2888</v>
      </c>
      <c r="J50" t="s">
        <v>192</v>
      </c>
      <c r="K50" t="s">
        <v>2444</v>
      </c>
      <c r="L50" t="str">
        <f t="shared" si="0"/>
        <v>segmented videos list</v>
      </c>
      <c r="M50" s="1"/>
      <c r="N50" s="1"/>
    </row>
    <row r="51" spans="1:14" ht="19">
      <c r="A51">
        <v>50</v>
      </c>
      <c r="B51" s="14" t="s">
        <v>348</v>
      </c>
      <c r="C51" t="s">
        <v>268</v>
      </c>
      <c r="E51" t="s">
        <v>390</v>
      </c>
      <c r="H51" t="s">
        <v>192</v>
      </c>
      <c r="I51" t="s">
        <v>2921</v>
      </c>
      <c r="J51" t="s">
        <v>201</v>
      </c>
      <c r="K51" t="s">
        <v>2474</v>
      </c>
      <c r="L51" t="str">
        <f t="shared" si="0"/>
        <v>segmented videos list</v>
      </c>
      <c r="M51" s="1"/>
      <c r="N51" s="1"/>
    </row>
    <row r="52" spans="1:14" ht="19">
      <c r="A52">
        <v>51</v>
      </c>
      <c r="B52" s="14" t="s">
        <v>349</v>
      </c>
      <c r="C52" t="s">
        <v>271</v>
      </c>
      <c r="E52" t="s">
        <v>390</v>
      </c>
      <c r="H52" t="s">
        <v>201</v>
      </c>
      <c r="I52" t="s">
        <v>2916</v>
      </c>
      <c r="J52" t="s">
        <v>201</v>
      </c>
      <c r="K52" t="s">
        <v>2470</v>
      </c>
      <c r="L52" t="str">
        <f t="shared" si="0"/>
        <v>segmented videos list</v>
      </c>
      <c r="M52" s="1"/>
      <c r="N52" s="1"/>
    </row>
    <row r="53" spans="1:14" ht="19">
      <c r="A53">
        <v>52</v>
      </c>
      <c r="B53" s="14" t="s">
        <v>350</v>
      </c>
      <c r="C53" t="s">
        <v>271</v>
      </c>
      <c r="E53" t="s">
        <v>390</v>
      </c>
      <c r="H53" t="s">
        <v>201</v>
      </c>
      <c r="I53" t="s">
        <v>2887</v>
      </c>
      <c r="J53" t="s">
        <v>201</v>
      </c>
      <c r="K53" t="s">
        <v>2443</v>
      </c>
      <c r="L53" t="str">
        <f t="shared" si="0"/>
        <v>segmented videos list</v>
      </c>
      <c r="M53" s="1"/>
      <c r="N53" s="1"/>
    </row>
    <row r="54" spans="1:14" ht="19">
      <c r="A54">
        <v>53</v>
      </c>
      <c r="B54" s="14" t="s">
        <v>351</v>
      </c>
      <c r="E54" t="s">
        <v>390</v>
      </c>
      <c r="H54" t="s">
        <v>192</v>
      </c>
      <c r="I54" t="s">
        <v>2909</v>
      </c>
      <c r="J54" t="s">
        <v>192</v>
      </c>
      <c r="K54" t="s">
        <v>2463</v>
      </c>
      <c r="L54" t="str">
        <f t="shared" si="0"/>
        <v>segmented videos list</v>
      </c>
      <c r="M54" s="1"/>
      <c r="N54" s="1"/>
    </row>
    <row r="55" spans="1:14" ht="19">
      <c r="A55">
        <v>54</v>
      </c>
      <c r="B55" s="14" t="s">
        <v>352</v>
      </c>
      <c r="E55" t="s">
        <v>390</v>
      </c>
      <c r="H55" t="s">
        <v>201</v>
      </c>
      <c r="I55" t="s">
        <v>2923</v>
      </c>
      <c r="J55" t="s">
        <v>201</v>
      </c>
      <c r="K55" t="s">
        <v>2477</v>
      </c>
      <c r="L55" t="str">
        <f t="shared" si="0"/>
        <v>segmented videos list</v>
      </c>
      <c r="M55" s="1"/>
      <c r="N55" s="1"/>
    </row>
    <row r="56" spans="1:14" ht="19" hidden="1">
      <c r="A56">
        <v>55</v>
      </c>
      <c r="B56" s="14" t="s">
        <v>353</v>
      </c>
      <c r="E56" t="s">
        <v>390</v>
      </c>
      <c r="H56" t="s">
        <v>1717</v>
      </c>
      <c r="I56" t="e">
        <v>#N/A</v>
      </c>
      <c r="J56" t="s">
        <v>1717</v>
      </c>
      <c r="K56" t="e">
        <v>#N/A</v>
      </c>
      <c r="L56" t="str">
        <f t="shared" si="0"/>
        <v>no</v>
      </c>
      <c r="M56" s="1"/>
      <c r="N56" s="1"/>
    </row>
    <row r="57" spans="1:14" ht="19" hidden="1">
      <c r="H57" t="s">
        <v>1717</v>
      </c>
      <c r="I57" t="e">
        <v>#N/A</v>
      </c>
      <c r="J57" t="s">
        <v>1717</v>
      </c>
      <c r="K57" t="e">
        <v>#N/A</v>
      </c>
      <c r="L57" t="str">
        <f t="shared" si="0"/>
        <v>no</v>
      </c>
      <c r="M57" s="1"/>
      <c r="N57" s="1"/>
    </row>
    <row r="58" spans="1:14" ht="19" hidden="1">
      <c r="H58" t="s">
        <v>1717</v>
      </c>
      <c r="I58" t="e">
        <v>#N/A</v>
      </c>
      <c r="J58" t="s">
        <v>1717</v>
      </c>
      <c r="K58" t="e">
        <v>#N/A</v>
      </c>
      <c r="L58" t="str">
        <f t="shared" si="0"/>
        <v>no</v>
      </c>
      <c r="M58" s="1"/>
      <c r="N58" s="1"/>
    </row>
    <row r="59" spans="1:14" ht="19" hidden="1">
      <c r="H59" t="s">
        <v>1717</v>
      </c>
      <c r="I59" t="e">
        <v>#N/A</v>
      </c>
      <c r="J59" t="s">
        <v>1717</v>
      </c>
      <c r="K59" t="e">
        <v>#N/A</v>
      </c>
      <c r="L59" t="str">
        <f t="shared" si="0"/>
        <v>no</v>
      </c>
      <c r="M59" s="1"/>
      <c r="N59" s="1"/>
    </row>
    <row r="60" spans="1:14" ht="19" hidden="1">
      <c r="H60" t="s">
        <v>1717</v>
      </c>
      <c r="I60" t="e">
        <v>#N/A</v>
      </c>
      <c r="J60" t="s">
        <v>1717</v>
      </c>
      <c r="K60" t="e">
        <v>#N/A</v>
      </c>
      <c r="L60" t="str">
        <f t="shared" si="0"/>
        <v>no</v>
      </c>
      <c r="M60" s="1"/>
      <c r="N60" s="1"/>
    </row>
    <row r="61" spans="1:14" ht="19" hidden="1">
      <c r="H61" t="s">
        <v>1717</v>
      </c>
      <c r="I61" t="e">
        <v>#N/A</v>
      </c>
      <c r="J61" t="s">
        <v>1717</v>
      </c>
      <c r="K61" t="e">
        <v>#N/A</v>
      </c>
      <c r="L61" t="str">
        <f t="shared" si="0"/>
        <v>no</v>
      </c>
      <c r="M61" s="1"/>
      <c r="N61" s="1"/>
    </row>
    <row r="62" spans="1:14" ht="19" hidden="1">
      <c r="H62" t="s">
        <v>1717</v>
      </c>
      <c r="I62" t="e">
        <v>#N/A</v>
      </c>
      <c r="J62" t="s">
        <v>1717</v>
      </c>
      <c r="K62" t="e">
        <v>#N/A</v>
      </c>
      <c r="L62" t="str">
        <f t="shared" si="0"/>
        <v>no</v>
      </c>
      <c r="M62" s="1"/>
      <c r="N62" s="1"/>
    </row>
    <row r="63" spans="1:14" ht="19" hidden="1">
      <c r="H63" t="s">
        <v>1717</v>
      </c>
      <c r="I63" t="e">
        <v>#N/A</v>
      </c>
      <c r="J63" t="s">
        <v>1717</v>
      </c>
      <c r="K63" t="e">
        <v>#N/A</v>
      </c>
      <c r="L63" t="str">
        <f t="shared" si="0"/>
        <v>no</v>
      </c>
      <c r="M63" s="1"/>
      <c r="N63" s="1"/>
    </row>
    <row r="64" spans="1:14" ht="19" hidden="1">
      <c r="H64" t="s">
        <v>1717</v>
      </c>
      <c r="I64" t="e">
        <v>#N/A</v>
      </c>
      <c r="J64" t="s">
        <v>1717</v>
      </c>
      <c r="K64" t="e">
        <v>#N/A</v>
      </c>
      <c r="L64" t="str">
        <f t="shared" si="0"/>
        <v>no</v>
      </c>
      <c r="M64" s="1"/>
      <c r="N64" s="1"/>
    </row>
    <row r="65" spans="8:14" ht="19" hidden="1">
      <c r="H65" t="s">
        <v>1717</v>
      </c>
      <c r="I65" t="e">
        <v>#N/A</v>
      </c>
      <c r="J65" t="s">
        <v>1717</v>
      </c>
      <c r="K65" t="e">
        <v>#N/A</v>
      </c>
      <c r="L65" t="str">
        <f t="shared" si="0"/>
        <v>no</v>
      </c>
      <c r="M65" s="1"/>
      <c r="N65" s="1"/>
    </row>
    <row r="66" spans="8:14" ht="19" hidden="1">
      <c r="H66" t="s">
        <v>1717</v>
      </c>
      <c r="I66" t="e">
        <v>#N/A</v>
      </c>
      <c r="J66" t="s">
        <v>1717</v>
      </c>
      <c r="K66" t="e">
        <v>#N/A</v>
      </c>
      <c r="L66" t="str">
        <f t="shared" si="0"/>
        <v>no</v>
      </c>
      <c r="M66" s="1"/>
      <c r="N66" s="1"/>
    </row>
    <row r="67" spans="8:14" ht="19" hidden="1">
      <c r="H67" t="s">
        <v>1717</v>
      </c>
      <c r="I67" t="e">
        <v>#N/A</v>
      </c>
      <c r="J67" t="s">
        <v>1717</v>
      </c>
      <c r="K67" t="e">
        <v>#N/A</v>
      </c>
      <c r="L67" t="str">
        <f t="shared" ref="L67:L130" si="1">IF(COUNTIF(M:M, B67)&gt;0,$M$1,IF(COUNTIF(N:N, B67)&gt;0,$N$1,"no"))</f>
        <v>no</v>
      </c>
      <c r="M67" s="1"/>
      <c r="N67" s="1"/>
    </row>
    <row r="68" spans="8:14" ht="19" hidden="1">
      <c r="H68" t="s">
        <v>1717</v>
      </c>
      <c r="I68" t="e">
        <v>#N/A</v>
      </c>
      <c r="J68" t="s">
        <v>1717</v>
      </c>
      <c r="K68" t="e">
        <v>#N/A</v>
      </c>
      <c r="L68" t="str">
        <f t="shared" si="1"/>
        <v>no</v>
      </c>
      <c r="M68" s="1"/>
      <c r="N68" s="1"/>
    </row>
    <row r="69" spans="8:14" ht="19" hidden="1">
      <c r="H69" t="s">
        <v>1717</v>
      </c>
      <c r="I69" t="e">
        <v>#N/A</v>
      </c>
      <c r="J69" t="s">
        <v>1717</v>
      </c>
      <c r="K69" t="e">
        <v>#N/A</v>
      </c>
      <c r="L69" t="str">
        <f t="shared" si="1"/>
        <v>no</v>
      </c>
      <c r="M69" s="1"/>
      <c r="N69" s="1"/>
    </row>
    <row r="70" spans="8:14" ht="19" hidden="1">
      <c r="H70" t="s">
        <v>1717</v>
      </c>
      <c r="I70" t="e">
        <v>#N/A</v>
      </c>
      <c r="J70" t="s">
        <v>1717</v>
      </c>
      <c r="K70" t="e">
        <v>#N/A</v>
      </c>
      <c r="L70" t="str">
        <f t="shared" si="1"/>
        <v>no</v>
      </c>
      <c r="M70" s="1"/>
      <c r="N70" s="1"/>
    </row>
    <row r="71" spans="8:14" ht="19" hidden="1">
      <c r="H71" t="s">
        <v>1717</v>
      </c>
      <c r="I71" t="e">
        <v>#N/A</v>
      </c>
      <c r="J71" t="s">
        <v>1717</v>
      </c>
      <c r="K71" t="e">
        <v>#N/A</v>
      </c>
      <c r="L71" t="str">
        <f t="shared" si="1"/>
        <v>no</v>
      </c>
      <c r="M71" s="1"/>
      <c r="N71" s="1"/>
    </row>
    <row r="72" spans="8:14" ht="19" hidden="1">
      <c r="H72" t="s">
        <v>1717</v>
      </c>
      <c r="I72" t="e">
        <v>#N/A</v>
      </c>
      <c r="J72" t="s">
        <v>1717</v>
      </c>
      <c r="K72" t="e">
        <v>#N/A</v>
      </c>
      <c r="L72" t="str">
        <f t="shared" si="1"/>
        <v>no</v>
      </c>
      <c r="M72" s="1"/>
      <c r="N72" s="1"/>
    </row>
    <row r="73" spans="8:14" ht="19" hidden="1">
      <c r="H73" t="s">
        <v>1717</v>
      </c>
      <c r="I73" t="e">
        <v>#N/A</v>
      </c>
      <c r="J73" t="s">
        <v>1717</v>
      </c>
      <c r="K73" t="e">
        <v>#N/A</v>
      </c>
      <c r="L73" t="str">
        <f t="shared" si="1"/>
        <v>no</v>
      </c>
      <c r="M73" s="1"/>
      <c r="N73" s="1"/>
    </row>
    <row r="74" spans="8:14" ht="19" hidden="1">
      <c r="H74" t="s">
        <v>1717</v>
      </c>
      <c r="I74" t="e">
        <v>#N/A</v>
      </c>
      <c r="J74" t="s">
        <v>1717</v>
      </c>
      <c r="K74" t="e">
        <v>#N/A</v>
      </c>
      <c r="L74" t="str">
        <f t="shared" si="1"/>
        <v>no</v>
      </c>
      <c r="M74" s="1"/>
      <c r="N74" s="1"/>
    </row>
    <row r="75" spans="8:14" ht="19" hidden="1">
      <c r="H75" t="s">
        <v>1717</v>
      </c>
      <c r="I75" t="e">
        <v>#N/A</v>
      </c>
      <c r="J75" t="s">
        <v>1717</v>
      </c>
      <c r="K75" t="e">
        <v>#N/A</v>
      </c>
      <c r="L75" t="str">
        <f t="shared" si="1"/>
        <v>no</v>
      </c>
      <c r="M75" s="1"/>
      <c r="N75" s="1"/>
    </row>
    <row r="76" spans="8:14" ht="19" hidden="1">
      <c r="H76" t="s">
        <v>1717</v>
      </c>
      <c r="I76" t="e">
        <v>#N/A</v>
      </c>
      <c r="J76" t="s">
        <v>1717</v>
      </c>
      <c r="K76" t="e">
        <v>#N/A</v>
      </c>
      <c r="L76" t="str">
        <f t="shared" si="1"/>
        <v>no</v>
      </c>
      <c r="M76" s="1"/>
      <c r="N76" s="1"/>
    </row>
    <row r="77" spans="8:14" ht="19" hidden="1">
      <c r="H77" t="s">
        <v>1717</v>
      </c>
      <c r="I77" t="e">
        <v>#N/A</v>
      </c>
      <c r="J77" t="s">
        <v>1717</v>
      </c>
      <c r="K77" t="e">
        <v>#N/A</v>
      </c>
      <c r="L77" t="str">
        <f t="shared" si="1"/>
        <v>no</v>
      </c>
      <c r="M77" s="1"/>
      <c r="N77" s="1"/>
    </row>
    <row r="78" spans="8:14" ht="19" hidden="1">
      <c r="H78" t="s">
        <v>1717</v>
      </c>
      <c r="I78" t="e">
        <v>#N/A</v>
      </c>
      <c r="J78" t="s">
        <v>1717</v>
      </c>
      <c r="K78" t="e">
        <v>#N/A</v>
      </c>
      <c r="L78" t="str">
        <f t="shared" si="1"/>
        <v>no</v>
      </c>
      <c r="M78" s="1"/>
      <c r="N78" s="1"/>
    </row>
    <row r="79" spans="8:14" ht="19" hidden="1">
      <c r="H79" t="s">
        <v>1717</v>
      </c>
      <c r="I79" t="e">
        <v>#N/A</v>
      </c>
      <c r="J79" t="s">
        <v>1717</v>
      </c>
      <c r="K79" t="e">
        <v>#N/A</v>
      </c>
      <c r="L79" t="str">
        <f t="shared" si="1"/>
        <v>no</v>
      </c>
      <c r="M79" s="1"/>
      <c r="N79" s="1"/>
    </row>
    <row r="80" spans="8:14" ht="19" hidden="1">
      <c r="H80" t="s">
        <v>1717</v>
      </c>
      <c r="I80" t="e">
        <v>#N/A</v>
      </c>
      <c r="J80" t="s">
        <v>1717</v>
      </c>
      <c r="K80" t="e">
        <v>#N/A</v>
      </c>
      <c r="L80" t="str">
        <f t="shared" si="1"/>
        <v>no</v>
      </c>
      <c r="M80" s="1"/>
      <c r="N80" s="1"/>
    </row>
    <row r="81" spans="8:12" hidden="1">
      <c r="H81" t="s">
        <v>1717</v>
      </c>
      <c r="I81" t="e">
        <v>#N/A</v>
      </c>
      <c r="J81" t="s">
        <v>1717</v>
      </c>
      <c r="K81" t="e">
        <v>#N/A</v>
      </c>
      <c r="L81" t="str">
        <f t="shared" si="1"/>
        <v>no</v>
      </c>
    </row>
    <row r="82" spans="8:12" hidden="1">
      <c r="H82" t="s">
        <v>1717</v>
      </c>
      <c r="I82" t="e">
        <v>#N/A</v>
      </c>
      <c r="J82" t="s">
        <v>1717</v>
      </c>
      <c r="K82" t="e">
        <v>#N/A</v>
      </c>
      <c r="L82" t="str">
        <f t="shared" si="1"/>
        <v>no</v>
      </c>
    </row>
    <row r="83" spans="8:12" hidden="1">
      <c r="H83" t="s">
        <v>1717</v>
      </c>
      <c r="I83" t="e">
        <v>#N/A</v>
      </c>
      <c r="J83" t="s">
        <v>1717</v>
      </c>
      <c r="K83" t="e">
        <v>#N/A</v>
      </c>
      <c r="L83" t="str">
        <f t="shared" si="1"/>
        <v>no</v>
      </c>
    </row>
    <row r="84" spans="8:12" hidden="1">
      <c r="H84" t="s">
        <v>1717</v>
      </c>
      <c r="I84" t="e">
        <v>#N/A</v>
      </c>
      <c r="J84" t="s">
        <v>1717</v>
      </c>
      <c r="K84" t="e">
        <v>#N/A</v>
      </c>
      <c r="L84" t="str">
        <f t="shared" si="1"/>
        <v>no</v>
      </c>
    </row>
    <row r="85" spans="8:12" hidden="1">
      <c r="H85" t="s">
        <v>1717</v>
      </c>
      <c r="I85" t="e">
        <v>#N/A</v>
      </c>
      <c r="J85" t="s">
        <v>1717</v>
      </c>
      <c r="K85" t="e">
        <v>#N/A</v>
      </c>
      <c r="L85" t="str">
        <f t="shared" si="1"/>
        <v>no</v>
      </c>
    </row>
    <row r="86" spans="8:12" hidden="1">
      <c r="H86" t="s">
        <v>1717</v>
      </c>
      <c r="I86" t="e">
        <v>#N/A</v>
      </c>
      <c r="J86" t="s">
        <v>1717</v>
      </c>
      <c r="K86" t="e">
        <v>#N/A</v>
      </c>
      <c r="L86" t="str">
        <f t="shared" si="1"/>
        <v>no</v>
      </c>
    </row>
    <row r="87" spans="8:12" hidden="1">
      <c r="H87" t="s">
        <v>1717</v>
      </c>
      <c r="I87" t="e">
        <v>#N/A</v>
      </c>
      <c r="J87" t="s">
        <v>1717</v>
      </c>
      <c r="K87" t="e">
        <v>#N/A</v>
      </c>
      <c r="L87" t="str">
        <f t="shared" si="1"/>
        <v>no</v>
      </c>
    </row>
    <row r="88" spans="8:12" hidden="1">
      <c r="H88" t="s">
        <v>1717</v>
      </c>
      <c r="I88" t="e">
        <v>#N/A</v>
      </c>
      <c r="J88" t="s">
        <v>1717</v>
      </c>
      <c r="K88" t="e">
        <v>#N/A</v>
      </c>
      <c r="L88" t="str">
        <f t="shared" si="1"/>
        <v>no</v>
      </c>
    </row>
    <row r="89" spans="8:12" hidden="1">
      <c r="H89" t="s">
        <v>1717</v>
      </c>
      <c r="I89" t="e">
        <v>#N/A</v>
      </c>
      <c r="J89" t="s">
        <v>1717</v>
      </c>
      <c r="K89" t="e">
        <v>#N/A</v>
      </c>
      <c r="L89" t="str">
        <f t="shared" si="1"/>
        <v>no</v>
      </c>
    </row>
    <row r="90" spans="8:12" hidden="1">
      <c r="H90" t="s">
        <v>1717</v>
      </c>
      <c r="I90" t="e">
        <v>#N/A</v>
      </c>
      <c r="J90" t="s">
        <v>1717</v>
      </c>
      <c r="K90" t="e">
        <v>#N/A</v>
      </c>
      <c r="L90" t="str">
        <f t="shared" si="1"/>
        <v>no</v>
      </c>
    </row>
    <row r="91" spans="8:12" hidden="1">
      <c r="H91" t="s">
        <v>1717</v>
      </c>
      <c r="I91" t="e">
        <v>#N/A</v>
      </c>
      <c r="J91" t="s">
        <v>1717</v>
      </c>
      <c r="K91" t="e">
        <v>#N/A</v>
      </c>
      <c r="L91" t="str">
        <f t="shared" si="1"/>
        <v>no</v>
      </c>
    </row>
    <row r="92" spans="8:12" hidden="1">
      <c r="H92" t="s">
        <v>1717</v>
      </c>
      <c r="I92" t="e">
        <v>#N/A</v>
      </c>
      <c r="J92" t="s">
        <v>1717</v>
      </c>
      <c r="K92" t="e">
        <v>#N/A</v>
      </c>
      <c r="L92" t="str">
        <f t="shared" si="1"/>
        <v>no</v>
      </c>
    </row>
    <row r="93" spans="8:12" hidden="1">
      <c r="H93" t="s">
        <v>1717</v>
      </c>
      <c r="I93" t="e">
        <v>#N/A</v>
      </c>
      <c r="J93" t="s">
        <v>1717</v>
      </c>
      <c r="K93" t="e">
        <v>#N/A</v>
      </c>
      <c r="L93" t="str">
        <f t="shared" si="1"/>
        <v>no</v>
      </c>
    </row>
    <row r="94" spans="8:12" hidden="1">
      <c r="H94" t="s">
        <v>1717</v>
      </c>
      <c r="I94" t="e">
        <v>#N/A</v>
      </c>
      <c r="J94" t="s">
        <v>1717</v>
      </c>
      <c r="K94" t="e">
        <v>#N/A</v>
      </c>
      <c r="L94" t="str">
        <f t="shared" si="1"/>
        <v>no</v>
      </c>
    </row>
    <row r="95" spans="8:12" hidden="1">
      <c r="H95" t="s">
        <v>1717</v>
      </c>
      <c r="I95" t="e">
        <v>#N/A</v>
      </c>
      <c r="J95" t="s">
        <v>1717</v>
      </c>
      <c r="K95" t="e">
        <v>#N/A</v>
      </c>
      <c r="L95" t="str">
        <f t="shared" si="1"/>
        <v>no</v>
      </c>
    </row>
    <row r="96" spans="8:12" hidden="1">
      <c r="H96" t="s">
        <v>1717</v>
      </c>
      <c r="I96" t="e">
        <v>#N/A</v>
      </c>
      <c r="J96" t="s">
        <v>1717</v>
      </c>
      <c r="K96" t="e">
        <v>#N/A</v>
      </c>
      <c r="L96" t="str">
        <f t="shared" si="1"/>
        <v>no</v>
      </c>
    </row>
    <row r="97" spans="8:12" hidden="1">
      <c r="H97" t="s">
        <v>1717</v>
      </c>
      <c r="I97" t="e">
        <v>#N/A</v>
      </c>
      <c r="J97" t="s">
        <v>1717</v>
      </c>
      <c r="K97" t="e">
        <v>#N/A</v>
      </c>
      <c r="L97" t="str">
        <f t="shared" si="1"/>
        <v>no</v>
      </c>
    </row>
    <row r="98" spans="8:12" hidden="1">
      <c r="H98" t="s">
        <v>1717</v>
      </c>
      <c r="I98" t="e">
        <v>#N/A</v>
      </c>
      <c r="J98" t="s">
        <v>1717</v>
      </c>
      <c r="K98" t="e">
        <v>#N/A</v>
      </c>
      <c r="L98" t="str">
        <f t="shared" si="1"/>
        <v>no</v>
      </c>
    </row>
    <row r="99" spans="8:12" hidden="1">
      <c r="H99" t="s">
        <v>1717</v>
      </c>
      <c r="I99" t="e">
        <v>#N/A</v>
      </c>
      <c r="J99" t="s">
        <v>1717</v>
      </c>
      <c r="K99" t="e">
        <v>#N/A</v>
      </c>
      <c r="L99" t="str">
        <f t="shared" si="1"/>
        <v>no</v>
      </c>
    </row>
    <row r="100" spans="8:12" hidden="1">
      <c r="H100" t="s">
        <v>1717</v>
      </c>
      <c r="I100" t="e">
        <v>#N/A</v>
      </c>
      <c r="J100" t="s">
        <v>1717</v>
      </c>
      <c r="K100" t="e">
        <v>#N/A</v>
      </c>
      <c r="L100" t="str">
        <f t="shared" si="1"/>
        <v>no</v>
      </c>
    </row>
    <row r="101" spans="8:12" hidden="1">
      <c r="H101" t="s">
        <v>1717</v>
      </c>
      <c r="I101" t="e">
        <v>#N/A</v>
      </c>
      <c r="J101" t="s">
        <v>1717</v>
      </c>
      <c r="K101" t="e">
        <v>#N/A</v>
      </c>
      <c r="L101" t="str">
        <f t="shared" si="1"/>
        <v>no</v>
      </c>
    </row>
    <row r="102" spans="8:12" hidden="1">
      <c r="H102" t="s">
        <v>1717</v>
      </c>
      <c r="I102" t="e">
        <v>#N/A</v>
      </c>
      <c r="J102" t="s">
        <v>1717</v>
      </c>
      <c r="K102" t="e">
        <v>#N/A</v>
      </c>
      <c r="L102" t="str">
        <f t="shared" si="1"/>
        <v>no</v>
      </c>
    </row>
    <row r="103" spans="8:12" hidden="1">
      <c r="H103" t="s">
        <v>1717</v>
      </c>
      <c r="I103" t="e">
        <v>#N/A</v>
      </c>
      <c r="J103" t="s">
        <v>1717</v>
      </c>
      <c r="K103" t="e">
        <v>#N/A</v>
      </c>
      <c r="L103" t="str">
        <f t="shared" si="1"/>
        <v>no</v>
      </c>
    </row>
    <row r="104" spans="8:12" hidden="1">
      <c r="H104" t="s">
        <v>1717</v>
      </c>
      <c r="I104" t="e">
        <v>#N/A</v>
      </c>
      <c r="J104" t="s">
        <v>1717</v>
      </c>
      <c r="K104" t="e">
        <v>#N/A</v>
      </c>
      <c r="L104" t="str">
        <f t="shared" si="1"/>
        <v>no</v>
      </c>
    </row>
    <row r="105" spans="8:12" hidden="1">
      <c r="H105" t="s">
        <v>1717</v>
      </c>
      <c r="I105" t="e">
        <v>#N/A</v>
      </c>
      <c r="J105" t="s">
        <v>1717</v>
      </c>
      <c r="K105" t="e">
        <v>#N/A</v>
      </c>
      <c r="L105" t="str">
        <f t="shared" si="1"/>
        <v>no</v>
      </c>
    </row>
    <row r="106" spans="8:12" hidden="1">
      <c r="H106" t="s">
        <v>1717</v>
      </c>
      <c r="I106" t="e">
        <v>#N/A</v>
      </c>
      <c r="J106" t="s">
        <v>1717</v>
      </c>
      <c r="K106" t="e">
        <v>#N/A</v>
      </c>
      <c r="L106" t="str">
        <f t="shared" si="1"/>
        <v>no</v>
      </c>
    </row>
    <row r="107" spans="8:12" hidden="1">
      <c r="H107" t="s">
        <v>1717</v>
      </c>
      <c r="I107" t="e">
        <v>#N/A</v>
      </c>
      <c r="J107" t="s">
        <v>1717</v>
      </c>
      <c r="K107" t="e">
        <v>#N/A</v>
      </c>
      <c r="L107" t="str">
        <f t="shared" si="1"/>
        <v>no</v>
      </c>
    </row>
    <row r="108" spans="8:12" hidden="1">
      <c r="H108" t="s">
        <v>1717</v>
      </c>
      <c r="I108" t="e">
        <v>#N/A</v>
      </c>
      <c r="J108" t="s">
        <v>1717</v>
      </c>
      <c r="K108" t="e">
        <v>#N/A</v>
      </c>
      <c r="L108" t="str">
        <f t="shared" si="1"/>
        <v>no</v>
      </c>
    </row>
    <row r="109" spans="8:12" hidden="1">
      <c r="H109" t="s">
        <v>1717</v>
      </c>
      <c r="I109" t="e">
        <v>#N/A</v>
      </c>
      <c r="J109" t="s">
        <v>1717</v>
      </c>
      <c r="K109" t="e">
        <v>#N/A</v>
      </c>
      <c r="L109" t="str">
        <f t="shared" si="1"/>
        <v>no</v>
      </c>
    </row>
    <row r="110" spans="8:12" hidden="1">
      <c r="H110" t="s">
        <v>1717</v>
      </c>
      <c r="I110" t="e">
        <v>#N/A</v>
      </c>
      <c r="J110" t="s">
        <v>1717</v>
      </c>
      <c r="K110" t="e">
        <v>#N/A</v>
      </c>
      <c r="L110" t="str">
        <f t="shared" si="1"/>
        <v>no</v>
      </c>
    </row>
    <row r="111" spans="8:12" hidden="1">
      <c r="H111" t="s">
        <v>1717</v>
      </c>
      <c r="I111" t="e">
        <v>#N/A</v>
      </c>
      <c r="J111" t="s">
        <v>1717</v>
      </c>
      <c r="K111" t="e">
        <v>#N/A</v>
      </c>
      <c r="L111" t="str">
        <f t="shared" si="1"/>
        <v>no</v>
      </c>
    </row>
    <row r="112" spans="8:12" hidden="1">
      <c r="H112" t="s">
        <v>1717</v>
      </c>
      <c r="I112" t="e">
        <v>#N/A</v>
      </c>
      <c r="J112" t="s">
        <v>1717</v>
      </c>
      <c r="K112" t="e">
        <v>#N/A</v>
      </c>
      <c r="L112" t="str">
        <f t="shared" si="1"/>
        <v>no</v>
      </c>
    </row>
    <row r="113" spans="8:12" hidden="1">
      <c r="H113" t="s">
        <v>1717</v>
      </c>
      <c r="I113" t="e">
        <v>#N/A</v>
      </c>
      <c r="J113" t="s">
        <v>1717</v>
      </c>
      <c r="K113" t="e">
        <v>#N/A</v>
      </c>
      <c r="L113" t="str">
        <f t="shared" si="1"/>
        <v>no</v>
      </c>
    </row>
    <row r="114" spans="8:12" hidden="1">
      <c r="H114" t="s">
        <v>1717</v>
      </c>
      <c r="I114" t="e">
        <v>#N/A</v>
      </c>
      <c r="J114" t="s">
        <v>1717</v>
      </c>
      <c r="K114" t="e">
        <v>#N/A</v>
      </c>
      <c r="L114" t="str">
        <f t="shared" si="1"/>
        <v>no</v>
      </c>
    </row>
    <row r="115" spans="8:12" hidden="1">
      <c r="H115" t="s">
        <v>1717</v>
      </c>
      <c r="I115" t="e">
        <v>#N/A</v>
      </c>
      <c r="J115" t="s">
        <v>1717</v>
      </c>
      <c r="K115" t="e">
        <v>#N/A</v>
      </c>
      <c r="L115" t="str">
        <f t="shared" si="1"/>
        <v>no</v>
      </c>
    </row>
    <row r="116" spans="8:12" hidden="1">
      <c r="H116" t="s">
        <v>1717</v>
      </c>
      <c r="I116" t="e">
        <v>#N/A</v>
      </c>
      <c r="J116" t="s">
        <v>1717</v>
      </c>
      <c r="K116" t="e">
        <v>#N/A</v>
      </c>
      <c r="L116" t="str">
        <f t="shared" si="1"/>
        <v>no</v>
      </c>
    </row>
    <row r="117" spans="8:12" hidden="1">
      <c r="H117" t="s">
        <v>1717</v>
      </c>
      <c r="I117" t="e">
        <v>#N/A</v>
      </c>
      <c r="J117" t="s">
        <v>1717</v>
      </c>
      <c r="K117" t="e">
        <v>#N/A</v>
      </c>
      <c r="L117" t="str">
        <f t="shared" si="1"/>
        <v>no</v>
      </c>
    </row>
    <row r="118" spans="8:12" hidden="1">
      <c r="H118" t="s">
        <v>1717</v>
      </c>
      <c r="I118" t="e">
        <v>#N/A</v>
      </c>
      <c r="J118" t="s">
        <v>1717</v>
      </c>
      <c r="K118" t="e">
        <v>#N/A</v>
      </c>
      <c r="L118" t="str">
        <f t="shared" si="1"/>
        <v>no</v>
      </c>
    </row>
    <row r="119" spans="8:12" hidden="1">
      <c r="H119" t="s">
        <v>1717</v>
      </c>
      <c r="I119" t="e">
        <v>#N/A</v>
      </c>
      <c r="J119" t="s">
        <v>1717</v>
      </c>
      <c r="K119" t="e">
        <v>#N/A</v>
      </c>
      <c r="L119" t="str">
        <f t="shared" si="1"/>
        <v>no</v>
      </c>
    </row>
    <row r="120" spans="8:12" hidden="1">
      <c r="H120" t="s">
        <v>1717</v>
      </c>
      <c r="I120" t="e">
        <v>#N/A</v>
      </c>
      <c r="J120" t="s">
        <v>1717</v>
      </c>
      <c r="K120" t="e">
        <v>#N/A</v>
      </c>
      <c r="L120" t="str">
        <f t="shared" si="1"/>
        <v>no</v>
      </c>
    </row>
    <row r="121" spans="8:12" hidden="1">
      <c r="H121" t="s">
        <v>1717</v>
      </c>
      <c r="I121" t="e">
        <v>#N/A</v>
      </c>
      <c r="J121" t="s">
        <v>1717</v>
      </c>
      <c r="K121" t="e">
        <v>#N/A</v>
      </c>
      <c r="L121" t="str">
        <f t="shared" si="1"/>
        <v>no</v>
      </c>
    </row>
    <row r="122" spans="8:12" hidden="1">
      <c r="H122" t="s">
        <v>1717</v>
      </c>
      <c r="I122" t="e">
        <v>#N/A</v>
      </c>
      <c r="J122" t="s">
        <v>1717</v>
      </c>
      <c r="K122" t="e">
        <v>#N/A</v>
      </c>
      <c r="L122" t="str">
        <f t="shared" si="1"/>
        <v>no</v>
      </c>
    </row>
    <row r="123" spans="8:12" hidden="1">
      <c r="H123" t="s">
        <v>1717</v>
      </c>
      <c r="I123" t="e">
        <v>#N/A</v>
      </c>
      <c r="J123" t="s">
        <v>1717</v>
      </c>
      <c r="K123" t="e">
        <v>#N/A</v>
      </c>
      <c r="L123" t="str">
        <f t="shared" si="1"/>
        <v>no</v>
      </c>
    </row>
    <row r="124" spans="8:12" hidden="1">
      <c r="H124" t="s">
        <v>1717</v>
      </c>
      <c r="I124" t="e">
        <v>#N/A</v>
      </c>
      <c r="J124" t="s">
        <v>1717</v>
      </c>
      <c r="K124" t="e">
        <v>#N/A</v>
      </c>
      <c r="L124" t="str">
        <f t="shared" si="1"/>
        <v>no</v>
      </c>
    </row>
    <row r="125" spans="8:12" hidden="1">
      <c r="H125" t="s">
        <v>1717</v>
      </c>
      <c r="I125" t="e">
        <v>#N/A</v>
      </c>
      <c r="J125" t="s">
        <v>1717</v>
      </c>
      <c r="K125" t="e">
        <v>#N/A</v>
      </c>
      <c r="L125" t="str">
        <f t="shared" si="1"/>
        <v>no</v>
      </c>
    </row>
    <row r="126" spans="8:12" hidden="1">
      <c r="H126" t="s">
        <v>1717</v>
      </c>
      <c r="I126" t="e">
        <v>#N/A</v>
      </c>
      <c r="J126" t="s">
        <v>1717</v>
      </c>
      <c r="K126" t="e">
        <v>#N/A</v>
      </c>
      <c r="L126" t="str">
        <f t="shared" si="1"/>
        <v>no</v>
      </c>
    </row>
    <row r="127" spans="8:12" hidden="1">
      <c r="H127" t="s">
        <v>1717</v>
      </c>
      <c r="I127" t="e">
        <v>#N/A</v>
      </c>
      <c r="J127" t="s">
        <v>1717</v>
      </c>
      <c r="K127" t="e">
        <v>#N/A</v>
      </c>
      <c r="L127" t="str">
        <f t="shared" si="1"/>
        <v>no</v>
      </c>
    </row>
    <row r="128" spans="8:12" hidden="1">
      <c r="H128" t="s">
        <v>1717</v>
      </c>
      <c r="I128" t="e">
        <v>#N/A</v>
      </c>
      <c r="J128" t="s">
        <v>1717</v>
      </c>
      <c r="K128" t="e">
        <v>#N/A</v>
      </c>
      <c r="L128" t="str">
        <f t="shared" si="1"/>
        <v>no</v>
      </c>
    </row>
    <row r="129" spans="8:12" hidden="1">
      <c r="H129" t="s">
        <v>1717</v>
      </c>
      <c r="I129" t="e">
        <v>#N/A</v>
      </c>
      <c r="J129" t="s">
        <v>1717</v>
      </c>
      <c r="K129" t="e">
        <v>#N/A</v>
      </c>
      <c r="L129" t="str">
        <f t="shared" si="1"/>
        <v>no</v>
      </c>
    </row>
    <row r="130" spans="8:12" hidden="1">
      <c r="H130" t="s">
        <v>1717</v>
      </c>
      <c r="I130" t="e">
        <v>#N/A</v>
      </c>
      <c r="J130" t="s">
        <v>1717</v>
      </c>
      <c r="K130" t="e">
        <v>#N/A</v>
      </c>
      <c r="L130" t="str">
        <f t="shared" si="1"/>
        <v>no</v>
      </c>
    </row>
    <row r="131" spans="8:12" hidden="1">
      <c r="H131" t="s">
        <v>1717</v>
      </c>
      <c r="I131" t="e">
        <v>#N/A</v>
      </c>
      <c r="J131" t="s">
        <v>1717</v>
      </c>
      <c r="K131" t="e">
        <v>#N/A</v>
      </c>
      <c r="L131" t="str">
        <f t="shared" ref="L131:L142" si="2">IF(COUNTIF(M:M, B131)&gt;0,$M$1,IF(COUNTIF(N:N, B131)&gt;0,$N$1,"no"))</f>
        <v>no</v>
      </c>
    </row>
    <row r="132" spans="8:12" hidden="1">
      <c r="H132" t="s">
        <v>1717</v>
      </c>
      <c r="I132" t="e">
        <v>#N/A</v>
      </c>
      <c r="J132" t="s">
        <v>1717</v>
      </c>
      <c r="K132" t="e">
        <v>#N/A</v>
      </c>
      <c r="L132" t="str">
        <f t="shared" si="2"/>
        <v>no</v>
      </c>
    </row>
    <row r="133" spans="8:12" hidden="1">
      <c r="H133" t="s">
        <v>1717</v>
      </c>
      <c r="I133" t="e">
        <v>#N/A</v>
      </c>
      <c r="J133" t="s">
        <v>1717</v>
      </c>
      <c r="K133" t="e">
        <v>#N/A</v>
      </c>
      <c r="L133" t="str">
        <f t="shared" si="2"/>
        <v>no</v>
      </c>
    </row>
    <row r="134" spans="8:12" hidden="1">
      <c r="H134" t="s">
        <v>1717</v>
      </c>
      <c r="I134" t="e">
        <v>#N/A</v>
      </c>
      <c r="J134" t="s">
        <v>1717</v>
      </c>
      <c r="K134" t="e">
        <v>#N/A</v>
      </c>
      <c r="L134" t="str">
        <f t="shared" si="2"/>
        <v>no</v>
      </c>
    </row>
    <row r="135" spans="8:12" hidden="1">
      <c r="H135" t="s">
        <v>1717</v>
      </c>
      <c r="I135" t="e">
        <v>#N/A</v>
      </c>
      <c r="J135" t="s">
        <v>1717</v>
      </c>
      <c r="K135" t="e">
        <v>#N/A</v>
      </c>
      <c r="L135" t="str">
        <f t="shared" si="2"/>
        <v>no</v>
      </c>
    </row>
    <row r="136" spans="8:12" hidden="1">
      <c r="H136" t="s">
        <v>1717</v>
      </c>
      <c r="I136" t="e">
        <v>#N/A</v>
      </c>
      <c r="J136" t="s">
        <v>1717</v>
      </c>
      <c r="K136" t="e">
        <v>#N/A</v>
      </c>
      <c r="L136" t="str">
        <f t="shared" si="2"/>
        <v>no</v>
      </c>
    </row>
    <row r="137" spans="8:12" hidden="1">
      <c r="H137" t="s">
        <v>1717</v>
      </c>
      <c r="I137" t="e">
        <v>#N/A</v>
      </c>
      <c r="J137" t="s">
        <v>1717</v>
      </c>
      <c r="K137" t="e">
        <v>#N/A</v>
      </c>
      <c r="L137" t="str">
        <f t="shared" si="2"/>
        <v>no</v>
      </c>
    </row>
    <row r="138" spans="8:12" hidden="1">
      <c r="H138" t="s">
        <v>1717</v>
      </c>
      <c r="I138" t="e">
        <v>#N/A</v>
      </c>
      <c r="J138" t="s">
        <v>1717</v>
      </c>
      <c r="K138" t="e">
        <v>#N/A</v>
      </c>
      <c r="L138" t="str">
        <f t="shared" si="2"/>
        <v>no</v>
      </c>
    </row>
    <row r="139" spans="8:12" hidden="1">
      <c r="H139" t="s">
        <v>1717</v>
      </c>
      <c r="I139" t="e">
        <v>#N/A</v>
      </c>
      <c r="J139" t="s">
        <v>1717</v>
      </c>
      <c r="K139" t="e">
        <v>#N/A</v>
      </c>
      <c r="L139" t="str">
        <f t="shared" si="2"/>
        <v>no</v>
      </c>
    </row>
    <row r="140" spans="8:12" hidden="1">
      <c r="H140" t="s">
        <v>1717</v>
      </c>
      <c r="I140" t="e">
        <v>#N/A</v>
      </c>
      <c r="J140" t="s">
        <v>1717</v>
      </c>
      <c r="K140" t="e">
        <v>#N/A</v>
      </c>
      <c r="L140" t="str">
        <f t="shared" si="2"/>
        <v>no</v>
      </c>
    </row>
    <row r="141" spans="8:12" hidden="1">
      <c r="H141" t="s">
        <v>1717</v>
      </c>
      <c r="I141" t="e">
        <v>#N/A</v>
      </c>
      <c r="J141" t="s">
        <v>1717</v>
      </c>
      <c r="K141" t="e">
        <v>#N/A</v>
      </c>
      <c r="L141" t="str">
        <f t="shared" si="2"/>
        <v>no</v>
      </c>
    </row>
    <row r="142" spans="8:12" hidden="1">
      <c r="H142" t="s">
        <v>1717</v>
      </c>
      <c r="I142" t="e">
        <v>#N/A</v>
      </c>
      <c r="J142" t="s">
        <v>1717</v>
      </c>
      <c r="K142" t="e">
        <v>#N/A</v>
      </c>
      <c r="L142" t="str">
        <f t="shared" si="2"/>
        <v>no</v>
      </c>
    </row>
  </sheetData>
  <autoFilter ref="A1:N142" xr:uid="{5F6D417E-B802-954C-8C30-000B5893A3FB}">
    <filterColumn colId="4">
      <filters>
        <filter val="no"/>
      </filters>
    </filterColumn>
    <filterColumn colId="11">
      <filters>
        <filter val="segmented videos list"/>
      </filters>
    </filterColumn>
  </autoFilter>
  <phoneticPr fontId="1" type="noConversion"/>
  <conditionalFormatting sqref="E1:E1048576">
    <cfRule type="cellIs" dxfId="137" priority="4" operator="equal">
      <formula>"no"</formula>
    </cfRule>
    <cfRule type="cellIs" dxfId="136" priority="5" operator="equal">
      <formula>"yes"</formula>
    </cfRule>
  </conditionalFormatting>
  <conditionalFormatting sqref="F2:F142">
    <cfRule type="expression" dxfId="135" priority="3">
      <formula>F2&lt;&gt;E2</formula>
    </cfRule>
  </conditionalFormatting>
  <conditionalFormatting sqref="H2:H142">
    <cfRule type="expression" dxfId="134" priority="2" stopIfTrue="1">
      <formula>H2&lt;&gt;E2</formula>
    </cfRule>
  </conditionalFormatting>
  <conditionalFormatting sqref="J2:J142">
    <cfRule type="expression" dxfId="133" priority="1">
      <formula>J2&lt;&gt;E2</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D64FD-EE22-314F-AA17-26BA3A34BF23}">
  <sheetPr filterMode="1"/>
  <dimension ref="A1:N142"/>
  <sheetViews>
    <sheetView workbookViewId="0">
      <selection activeCell="B2" sqref="B2:B21"/>
    </sheetView>
  </sheetViews>
  <sheetFormatPr baseColWidth="10" defaultRowHeight="15"/>
  <cols>
    <col min="3" max="3" width="4.83203125" customWidth="1"/>
    <col min="5" max="5" width="11.33203125" customWidth="1"/>
    <col min="12" max="12" width="14.33203125" customWidth="1"/>
  </cols>
  <sheetData>
    <row r="1" spans="1:14">
      <c r="A1" t="s">
        <v>88</v>
      </c>
      <c r="B1" t="s">
        <v>0</v>
      </c>
      <c r="C1" s="2" t="s">
        <v>202</v>
      </c>
      <c r="D1" t="s">
        <v>6</v>
      </c>
      <c r="E1" t="s">
        <v>1</v>
      </c>
      <c r="H1" t="s">
        <v>2866</v>
      </c>
      <c r="I1" t="s">
        <v>2866</v>
      </c>
      <c r="J1" t="s">
        <v>2841</v>
      </c>
      <c r="K1" t="s">
        <v>2841</v>
      </c>
      <c r="L1" t="s">
        <v>1067</v>
      </c>
      <c r="M1" t="s">
        <v>1192</v>
      </c>
      <c r="N1" t="s">
        <v>1105</v>
      </c>
    </row>
    <row r="2" spans="1:14" ht="19">
      <c r="A2">
        <v>1</v>
      </c>
      <c r="B2" s="1" t="s">
        <v>275</v>
      </c>
      <c r="C2" t="s">
        <v>271</v>
      </c>
      <c r="E2" t="s">
        <v>390</v>
      </c>
      <c r="H2" t="s">
        <v>201</v>
      </c>
      <c r="I2" t="s">
        <v>2880</v>
      </c>
      <c r="J2" t="s">
        <v>192</v>
      </c>
      <c r="K2" t="s">
        <v>2490</v>
      </c>
      <c r="L2" t="str">
        <f>IF(COUNTIF(M:M, B2)&gt;0,$M$1,IF(COUNTIF(N:N, B2)&gt;0,$N$1,"no"))</f>
        <v>segmented videos list</v>
      </c>
      <c r="M2" s="1"/>
      <c r="N2" s="1" t="s">
        <v>285</v>
      </c>
    </row>
    <row r="3" spans="1:14" ht="19">
      <c r="A3">
        <v>2</v>
      </c>
      <c r="B3" s="1" t="s">
        <v>276</v>
      </c>
      <c r="C3" t="s">
        <v>269</v>
      </c>
      <c r="E3" t="s">
        <v>390</v>
      </c>
      <c r="H3" t="s">
        <v>192</v>
      </c>
      <c r="I3" t="s">
        <v>2881</v>
      </c>
      <c r="J3" t="s">
        <v>192</v>
      </c>
      <c r="K3" t="s">
        <v>2491</v>
      </c>
      <c r="L3" t="str">
        <f t="shared" ref="L3:L66" si="0">IF(COUNTIF(M:M, B3)&gt;0,$M$1,IF(COUNTIF(N:N, B3)&gt;0,$N$1,"no"))</f>
        <v>segmented videos list</v>
      </c>
      <c r="M3" s="1"/>
      <c r="N3" s="1" t="s">
        <v>294</v>
      </c>
    </row>
    <row r="4" spans="1:14" ht="19">
      <c r="A4">
        <v>3</v>
      </c>
      <c r="B4" s="1" t="s">
        <v>277</v>
      </c>
      <c r="C4" t="s">
        <v>267</v>
      </c>
      <c r="E4" t="s">
        <v>390</v>
      </c>
      <c r="H4" t="s">
        <v>201</v>
      </c>
      <c r="I4" t="s">
        <v>2874</v>
      </c>
      <c r="J4" t="s">
        <v>192</v>
      </c>
      <c r="K4" t="s">
        <v>2483</v>
      </c>
      <c r="L4" t="str">
        <f t="shared" si="0"/>
        <v>segmented videos list</v>
      </c>
      <c r="M4" s="1"/>
      <c r="N4" s="1" t="s">
        <v>280</v>
      </c>
    </row>
    <row r="5" spans="1:14" ht="19">
      <c r="A5">
        <v>4</v>
      </c>
      <c r="B5" s="1" t="s">
        <v>278</v>
      </c>
      <c r="C5" t="s">
        <v>271</v>
      </c>
      <c r="E5" t="s">
        <v>390</v>
      </c>
      <c r="H5" t="s">
        <v>201</v>
      </c>
      <c r="I5" t="s">
        <v>2875</v>
      </c>
      <c r="J5" t="s">
        <v>201</v>
      </c>
      <c r="K5" t="s">
        <v>2145</v>
      </c>
      <c r="L5" t="str">
        <f t="shared" si="0"/>
        <v>segmented videos list</v>
      </c>
      <c r="M5" s="1"/>
      <c r="N5" s="1" t="s">
        <v>286</v>
      </c>
    </row>
    <row r="6" spans="1:14" ht="19">
      <c r="A6">
        <v>5</v>
      </c>
      <c r="B6" s="1" t="s">
        <v>279</v>
      </c>
      <c r="C6" t="s">
        <v>271</v>
      </c>
      <c r="E6" t="s">
        <v>390</v>
      </c>
      <c r="H6" t="s">
        <v>192</v>
      </c>
      <c r="I6" t="s">
        <v>2882</v>
      </c>
      <c r="J6" t="s">
        <v>201</v>
      </c>
      <c r="K6" t="s">
        <v>2145</v>
      </c>
      <c r="L6" t="str">
        <f t="shared" si="0"/>
        <v>segmented videos list</v>
      </c>
      <c r="M6" s="1"/>
      <c r="N6" s="1" t="s">
        <v>275</v>
      </c>
    </row>
    <row r="7" spans="1:14" ht="19" hidden="1">
      <c r="A7">
        <v>6</v>
      </c>
      <c r="B7" s="1" t="s">
        <v>280</v>
      </c>
      <c r="C7" t="s">
        <v>297</v>
      </c>
      <c r="E7" t="s">
        <v>391</v>
      </c>
      <c r="H7" t="s">
        <v>192</v>
      </c>
      <c r="I7" t="s">
        <v>2879</v>
      </c>
      <c r="J7" t="s">
        <v>192</v>
      </c>
      <c r="K7" t="s">
        <v>2489</v>
      </c>
      <c r="L7" t="str">
        <f t="shared" si="0"/>
        <v>segmented videos list</v>
      </c>
      <c r="M7" s="1"/>
      <c r="N7" s="1" t="s">
        <v>281</v>
      </c>
    </row>
    <row r="8" spans="1:14" ht="19" hidden="1">
      <c r="A8">
        <v>7</v>
      </c>
      <c r="B8" s="1" t="s">
        <v>281</v>
      </c>
      <c r="C8" t="s">
        <v>298</v>
      </c>
      <c r="E8" t="s">
        <v>391</v>
      </c>
      <c r="H8" t="s">
        <v>192</v>
      </c>
      <c r="I8" t="s">
        <v>2878</v>
      </c>
      <c r="J8" t="s">
        <v>192</v>
      </c>
      <c r="K8" t="s">
        <v>2486</v>
      </c>
      <c r="L8" t="str">
        <f t="shared" si="0"/>
        <v>segmented videos list</v>
      </c>
      <c r="M8" s="1"/>
      <c r="N8" s="1" t="s">
        <v>290</v>
      </c>
    </row>
    <row r="9" spans="1:14" ht="19" hidden="1">
      <c r="A9">
        <v>8</v>
      </c>
      <c r="B9" s="1" t="s">
        <v>282</v>
      </c>
      <c r="C9" t="s">
        <v>298</v>
      </c>
      <c r="E9" t="s">
        <v>391</v>
      </c>
      <c r="H9" t="s">
        <v>192</v>
      </c>
      <c r="I9" t="s">
        <v>2872</v>
      </c>
      <c r="J9" t="s">
        <v>192</v>
      </c>
      <c r="K9" t="s">
        <v>2482</v>
      </c>
      <c r="L9" t="str">
        <f t="shared" si="0"/>
        <v>segmented videos list</v>
      </c>
      <c r="M9" s="1"/>
      <c r="N9" s="1" t="s">
        <v>276</v>
      </c>
    </row>
    <row r="10" spans="1:14" ht="19">
      <c r="A10">
        <v>9</v>
      </c>
      <c r="B10" s="1" t="s">
        <v>283</v>
      </c>
      <c r="C10" t="s">
        <v>274</v>
      </c>
      <c r="E10" t="s">
        <v>390</v>
      </c>
      <c r="H10" t="s">
        <v>192</v>
      </c>
      <c r="I10" t="s">
        <v>2870</v>
      </c>
      <c r="J10" t="s">
        <v>192</v>
      </c>
      <c r="K10" t="s">
        <v>2480</v>
      </c>
      <c r="L10" t="str">
        <f t="shared" si="0"/>
        <v>segmented videos list</v>
      </c>
      <c r="M10" s="1"/>
      <c r="N10" s="1" t="s">
        <v>282</v>
      </c>
    </row>
    <row r="11" spans="1:14" ht="19">
      <c r="A11">
        <v>10</v>
      </c>
      <c r="B11" s="1" t="s">
        <v>284</v>
      </c>
      <c r="C11" t="s">
        <v>271</v>
      </c>
      <c r="E11" t="s">
        <v>390</v>
      </c>
      <c r="H11" t="s">
        <v>1717</v>
      </c>
      <c r="I11" t="e">
        <v>#N/A</v>
      </c>
      <c r="J11" t="s">
        <v>1717</v>
      </c>
      <c r="K11" t="e">
        <v>#N/A</v>
      </c>
      <c r="L11" t="str">
        <f t="shared" si="0"/>
        <v>no</v>
      </c>
      <c r="M11" s="1"/>
      <c r="N11" s="1" t="s">
        <v>291</v>
      </c>
    </row>
    <row r="12" spans="1:14" ht="19">
      <c r="A12">
        <v>11</v>
      </c>
      <c r="B12" s="1" t="s">
        <v>285</v>
      </c>
      <c r="C12" t="s">
        <v>274</v>
      </c>
      <c r="E12" t="s">
        <v>390</v>
      </c>
      <c r="H12" t="s">
        <v>192</v>
      </c>
      <c r="I12" t="s">
        <v>2883</v>
      </c>
      <c r="J12" t="s">
        <v>192</v>
      </c>
      <c r="K12" t="s">
        <v>2487</v>
      </c>
      <c r="L12" t="str">
        <f t="shared" si="0"/>
        <v>segmented videos list</v>
      </c>
      <c r="M12" s="1"/>
      <c r="N12" s="1" t="s">
        <v>277</v>
      </c>
    </row>
    <row r="13" spans="1:14" ht="19">
      <c r="A13">
        <v>12</v>
      </c>
      <c r="B13" s="1" t="s">
        <v>286</v>
      </c>
      <c r="C13" t="s">
        <v>271</v>
      </c>
      <c r="E13" t="s">
        <v>390</v>
      </c>
      <c r="H13" t="s">
        <v>192</v>
      </c>
      <c r="I13" t="s">
        <v>2871</v>
      </c>
      <c r="J13" t="s">
        <v>192</v>
      </c>
      <c r="K13" t="s">
        <v>2481</v>
      </c>
      <c r="L13" t="str">
        <f t="shared" si="0"/>
        <v>segmented videos list</v>
      </c>
      <c r="M13" s="1"/>
      <c r="N13" s="1" t="s">
        <v>283</v>
      </c>
    </row>
    <row r="14" spans="1:14" ht="19" hidden="1">
      <c r="A14">
        <v>13</v>
      </c>
      <c r="B14" s="1" t="s">
        <v>287</v>
      </c>
      <c r="C14" t="s">
        <v>298</v>
      </c>
      <c r="E14" t="s">
        <v>391</v>
      </c>
      <c r="H14" t="s">
        <v>1717</v>
      </c>
      <c r="I14" t="e">
        <v>#N/A</v>
      </c>
      <c r="J14" t="s">
        <v>1717</v>
      </c>
      <c r="K14" t="e">
        <v>#N/A</v>
      </c>
      <c r="L14" t="str">
        <f t="shared" si="0"/>
        <v>no</v>
      </c>
      <c r="M14" s="1"/>
      <c r="N14" s="1" t="s">
        <v>292</v>
      </c>
    </row>
    <row r="15" spans="1:14" ht="19">
      <c r="A15">
        <v>14</v>
      </c>
      <c r="B15" s="1" t="s">
        <v>288</v>
      </c>
      <c r="C15" t="s">
        <v>274</v>
      </c>
      <c r="E15" t="s">
        <v>390</v>
      </c>
      <c r="H15" t="s">
        <v>1717</v>
      </c>
      <c r="I15" t="e">
        <v>#N/A</v>
      </c>
      <c r="J15" t="s">
        <v>1717</v>
      </c>
      <c r="K15" t="e">
        <v>#N/A</v>
      </c>
      <c r="L15" t="str">
        <f t="shared" si="0"/>
        <v>no</v>
      </c>
      <c r="M15" s="1"/>
      <c r="N15" s="1" t="s">
        <v>278</v>
      </c>
    </row>
    <row r="16" spans="1:14" ht="19" hidden="1">
      <c r="A16">
        <v>15</v>
      </c>
      <c r="B16" s="1" t="s">
        <v>289</v>
      </c>
      <c r="C16" t="s">
        <v>295</v>
      </c>
      <c r="E16" t="s">
        <v>391</v>
      </c>
      <c r="H16" t="s">
        <v>1717</v>
      </c>
      <c r="I16" t="e">
        <v>#N/A</v>
      </c>
      <c r="J16" t="s">
        <v>1717</v>
      </c>
      <c r="K16" t="e">
        <v>#N/A</v>
      </c>
      <c r="L16" t="str">
        <f t="shared" si="0"/>
        <v>no</v>
      </c>
      <c r="M16" s="1"/>
      <c r="N16" s="1" t="s">
        <v>293</v>
      </c>
    </row>
    <row r="17" spans="1:14" ht="19">
      <c r="A17">
        <v>16</v>
      </c>
      <c r="B17" s="1" t="s">
        <v>290</v>
      </c>
      <c r="C17" t="s">
        <v>271</v>
      </c>
      <c r="E17" t="s">
        <v>390</v>
      </c>
      <c r="H17" t="s">
        <v>201</v>
      </c>
      <c r="I17" t="s">
        <v>2873</v>
      </c>
      <c r="J17" t="s">
        <v>201</v>
      </c>
      <c r="K17" t="s">
        <v>2145</v>
      </c>
      <c r="L17" t="str">
        <f t="shared" si="0"/>
        <v>segmented videos list</v>
      </c>
      <c r="M17" s="1"/>
      <c r="N17" s="1" t="s">
        <v>279</v>
      </c>
    </row>
    <row r="18" spans="1:14" ht="19">
      <c r="A18">
        <v>17</v>
      </c>
      <c r="B18" s="1" t="s">
        <v>291</v>
      </c>
      <c r="C18" t="s">
        <v>271</v>
      </c>
      <c r="E18" t="s">
        <v>390</v>
      </c>
      <c r="H18" t="s">
        <v>192</v>
      </c>
      <c r="I18" t="s">
        <v>2869</v>
      </c>
      <c r="J18" t="s">
        <v>192</v>
      </c>
      <c r="K18" t="s">
        <v>2479</v>
      </c>
      <c r="L18" t="str">
        <f t="shared" si="0"/>
        <v>segmented videos list</v>
      </c>
      <c r="M18" s="1"/>
      <c r="N18" s="1"/>
    </row>
    <row r="19" spans="1:14" ht="19">
      <c r="A19">
        <v>18</v>
      </c>
      <c r="B19" s="1" t="s">
        <v>292</v>
      </c>
      <c r="C19" t="s">
        <v>267</v>
      </c>
      <c r="E19" t="s">
        <v>390</v>
      </c>
      <c r="H19" t="s">
        <v>192</v>
      </c>
      <c r="I19" t="s">
        <v>2877</v>
      </c>
      <c r="J19" t="s">
        <v>201</v>
      </c>
      <c r="K19" t="s">
        <v>2485</v>
      </c>
      <c r="L19" t="str">
        <f t="shared" si="0"/>
        <v>segmented videos list</v>
      </c>
      <c r="M19" s="1"/>
      <c r="N19" s="1"/>
    </row>
    <row r="20" spans="1:14" ht="19">
      <c r="A20">
        <v>19</v>
      </c>
      <c r="B20" s="1" t="s">
        <v>293</v>
      </c>
      <c r="C20" t="s">
        <v>271</v>
      </c>
      <c r="E20" t="s">
        <v>390</v>
      </c>
      <c r="H20" t="s">
        <v>201</v>
      </c>
      <c r="I20" t="s">
        <v>2876</v>
      </c>
      <c r="J20" t="s">
        <v>201</v>
      </c>
      <c r="K20" t="s">
        <v>2484</v>
      </c>
      <c r="L20" t="str">
        <f t="shared" si="0"/>
        <v>segmented videos list</v>
      </c>
      <c r="M20" s="1"/>
      <c r="N20" s="1"/>
    </row>
    <row r="21" spans="1:14" ht="19">
      <c r="A21">
        <v>20</v>
      </c>
      <c r="B21" s="1" t="s">
        <v>294</v>
      </c>
      <c r="C21" t="s">
        <v>271</v>
      </c>
      <c r="E21" t="s">
        <v>390</v>
      </c>
      <c r="H21" t="s">
        <v>201</v>
      </c>
      <c r="I21" t="s">
        <v>2884</v>
      </c>
      <c r="J21" t="s">
        <v>192</v>
      </c>
      <c r="K21" t="s">
        <v>2488</v>
      </c>
      <c r="L21" t="str">
        <f t="shared" si="0"/>
        <v>segmented videos list</v>
      </c>
      <c r="M21" s="1"/>
      <c r="N21" s="1"/>
    </row>
    <row r="22" spans="1:14" ht="19" hidden="1">
      <c r="H22" t="s">
        <v>1717</v>
      </c>
      <c r="I22" t="e">
        <v>#N/A</v>
      </c>
      <c r="J22" t="s">
        <v>1717</v>
      </c>
      <c r="K22" t="e">
        <v>#N/A</v>
      </c>
      <c r="L22" t="str">
        <f t="shared" si="0"/>
        <v>no</v>
      </c>
      <c r="M22" s="1"/>
      <c r="N22" s="1"/>
    </row>
    <row r="23" spans="1:14" ht="19" hidden="1">
      <c r="H23" t="s">
        <v>1717</v>
      </c>
      <c r="I23" t="e">
        <v>#N/A</v>
      </c>
      <c r="J23" t="s">
        <v>1717</v>
      </c>
      <c r="K23" t="e">
        <v>#N/A</v>
      </c>
      <c r="L23" t="str">
        <f t="shared" si="0"/>
        <v>no</v>
      </c>
      <c r="M23" s="1"/>
      <c r="N23" s="1"/>
    </row>
    <row r="24" spans="1:14" ht="19" hidden="1">
      <c r="H24" t="s">
        <v>1717</v>
      </c>
      <c r="I24" t="e">
        <v>#N/A</v>
      </c>
      <c r="J24" t="s">
        <v>1717</v>
      </c>
      <c r="K24" t="e">
        <v>#N/A</v>
      </c>
      <c r="L24" t="str">
        <f t="shared" si="0"/>
        <v>no</v>
      </c>
      <c r="M24" s="1"/>
      <c r="N24" s="1"/>
    </row>
    <row r="25" spans="1:14" ht="19" hidden="1">
      <c r="H25" t="s">
        <v>1717</v>
      </c>
      <c r="I25" t="e">
        <v>#N/A</v>
      </c>
      <c r="J25" t="s">
        <v>1717</v>
      </c>
      <c r="K25" t="e">
        <v>#N/A</v>
      </c>
      <c r="L25" t="str">
        <f t="shared" si="0"/>
        <v>no</v>
      </c>
      <c r="M25" s="1"/>
      <c r="N25" s="1"/>
    </row>
    <row r="26" spans="1:14" ht="19" hidden="1">
      <c r="H26" t="s">
        <v>1717</v>
      </c>
      <c r="I26" t="e">
        <v>#N/A</v>
      </c>
      <c r="J26" t="s">
        <v>1717</v>
      </c>
      <c r="K26" t="e">
        <v>#N/A</v>
      </c>
      <c r="L26" t="str">
        <f t="shared" si="0"/>
        <v>no</v>
      </c>
      <c r="M26" s="1"/>
      <c r="N26" s="1"/>
    </row>
    <row r="27" spans="1:14" ht="19" hidden="1">
      <c r="H27" t="s">
        <v>1717</v>
      </c>
      <c r="I27" t="e">
        <v>#N/A</v>
      </c>
      <c r="J27" t="s">
        <v>1717</v>
      </c>
      <c r="K27" t="e">
        <v>#N/A</v>
      </c>
      <c r="L27" t="str">
        <f t="shared" si="0"/>
        <v>no</v>
      </c>
      <c r="M27" s="1"/>
      <c r="N27" s="1"/>
    </row>
    <row r="28" spans="1:14" ht="19" hidden="1">
      <c r="H28" t="s">
        <v>1717</v>
      </c>
      <c r="I28" t="e">
        <v>#N/A</v>
      </c>
      <c r="J28" t="s">
        <v>1717</v>
      </c>
      <c r="K28" t="e">
        <v>#N/A</v>
      </c>
      <c r="L28" t="str">
        <f t="shared" si="0"/>
        <v>no</v>
      </c>
      <c r="M28" s="1"/>
      <c r="N28" s="1"/>
    </row>
    <row r="29" spans="1:14" ht="19" hidden="1">
      <c r="H29" t="s">
        <v>1717</v>
      </c>
      <c r="I29" t="e">
        <v>#N/A</v>
      </c>
      <c r="J29" t="s">
        <v>1717</v>
      </c>
      <c r="K29" t="e">
        <v>#N/A</v>
      </c>
      <c r="L29" t="str">
        <f t="shared" si="0"/>
        <v>no</v>
      </c>
      <c r="M29" s="1"/>
      <c r="N29" s="1"/>
    </row>
    <row r="30" spans="1:14" ht="19" hidden="1">
      <c r="H30" t="s">
        <v>1717</v>
      </c>
      <c r="I30" t="e">
        <v>#N/A</v>
      </c>
      <c r="J30" t="s">
        <v>1717</v>
      </c>
      <c r="K30" t="e">
        <v>#N/A</v>
      </c>
      <c r="L30" t="str">
        <f t="shared" si="0"/>
        <v>no</v>
      </c>
      <c r="M30" s="1"/>
      <c r="N30" s="1"/>
    </row>
    <row r="31" spans="1:14" ht="19" hidden="1">
      <c r="H31" t="s">
        <v>1717</v>
      </c>
      <c r="I31" t="e">
        <v>#N/A</v>
      </c>
      <c r="J31" t="s">
        <v>1717</v>
      </c>
      <c r="K31" t="e">
        <v>#N/A</v>
      </c>
      <c r="L31" t="str">
        <f t="shared" si="0"/>
        <v>no</v>
      </c>
      <c r="M31" s="1"/>
      <c r="N31" s="1"/>
    </row>
    <row r="32" spans="1:14" ht="19" hidden="1">
      <c r="H32" t="s">
        <v>1717</v>
      </c>
      <c r="I32" t="e">
        <v>#N/A</v>
      </c>
      <c r="J32" t="s">
        <v>1717</v>
      </c>
      <c r="K32" t="e">
        <v>#N/A</v>
      </c>
      <c r="L32" t="str">
        <f t="shared" si="0"/>
        <v>no</v>
      </c>
      <c r="M32" s="1"/>
      <c r="N32" s="1"/>
    </row>
    <row r="33" spans="8:14" ht="19" hidden="1">
      <c r="H33" t="s">
        <v>1717</v>
      </c>
      <c r="I33" t="e">
        <v>#N/A</v>
      </c>
      <c r="J33" t="s">
        <v>1717</v>
      </c>
      <c r="K33" t="e">
        <v>#N/A</v>
      </c>
      <c r="L33" t="str">
        <f t="shared" si="0"/>
        <v>no</v>
      </c>
      <c r="M33" s="1"/>
      <c r="N33" s="1"/>
    </row>
    <row r="34" spans="8:14" ht="19" hidden="1">
      <c r="H34" t="s">
        <v>1717</v>
      </c>
      <c r="I34" t="e">
        <v>#N/A</v>
      </c>
      <c r="J34" t="s">
        <v>1717</v>
      </c>
      <c r="K34" t="e">
        <v>#N/A</v>
      </c>
      <c r="L34" t="str">
        <f t="shared" si="0"/>
        <v>no</v>
      </c>
      <c r="M34" s="1"/>
      <c r="N34" s="1"/>
    </row>
    <row r="35" spans="8:14" ht="19" hidden="1">
      <c r="H35" t="s">
        <v>1717</v>
      </c>
      <c r="I35" t="e">
        <v>#N/A</v>
      </c>
      <c r="J35" t="s">
        <v>1717</v>
      </c>
      <c r="K35" t="e">
        <v>#N/A</v>
      </c>
      <c r="L35" t="str">
        <f t="shared" si="0"/>
        <v>no</v>
      </c>
      <c r="M35" s="1"/>
      <c r="N35" s="1"/>
    </row>
    <row r="36" spans="8:14" ht="19" hidden="1">
      <c r="H36" t="s">
        <v>1717</v>
      </c>
      <c r="I36" t="e">
        <v>#N/A</v>
      </c>
      <c r="J36" t="s">
        <v>1717</v>
      </c>
      <c r="K36" t="e">
        <v>#N/A</v>
      </c>
      <c r="L36" t="str">
        <f t="shared" si="0"/>
        <v>no</v>
      </c>
      <c r="M36" s="1"/>
      <c r="N36" s="1"/>
    </row>
    <row r="37" spans="8:14" ht="19" hidden="1">
      <c r="H37" t="s">
        <v>1717</v>
      </c>
      <c r="I37" t="e">
        <v>#N/A</v>
      </c>
      <c r="J37" t="s">
        <v>1717</v>
      </c>
      <c r="K37" t="e">
        <v>#N/A</v>
      </c>
      <c r="L37" t="str">
        <f t="shared" si="0"/>
        <v>no</v>
      </c>
      <c r="M37" s="1"/>
      <c r="N37" s="1"/>
    </row>
    <row r="38" spans="8:14" ht="19" hidden="1">
      <c r="H38" t="s">
        <v>1717</v>
      </c>
      <c r="I38" t="e">
        <v>#N/A</v>
      </c>
      <c r="J38" t="s">
        <v>1717</v>
      </c>
      <c r="K38" t="e">
        <v>#N/A</v>
      </c>
      <c r="L38" t="str">
        <f t="shared" si="0"/>
        <v>no</v>
      </c>
      <c r="M38" s="1"/>
      <c r="N38" s="1"/>
    </row>
    <row r="39" spans="8:14" ht="19" hidden="1">
      <c r="H39" t="s">
        <v>1717</v>
      </c>
      <c r="I39" t="e">
        <v>#N/A</v>
      </c>
      <c r="J39" t="s">
        <v>1717</v>
      </c>
      <c r="K39" t="e">
        <v>#N/A</v>
      </c>
      <c r="L39" t="str">
        <f t="shared" si="0"/>
        <v>no</v>
      </c>
      <c r="M39" s="1"/>
      <c r="N39" s="1"/>
    </row>
    <row r="40" spans="8:14" ht="19" hidden="1">
      <c r="H40" t="s">
        <v>1717</v>
      </c>
      <c r="I40" t="e">
        <v>#N/A</v>
      </c>
      <c r="J40" t="s">
        <v>1717</v>
      </c>
      <c r="K40" t="e">
        <v>#N/A</v>
      </c>
      <c r="L40" t="str">
        <f t="shared" si="0"/>
        <v>no</v>
      </c>
      <c r="M40" s="1"/>
      <c r="N40" s="1"/>
    </row>
    <row r="41" spans="8:14" ht="19" hidden="1">
      <c r="H41" t="s">
        <v>1717</v>
      </c>
      <c r="I41" t="e">
        <v>#N/A</v>
      </c>
      <c r="J41" t="s">
        <v>1717</v>
      </c>
      <c r="K41" t="e">
        <v>#N/A</v>
      </c>
      <c r="L41" t="str">
        <f t="shared" si="0"/>
        <v>no</v>
      </c>
      <c r="M41" s="1"/>
      <c r="N41" s="1"/>
    </row>
    <row r="42" spans="8:14" ht="19" hidden="1">
      <c r="H42" t="s">
        <v>1717</v>
      </c>
      <c r="I42" t="e">
        <v>#N/A</v>
      </c>
      <c r="J42" t="s">
        <v>1717</v>
      </c>
      <c r="K42" t="e">
        <v>#N/A</v>
      </c>
      <c r="L42" t="str">
        <f t="shared" si="0"/>
        <v>no</v>
      </c>
      <c r="M42" s="1"/>
      <c r="N42" s="1"/>
    </row>
    <row r="43" spans="8:14" ht="19" hidden="1">
      <c r="H43" t="s">
        <v>1717</v>
      </c>
      <c r="I43" t="e">
        <v>#N/A</v>
      </c>
      <c r="J43" t="s">
        <v>1717</v>
      </c>
      <c r="K43" t="e">
        <v>#N/A</v>
      </c>
      <c r="L43" t="str">
        <f t="shared" si="0"/>
        <v>no</v>
      </c>
      <c r="M43" s="1"/>
      <c r="N43" s="1"/>
    </row>
    <row r="44" spans="8:14" ht="19" hidden="1">
      <c r="H44" t="s">
        <v>1717</v>
      </c>
      <c r="I44" t="e">
        <v>#N/A</v>
      </c>
      <c r="J44" t="s">
        <v>1717</v>
      </c>
      <c r="K44" t="e">
        <v>#N/A</v>
      </c>
      <c r="L44" t="str">
        <f t="shared" si="0"/>
        <v>no</v>
      </c>
      <c r="M44" s="1"/>
      <c r="N44" s="1"/>
    </row>
    <row r="45" spans="8:14" ht="19" hidden="1">
      <c r="H45" t="s">
        <v>1717</v>
      </c>
      <c r="I45" t="e">
        <v>#N/A</v>
      </c>
      <c r="J45" t="s">
        <v>1717</v>
      </c>
      <c r="K45" t="e">
        <v>#N/A</v>
      </c>
      <c r="L45" t="str">
        <f t="shared" si="0"/>
        <v>no</v>
      </c>
      <c r="M45" s="1"/>
      <c r="N45" s="1"/>
    </row>
    <row r="46" spans="8:14" ht="19" hidden="1">
      <c r="H46" t="s">
        <v>1717</v>
      </c>
      <c r="I46" t="e">
        <v>#N/A</v>
      </c>
      <c r="J46" t="s">
        <v>1717</v>
      </c>
      <c r="K46" t="e">
        <v>#N/A</v>
      </c>
      <c r="L46" t="str">
        <f t="shared" si="0"/>
        <v>no</v>
      </c>
      <c r="M46" s="1"/>
      <c r="N46" s="1"/>
    </row>
    <row r="47" spans="8:14" ht="19" hidden="1">
      <c r="H47" t="s">
        <v>1717</v>
      </c>
      <c r="I47" t="e">
        <v>#N/A</v>
      </c>
      <c r="J47" t="s">
        <v>1717</v>
      </c>
      <c r="K47" t="e">
        <v>#N/A</v>
      </c>
      <c r="L47" t="str">
        <f t="shared" si="0"/>
        <v>no</v>
      </c>
      <c r="M47" s="1"/>
      <c r="N47" s="1"/>
    </row>
    <row r="48" spans="8:14" ht="19" hidden="1">
      <c r="H48" t="s">
        <v>1717</v>
      </c>
      <c r="I48" t="e">
        <v>#N/A</v>
      </c>
      <c r="J48" t="s">
        <v>1717</v>
      </c>
      <c r="K48" t="e">
        <v>#N/A</v>
      </c>
      <c r="L48" t="str">
        <f t="shared" si="0"/>
        <v>no</v>
      </c>
      <c r="M48" s="1"/>
      <c r="N48" s="1"/>
    </row>
    <row r="49" spans="8:14" ht="19" hidden="1">
      <c r="H49" t="s">
        <v>1717</v>
      </c>
      <c r="I49" t="e">
        <v>#N/A</v>
      </c>
      <c r="J49" t="s">
        <v>1717</v>
      </c>
      <c r="K49" t="e">
        <v>#N/A</v>
      </c>
      <c r="L49" t="str">
        <f t="shared" si="0"/>
        <v>no</v>
      </c>
      <c r="M49" s="1"/>
      <c r="N49" s="1"/>
    </row>
    <row r="50" spans="8:14" ht="19" hidden="1">
      <c r="H50" t="s">
        <v>1717</v>
      </c>
      <c r="I50" t="e">
        <v>#N/A</v>
      </c>
      <c r="J50" t="s">
        <v>1717</v>
      </c>
      <c r="K50" t="e">
        <v>#N/A</v>
      </c>
      <c r="L50" t="str">
        <f t="shared" si="0"/>
        <v>no</v>
      </c>
      <c r="M50" s="1"/>
      <c r="N50" s="1"/>
    </row>
    <row r="51" spans="8:14" ht="19" hidden="1">
      <c r="H51" t="s">
        <v>1717</v>
      </c>
      <c r="I51" t="e">
        <v>#N/A</v>
      </c>
      <c r="J51" t="s">
        <v>1717</v>
      </c>
      <c r="K51" t="e">
        <v>#N/A</v>
      </c>
      <c r="L51" t="str">
        <f t="shared" si="0"/>
        <v>no</v>
      </c>
      <c r="M51" s="1"/>
      <c r="N51" s="1"/>
    </row>
    <row r="52" spans="8:14" ht="19" hidden="1">
      <c r="H52" t="s">
        <v>1717</v>
      </c>
      <c r="I52" t="e">
        <v>#N/A</v>
      </c>
      <c r="J52" t="s">
        <v>1717</v>
      </c>
      <c r="K52" t="e">
        <v>#N/A</v>
      </c>
      <c r="L52" t="str">
        <f t="shared" si="0"/>
        <v>no</v>
      </c>
      <c r="M52" s="1"/>
      <c r="N52" s="1"/>
    </row>
    <row r="53" spans="8:14" ht="19" hidden="1">
      <c r="H53" t="s">
        <v>1717</v>
      </c>
      <c r="I53" t="e">
        <v>#N/A</v>
      </c>
      <c r="J53" t="s">
        <v>1717</v>
      </c>
      <c r="K53" t="e">
        <v>#N/A</v>
      </c>
      <c r="L53" t="str">
        <f t="shared" si="0"/>
        <v>no</v>
      </c>
      <c r="M53" s="1"/>
      <c r="N53" s="1"/>
    </row>
    <row r="54" spans="8:14" ht="19" hidden="1">
      <c r="H54" t="s">
        <v>1717</v>
      </c>
      <c r="I54" t="e">
        <v>#N/A</v>
      </c>
      <c r="J54" t="s">
        <v>1717</v>
      </c>
      <c r="K54" t="e">
        <v>#N/A</v>
      </c>
      <c r="L54" t="str">
        <f t="shared" si="0"/>
        <v>no</v>
      </c>
      <c r="M54" s="1"/>
      <c r="N54" s="1"/>
    </row>
    <row r="55" spans="8:14" ht="19" hidden="1">
      <c r="H55" t="s">
        <v>1717</v>
      </c>
      <c r="I55" t="e">
        <v>#N/A</v>
      </c>
      <c r="J55" t="s">
        <v>1717</v>
      </c>
      <c r="K55" t="e">
        <v>#N/A</v>
      </c>
      <c r="L55" t="str">
        <f t="shared" si="0"/>
        <v>no</v>
      </c>
      <c r="M55" s="1"/>
      <c r="N55" s="1"/>
    </row>
    <row r="56" spans="8:14" ht="19" hidden="1">
      <c r="H56" t="s">
        <v>1717</v>
      </c>
      <c r="I56" t="e">
        <v>#N/A</v>
      </c>
      <c r="J56" t="s">
        <v>1717</v>
      </c>
      <c r="K56" t="e">
        <v>#N/A</v>
      </c>
      <c r="L56" t="str">
        <f t="shared" si="0"/>
        <v>no</v>
      </c>
      <c r="M56" s="1"/>
      <c r="N56" s="1"/>
    </row>
    <row r="57" spans="8:14" ht="19" hidden="1">
      <c r="H57" t="s">
        <v>1717</v>
      </c>
      <c r="I57" t="e">
        <v>#N/A</v>
      </c>
      <c r="J57" t="s">
        <v>1717</v>
      </c>
      <c r="K57" t="e">
        <v>#N/A</v>
      </c>
      <c r="L57" t="str">
        <f t="shared" si="0"/>
        <v>no</v>
      </c>
      <c r="M57" s="1"/>
      <c r="N57" s="1"/>
    </row>
    <row r="58" spans="8:14" ht="19" hidden="1">
      <c r="H58" t="s">
        <v>1717</v>
      </c>
      <c r="I58" t="e">
        <v>#N/A</v>
      </c>
      <c r="J58" t="s">
        <v>1717</v>
      </c>
      <c r="K58" t="e">
        <v>#N/A</v>
      </c>
      <c r="L58" t="str">
        <f t="shared" si="0"/>
        <v>no</v>
      </c>
      <c r="M58" s="1"/>
      <c r="N58" s="1"/>
    </row>
    <row r="59" spans="8:14" ht="19" hidden="1">
      <c r="H59" t="s">
        <v>1717</v>
      </c>
      <c r="I59" t="e">
        <v>#N/A</v>
      </c>
      <c r="J59" t="s">
        <v>1717</v>
      </c>
      <c r="K59" t="e">
        <v>#N/A</v>
      </c>
      <c r="L59" t="str">
        <f t="shared" si="0"/>
        <v>no</v>
      </c>
      <c r="M59" s="1"/>
      <c r="N59" s="1"/>
    </row>
    <row r="60" spans="8:14" ht="19" hidden="1">
      <c r="H60" t="s">
        <v>1717</v>
      </c>
      <c r="I60" t="e">
        <v>#N/A</v>
      </c>
      <c r="J60" t="s">
        <v>1717</v>
      </c>
      <c r="K60" t="e">
        <v>#N/A</v>
      </c>
      <c r="L60" t="str">
        <f t="shared" si="0"/>
        <v>no</v>
      </c>
      <c r="M60" s="1"/>
      <c r="N60" s="1"/>
    </row>
    <row r="61" spans="8:14" ht="19" hidden="1">
      <c r="H61" t="s">
        <v>1717</v>
      </c>
      <c r="I61" t="e">
        <v>#N/A</v>
      </c>
      <c r="J61" t="s">
        <v>1717</v>
      </c>
      <c r="K61" t="e">
        <v>#N/A</v>
      </c>
      <c r="L61" t="str">
        <f t="shared" si="0"/>
        <v>no</v>
      </c>
      <c r="M61" s="1"/>
      <c r="N61" s="1"/>
    </row>
    <row r="62" spans="8:14" ht="19" hidden="1">
      <c r="H62" t="s">
        <v>1717</v>
      </c>
      <c r="I62" t="e">
        <v>#N/A</v>
      </c>
      <c r="J62" t="s">
        <v>1717</v>
      </c>
      <c r="K62" t="e">
        <v>#N/A</v>
      </c>
      <c r="L62" t="str">
        <f t="shared" si="0"/>
        <v>no</v>
      </c>
      <c r="M62" s="1"/>
      <c r="N62" s="1"/>
    </row>
    <row r="63" spans="8:14" ht="19" hidden="1">
      <c r="H63" t="s">
        <v>1717</v>
      </c>
      <c r="I63" t="e">
        <v>#N/A</v>
      </c>
      <c r="J63" t="s">
        <v>1717</v>
      </c>
      <c r="K63" t="e">
        <v>#N/A</v>
      </c>
      <c r="L63" t="str">
        <f t="shared" si="0"/>
        <v>no</v>
      </c>
      <c r="M63" s="1"/>
      <c r="N63" s="1"/>
    </row>
    <row r="64" spans="8:14" ht="19" hidden="1">
      <c r="H64" t="s">
        <v>1717</v>
      </c>
      <c r="I64" t="e">
        <v>#N/A</v>
      </c>
      <c r="J64" t="s">
        <v>1717</v>
      </c>
      <c r="K64" t="e">
        <v>#N/A</v>
      </c>
      <c r="L64" t="str">
        <f t="shared" si="0"/>
        <v>no</v>
      </c>
      <c r="M64" s="1"/>
      <c r="N64" s="1"/>
    </row>
    <row r="65" spans="8:14" ht="19" hidden="1">
      <c r="H65" t="s">
        <v>1717</v>
      </c>
      <c r="I65" t="e">
        <v>#N/A</v>
      </c>
      <c r="J65" t="s">
        <v>1717</v>
      </c>
      <c r="K65" t="e">
        <v>#N/A</v>
      </c>
      <c r="L65" t="str">
        <f t="shared" si="0"/>
        <v>no</v>
      </c>
      <c r="M65" s="1"/>
      <c r="N65" s="1"/>
    </row>
    <row r="66" spans="8:14" ht="19" hidden="1">
      <c r="H66" t="s">
        <v>1717</v>
      </c>
      <c r="I66" t="e">
        <v>#N/A</v>
      </c>
      <c r="J66" t="s">
        <v>1717</v>
      </c>
      <c r="K66" t="e">
        <v>#N/A</v>
      </c>
      <c r="L66" t="str">
        <f t="shared" si="0"/>
        <v>no</v>
      </c>
      <c r="M66" s="1"/>
      <c r="N66" s="1"/>
    </row>
    <row r="67" spans="8:14" ht="19" hidden="1">
      <c r="H67" t="s">
        <v>1717</v>
      </c>
      <c r="I67" t="e">
        <v>#N/A</v>
      </c>
      <c r="J67" t="s">
        <v>1717</v>
      </c>
      <c r="K67" t="e">
        <v>#N/A</v>
      </c>
      <c r="L67" t="str">
        <f t="shared" ref="L67:L130" si="1">IF(COUNTIF(M:M, B67)&gt;0,$M$1,IF(COUNTIF(N:N, B67)&gt;0,$N$1,"no"))</f>
        <v>no</v>
      </c>
      <c r="M67" s="1"/>
      <c r="N67" s="1"/>
    </row>
    <row r="68" spans="8:14" ht="19" hidden="1">
      <c r="H68" t="s">
        <v>1717</v>
      </c>
      <c r="I68" t="e">
        <v>#N/A</v>
      </c>
      <c r="J68" t="s">
        <v>1717</v>
      </c>
      <c r="K68" t="e">
        <v>#N/A</v>
      </c>
      <c r="L68" t="str">
        <f t="shared" si="1"/>
        <v>no</v>
      </c>
      <c r="M68" s="1"/>
      <c r="N68" s="1"/>
    </row>
    <row r="69" spans="8:14" ht="19" hidden="1">
      <c r="H69" t="s">
        <v>1717</v>
      </c>
      <c r="I69" t="e">
        <v>#N/A</v>
      </c>
      <c r="J69" t="s">
        <v>1717</v>
      </c>
      <c r="K69" t="e">
        <v>#N/A</v>
      </c>
      <c r="L69" t="str">
        <f t="shared" si="1"/>
        <v>no</v>
      </c>
      <c r="M69" s="1"/>
      <c r="N69" s="1"/>
    </row>
    <row r="70" spans="8:14" ht="19" hidden="1">
      <c r="H70" t="s">
        <v>1717</v>
      </c>
      <c r="I70" t="e">
        <v>#N/A</v>
      </c>
      <c r="J70" t="s">
        <v>1717</v>
      </c>
      <c r="K70" t="e">
        <v>#N/A</v>
      </c>
      <c r="L70" t="str">
        <f t="shared" si="1"/>
        <v>no</v>
      </c>
      <c r="M70" s="1"/>
      <c r="N70" s="1"/>
    </row>
    <row r="71" spans="8:14" ht="19" hidden="1">
      <c r="H71" t="s">
        <v>1717</v>
      </c>
      <c r="I71" t="e">
        <v>#N/A</v>
      </c>
      <c r="J71" t="s">
        <v>1717</v>
      </c>
      <c r="K71" t="e">
        <v>#N/A</v>
      </c>
      <c r="L71" t="str">
        <f t="shared" si="1"/>
        <v>no</v>
      </c>
      <c r="M71" s="1"/>
      <c r="N71" s="1"/>
    </row>
    <row r="72" spans="8:14" ht="19" hidden="1">
      <c r="H72" t="s">
        <v>1717</v>
      </c>
      <c r="I72" t="e">
        <v>#N/A</v>
      </c>
      <c r="J72" t="s">
        <v>1717</v>
      </c>
      <c r="K72" t="e">
        <v>#N/A</v>
      </c>
      <c r="L72" t="str">
        <f t="shared" si="1"/>
        <v>no</v>
      </c>
      <c r="M72" s="1"/>
      <c r="N72" s="1"/>
    </row>
    <row r="73" spans="8:14" ht="19" hidden="1">
      <c r="H73" t="s">
        <v>1717</v>
      </c>
      <c r="I73" t="e">
        <v>#N/A</v>
      </c>
      <c r="J73" t="s">
        <v>1717</v>
      </c>
      <c r="K73" t="e">
        <v>#N/A</v>
      </c>
      <c r="L73" t="str">
        <f t="shared" si="1"/>
        <v>no</v>
      </c>
      <c r="M73" s="1"/>
      <c r="N73" s="1"/>
    </row>
    <row r="74" spans="8:14" ht="19" hidden="1">
      <c r="H74" t="s">
        <v>1717</v>
      </c>
      <c r="I74" t="e">
        <v>#N/A</v>
      </c>
      <c r="J74" t="s">
        <v>1717</v>
      </c>
      <c r="K74" t="e">
        <v>#N/A</v>
      </c>
      <c r="L74" t="str">
        <f t="shared" si="1"/>
        <v>no</v>
      </c>
      <c r="M74" s="1"/>
      <c r="N74" s="1"/>
    </row>
    <row r="75" spans="8:14" ht="19" hidden="1">
      <c r="H75" t="s">
        <v>1717</v>
      </c>
      <c r="I75" t="e">
        <v>#N/A</v>
      </c>
      <c r="J75" t="s">
        <v>1717</v>
      </c>
      <c r="K75" t="e">
        <v>#N/A</v>
      </c>
      <c r="L75" t="str">
        <f t="shared" si="1"/>
        <v>no</v>
      </c>
      <c r="M75" s="1"/>
      <c r="N75" s="1"/>
    </row>
    <row r="76" spans="8:14" ht="19" hidden="1">
      <c r="H76" t="s">
        <v>1717</v>
      </c>
      <c r="I76" t="e">
        <v>#N/A</v>
      </c>
      <c r="J76" t="s">
        <v>1717</v>
      </c>
      <c r="K76" t="e">
        <v>#N/A</v>
      </c>
      <c r="L76" t="str">
        <f t="shared" si="1"/>
        <v>no</v>
      </c>
      <c r="M76" s="1"/>
      <c r="N76" s="1"/>
    </row>
    <row r="77" spans="8:14" ht="19" hidden="1">
      <c r="H77" t="s">
        <v>1717</v>
      </c>
      <c r="I77" t="e">
        <v>#N/A</v>
      </c>
      <c r="J77" t="s">
        <v>1717</v>
      </c>
      <c r="K77" t="e">
        <v>#N/A</v>
      </c>
      <c r="L77" t="str">
        <f t="shared" si="1"/>
        <v>no</v>
      </c>
      <c r="M77" s="1"/>
      <c r="N77" s="1"/>
    </row>
    <row r="78" spans="8:14" ht="19" hidden="1">
      <c r="H78" t="s">
        <v>1717</v>
      </c>
      <c r="I78" t="e">
        <v>#N/A</v>
      </c>
      <c r="J78" t="s">
        <v>1717</v>
      </c>
      <c r="K78" t="e">
        <v>#N/A</v>
      </c>
      <c r="L78" t="str">
        <f t="shared" si="1"/>
        <v>no</v>
      </c>
      <c r="M78" s="1"/>
      <c r="N78" s="1"/>
    </row>
    <row r="79" spans="8:14" ht="19" hidden="1">
      <c r="H79" t="s">
        <v>1717</v>
      </c>
      <c r="I79" t="e">
        <v>#N/A</v>
      </c>
      <c r="J79" t="s">
        <v>1717</v>
      </c>
      <c r="K79" t="e">
        <v>#N/A</v>
      </c>
      <c r="L79" t="str">
        <f t="shared" si="1"/>
        <v>no</v>
      </c>
      <c r="M79" s="1"/>
      <c r="N79" s="1"/>
    </row>
    <row r="80" spans="8:14" ht="19" hidden="1">
      <c r="H80" t="s">
        <v>1717</v>
      </c>
      <c r="I80" t="e">
        <v>#N/A</v>
      </c>
      <c r="J80" t="s">
        <v>1717</v>
      </c>
      <c r="K80" t="e">
        <v>#N/A</v>
      </c>
      <c r="L80" t="str">
        <f t="shared" si="1"/>
        <v>no</v>
      </c>
      <c r="M80" s="1"/>
      <c r="N80" s="1"/>
    </row>
    <row r="81" spans="8:12" hidden="1">
      <c r="H81" t="s">
        <v>1717</v>
      </c>
      <c r="I81" t="e">
        <v>#N/A</v>
      </c>
      <c r="J81" t="s">
        <v>1717</v>
      </c>
      <c r="K81" t="e">
        <v>#N/A</v>
      </c>
      <c r="L81" t="str">
        <f t="shared" si="1"/>
        <v>no</v>
      </c>
    </row>
    <row r="82" spans="8:12" hidden="1">
      <c r="H82" t="s">
        <v>1717</v>
      </c>
      <c r="I82" t="e">
        <v>#N/A</v>
      </c>
      <c r="J82" t="s">
        <v>1717</v>
      </c>
      <c r="K82" t="e">
        <v>#N/A</v>
      </c>
      <c r="L82" t="str">
        <f t="shared" si="1"/>
        <v>no</v>
      </c>
    </row>
    <row r="83" spans="8:12" hidden="1">
      <c r="H83" t="s">
        <v>1717</v>
      </c>
      <c r="I83" t="e">
        <v>#N/A</v>
      </c>
      <c r="J83" t="s">
        <v>1717</v>
      </c>
      <c r="K83" t="e">
        <v>#N/A</v>
      </c>
      <c r="L83" t="str">
        <f t="shared" si="1"/>
        <v>no</v>
      </c>
    </row>
    <row r="84" spans="8:12" hidden="1">
      <c r="H84" t="s">
        <v>1717</v>
      </c>
      <c r="I84" t="e">
        <v>#N/A</v>
      </c>
      <c r="J84" t="s">
        <v>1717</v>
      </c>
      <c r="K84" t="e">
        <v>#N/A</v>
      </c>
      <c r="L84" t="str">
        <f t="shared" si="1"/>
        <v>no</v>
      </c>
    </row>
    <row r="85" spans="8:12" hidden="1">
      <c r="H85" t="s">
        <v>1717</v>
      </c>
      <c r="I85" t="e">
        <v>#N/A</v>
      </c>
      <c r="J85" t="s">
        <v>1717</v>
      </c>
      <c r="K85" t="e">
        <v>#N/A</v>
      </c>
      <c r="L85" t="str">
        <f t="shared" si="1"/>
        <v>no</v>
      </c>
    </row>
    <row r="86" spans="8:12" hidden="1">
      <c r="H86" t="s">
        <v>1717</v>
      </c>
      <c r="I86" t="e">
        <v>#N/A</v>
      </c>
      <c r="J86" t="s">
        <v>1717</v>
      </c>
      <c r="K86" t="e">
        <v>#N/A</v>
      </c>
      <c r="L86" t="str">
        <f t="shared" si="1"/>
        <v>no</v>
      </c>
    </row>
    <row r="87" spans="8:12" hidden="1">
      <c r="H87" t="s">
        <v>1717</v>
      </c>
      <c r="I87" t="e">
        <v>#N/A</v>
      </c>
      <c r="J87" t="s">
        <v>1717</v>
      </c>
      <c r="K87" t="e">
        <v>#N/A</v>
      </c>
      <c r="L87" t="str">
        <f t="shared" si="1"/>
        <v>no</v>
      </c>
    </row>
    <row r="88" spans="8:12" hidden="1">
      <c r="H88" t="s">
        <v>1717</v>
      </c>
      <c r="I88" t="e">
        <v>#N/A</v>
      </c>
      <c r="J88" t="s">
        <v>1717</v>
      </c>
      <c r="K88" t="e">
        <v>#N/A</v>
      </c>
      <c r="L88" t="str">
        <f t="shared" si="1"/>
        <v>no</v>
      </c>
    </row>
    <row r="89" spans="8:12" hidden="1">
      <c r="H89" t="s">
        <v>1717</v>
      </c>
      <c r="I89" t="e">
        <v>#N/A</v>
      </c>
      <c r="J89" t="s">
        <v>1717</v>
      </c>
      <c r="K89" t="e">
        <v>#N/A</v>
      </c>
      <c r="L89" t="str">
        <f t="shared" si="1"/>
        <v>no</v>
      </c>
    </row>
    <row r="90" spans="8:12" hidden="1">
      <c r="H90" t="s">
        <v>1717</v>
      </c>
      <c r="I90" t="e">
        <v>#N/A</v>
      </c>
      <c r="J90" t="s">
        <v>1717</v>
      </c>
      <c r="K90" t="e">
        <v>#N/A</v>
      </c>
      <c r="L90" t="str">
        <f t="shared" si="1"/>
        <v>no</v>
      </c>
    </row>
    <row r="91" spans="8:12" hidden="1">
      <c r="H91" t="s">
        <v>1717</v>
      </c>
      <c r="I91" t="e">
        <v>#N/A</v>
      </c>
      <c r="J91" t="s">
        <v>1717</v>
      </c>
      <c r="K91" t="e">
        <v>#N/A</v>
      </c>
      <c r="L91" t="str">
        <f t="shared" si="1"/>
        <v>no</v>
      </c>
    </row>
    <row r="92" spans="8:12" hidden="1">
      <c r="H92" t="s">
        <v>1717</v>
      </c>
      <c r="I92" t="e">
        <v>#N/A</v>
      </c>
      <c r="J92" t="s">
        <v>1717</v>
      </c>
      <c r="K92" t="e">
        <v>#N/A</v>
      </c>
      <c r="L92" t="str">
        <f t="shared" si="1"/>
        <v>no</v>
      </c>
    </row>
    <row r="93" spans="8:12" hidden="1">
      <c r="H93" t="s">
        <v>1717</v>
      </c>
      <c r="I93" t="e">
        <v>#N/A</v>
      </c>
      <c r="J93" t="s">
        <v>1717</v>
      </c>
      <c r="K93" t="e">
        <v>#N/A</v>
      </c>
      <c r="L93" t="str">
        <f t="shared" si="1"/>
        <v>no</v>
      </c>
    </row>
    <row r="94" spans="8:12" hidden="1">
      <c r="H94" t="s">
        <v>1717</v>
      </c>
      <c r="I94" t="e">
        <v>#N/A</v>
      </c>
      <c r="J94" t="s">
        <v>1717</v>
      </c>
      <c r="K94" t="e">
        <v>#N/A</v>
      </c>
      <c r="L94" t="str">
        <f t="shared" si="1"/>
        <v>no</v>
      </c>
    </row>
    <row r="95" spans="8:12" hidden="1">
      <c r="H95" t="s">
        <v>1717</v>
      </c>
      <c r="I95" t="e">
        <v>#N/A</v>
      </c>
      <c r="J95" t="s">
        <v>1717</v>
      </c>
      <c r="K95" t="e">
        <v>#N/A</v>
      </c>
      <c r="L95" t="str">
        <f t="shared" si="1"/>
        <v>no</v>
      </c>
    </row>
    <row r="96" spans="8:12" hidden="1">
      <c r="H96" t="s">
        <v>1717</v>
      </c>
      <c r="I96" t="e">
        <v>#N/A</v>
      </c>
      <c r="J96" t="s">
        <v>1717</v>
      </c>
      <c r="K96" t="e">
        <v>#N/A</v>
      </c>
      <c r="L96" t="str">
        <f t="shared" si="1"/>
        <v>no</v>
      </c>
    </row>
    <row r="97" spans="8:12" hidden="1">
      <c r="H97" t="s">
        <v>1717</v>
      </c>
      <c r="I97" t="e">
        <v>#N/A</v>
      </c>
      <c r="J97" t="s">
        <v>1717</v>
      </c>
      <c r="K97" t="e">
        <v>#N/A</v>
      </c>
      <c r="L97" t="str">
        <f t="shared" si="1"/>
        <v>no</v>
      </c>
    </row>
    <row r="98" spans="8:12" hidden="1">
      <c r="H98" t="s">
        <v>1717</v>
      </c>
      <c r="I98" t="e">
        <v>#N/A</v>
      </c>
      <c r="J98" t="s">
        <v>1717</v>
      </c>
      <c r="K98" t="e">
        <v>#N/A</v>
      </c>
      <c r="L98" t="str">
        <f t="shared" si="1"/>
        <v>no</v>
      </c>
    </row>
    <row r="99" spans="8:12" hidden="1">
      <c r="H99" t="s">
        <v>1717</v>
      </c>
      <c r="I99" t="e">
        <v>#N/A</v>
      </c>
      <c r="J99" t="s">
        <v>1717</v>
      </c>
      <c r="K99" t="e">
        <v>#N/A</v>
      </c>
      <c r="L99" t="str">
        <f t="shared" si="1"/>
        <v>no</v>
      </c>
    </row>
    <row r="100" spans="8:12" hidden="1">
      <c r="H100" t="s">
        <v>1717</v>
      </c>
      <c r="I100" t="e">
        <v>#N/A</v>
      </c>
      <c r="J100" t="s">
        <v>1717</v>
      </c>
      <c r="K100" t="e">
        <v>#N/A</v>
      </c>
      <c r="L100" t="str">
        <f t="shared" si="1"/>
        <v>no</v>
      </c>
    </row>
    <row r="101" spans="8:12" hidden="1">
      <c r="H101" t="s">
        <v>1717</v>
      </c>
      <c r="I101" t="e">
        <v>#N/A</v>
      </c>
      <c r="J101" t="s">
        <v>1717</v>
      </c>
      <c r="K101" t="e">
        <v>#N/A</v>
      </c>
      <c r="L101" t="str">
        <f t="shared" si="1"/>
        <v>no</v>
      </c>
    </row>
    <row r="102" spans="8:12" hidden="1">
      <c r="H102" t="s">
        <v>1717</v>
      </c>
      <c r="I102" t="e">
        <v>#N/A</v>
      </c>
      <c r="J102" t="s">
        <v>1717</v>
      </c>
      <c r="K102" t="e">
        <v>#N/A</v>
      </c>
      <c r="L102" t="str">
        <f t="shared" si="1"/>
        <v>no</v>
      </c>
    </row>
    <row r="103" spans="8:12" hidden="1">
      <c r="H103" t="s">
        <v>1717</v>
      </c>
      <c r="I103" t="e">
        <v>#N/A</v>
      </c>
      <c r="J103" t="s">
        <v>1717</v>
      </c>
      <c r="K103" t="e">
        <v>#N/A</v>
      </c>
      <c r="L103" t="str">
        <f t="shared" si="1"/>
        <v>no</v>
      </c>
    </row>
    <row r="104" spans="8:12" hidden="1">
      <c r="H104" t="s">
        <v>1717</v>
      </c>
      <c r="I104" t="e">
        <v>#N/A</v>
      </c>
      <c r="J104" t="s">
        <v>1717</v>
      </c>
      <c r="K104" t="e">
        <v>#N/A</v>
      </c>
      <c r="L104" t="str">
        <f t="shared" si="1"/>
        <v>no</v>
      </c>
    </row>
    <row r="105" spans="8:12" hidden="1">
      <c r="H105" t="s">
        <v>1717</v>
      </c>
      <c r="I105" t="e">
        <v>#N/A</v>
      </c>
      <c r="J105" t="s">
        <v>1717</v>
      </c>
      <c r="K105" t="e">
        <v>#N/A</v>
      </c>
      <c r="L105" t="str">
        <f t="shared" si="1"/>
        <v>no</v>
      </c>
    </row>
    <row r="106" spans="8:12" hidden="1">
      <c r="H106" t="s">
        <v>1717</v>
      </c>
      <c r="I106" t="e">
        <v>#N/A</v>
      </c>
      <c r="J106" t="s">
        <v>1717</v>
      </c>
      <c r="K106" t="e">
        <v>#N/A</v>
      </c>
      <c r="L106" t="str">
        <f t="shared" si="1"/>
        <v>no</v>
      </c>
    </row>
    <row r="107" spans="8:12" hidden="1">
      <c r="H107" t="s">
        <v>1717</v>
      </c>
      <c r="I107" t="e">
        <v>#N/A</v>
      </c>
      <c r="J107" t="s">
        <v>1717</v>
      </c>
      <c r="K107" t="e">
        <v>#N/A</v>
      </c>
      <c r="L107" t="str">
        <f t="shared" si="1"/>
        <v>no</v>
      </c>
    </row>
    <row r="108" spans="8:12" hidden="1">
      <c r="H108" t="s">
        <v>1717</v>
      </c>
      <c r="I108" t="e">
        <v>#N/A</v>
      </c>
      <c r="J108" t="s">
        <v>1717</v>
      </c>
      <c r="K108" t="e">
        <v>#N/A</v>
      </c>
      <c r="L108" t="str">
        <f t="shared" si="1"/>
        <v>no</v>
      </c>
    </row>
    <row r="109" spans="8:12" hidden="1">
      <c r="H109" t="s">
        <v>1717</v>
      </c>
      <c r="I109" t="e">
        <v>#N/A</v>
      </c>
      <c r="J109" t="s">
        <v>1717</v>
      </c>
      <c r="K109" t="e">
        <v>#N/A</v>
      </c>
      <c r="L109" t="str">
        <f t="shared" si="1"/>
        <v>no</v>
      </c>
    </row>
    <row r="110" spans="8:12" hidden="1">
      <c r="H110" t="s">
        <v>1717</v>
      </c>
      <c r="I110" t="e">
        <v>#N/A</v>
      </c>
      <c r="J110" t="s">
        <v>1717</v>
      </c>
      <c r="K110" t="e">
        <v>#N/A</v>
      </c>
      <c r="L110" t="str">
        <f t="shared" si="1"/>
        <v>no</v>
      </c>
    </row>
    <row r="111" spans="8:12" hidden="1">
      <c r="H111" t="s">
        <v>1717</v>
      </c>
      <c r="I111" t="e">
        <v>#N/A</v>
      </c>
      <c r="J111" t="s">
        <v>1717</v>
      </c>
      <c r="K111" t="e">
        <v>#N/A</v>
      </c>
      <c r="L111" t="str">
        <f t="shared" si="1"/>
        <v>no</v>
      </c>
    </row>
    <row r="112" spans="8:12" hidden="1">
      <c r="H112" t="s">
        <v>1717</v>
      </c>
      <c r="I112" t="e">
        <v>#N/A</v>
      </c>
      <c r="J112" t="s">
        <v>1717</v>
      </c>
      <c r="K112" t="e">
        <v>#N/A</v>
      </c>
      <c r="L112" t="str">
        <f t="shared" si="1"/>
        <v>no</v>
      </c>
    </row>
    <row r="113" spans="8:12" hidden="1">
      <c r="H113" t="s">
        <v>1717</v>
      </c>
      <c r="I113" t="e">
        <v>#N/A</v>
      </c>
      <c r="J113" t="s">
        <v>1717</v>
      </c>
      <c r="K113" t="e">
        <v>#N/A</v>
      </c>
      <c r="L113" t="str">
        <f t="shared" si="1"/>
        <v>no</v>
      </c>
    </row>
    <row r="114" spans="8:12" hidden="1">
      <c r="H114" t="s">
        <v>1717</v>
      </c>
      <c r="I114" t="e">
        <v>#N/A</v>
      </c>
      <c r="J114" t="s">
        <v>1717</v>
      </c>
      <c r="K114" t="e">
        <v>#N/A</v>
      </c>
      <c r="L114" t="str">
        <f t="shared" si="1"/>
        <v>no</v>
      </c>
    </row>
    <row r="115" spans="8:12" hidden="1">
      <c r="H115" t="s">
        <v>1717</v>
      </c>
      <c r="I115" t="e">
        <v>#N/A</v>
      </c>
      <c r="J115" t="s">
        <v>1717</v>
      </c>
      <c r="K115" t="e">
        <v>#N/A</v>
      </c>
      <c r="L115" t="str">
        <f t="shared" si="1"/>
        <v>no</v>
      </c>
    </row>
    <row r="116" spans="8:12" hidden="1">
      <c r="H116" t="s">
        <v>1717</v>
      </c>
      <c r="I116" t="e">
        <v>#N/A</v>
      </c>
      <c r="J116" t="s">
        <v>1717</v>
      </c>
      <c r="K116" t="e">
        <v>#N/A</v>
      </c>
      <c r="L116" t="str">
        <f t="shared" si="1"/>
        <v>no</v>
      </c>
    </row>
    <row r="117" spans="8:12" hidden="1">
      <c r="H117" t="s">
        <v>1717</v>
      </c>
      <c r="I117" t="e">
        <v>#N/A</v>
      </c>
      <c r="J117" t="s">
        <v>1717</v>
      </c>
      <c r="K117" t="e">
        <v>#N/A</v>
      </c>
      <c r="L117" t="str">
        <f t="shared" si="1"/>
        <v>no</v>
      </c>
    </row>
    <row r="118" spans="8:12" hidden="1">
      <c r="H118" t="s">
        <v>1717</v>
      </c>
      <c r="I118" t="e">
        <v>#N/A</v>
      </c>
      <c r="J118" t="s">
        <v>1717</v>
      </c>
      <c r="K118" t="e">
        <v>#N/A</v>
      </c>
      <c r="L118" t="str">
        <f t="shared" si="1"/>
        <v>no</v>
      </c>
    </row>
    <row r="119" spans="8:12" hidden="1">
      <c r="H119" t="s">
        <v>1717</v>
      </c>
      <c r="I119" t="e">
        <v>#N/A</v>
      </c>
      <c r="J119" t="s">
        <v>1717</v>
      </c>
      <c r="K119" t="e">
        <v>#N/A</v>
      </c>
      <c r="L119" t="str">
        <f t="shared" si="1"/>
        <v>no</v>
      </c>
    </row>
    <row r="120" spans="8:12" hidden="1">
      <c r="H120" t="s">
        <v>1717</v>
      </c>
      <c r="I120" t="e">
        <v>#N/A</v>
      </c>
      <c r="J120" t="s">
        <v>1717</v>
      </c>
      <c r="K120" t="e">
        <v>#N/A</v>
      </c>
      <c r="L120" t="str">
        <f t="shared" si="1"/>
        <v>no</v>
      </c>
    </row>
    <row r="121" spans="8:12" hidden="1">
      <c r="H121" t="s">
        <v>1717</v>
      </c>
      <c r="I121" t="e">
        <v>#N/A</v>
      </c>
      <c r="J121" t="s">
        <v>1717</v>
      </c>
      <c r="K121" t="e">
        <v>#N/A</v>
      </c>
      <c r="L121" t="str">
        <f t="shared" si="1"/>
        <v>no</v>
      </c>
    </row>
    <row r="122" spans="8:12" hidden="1">
      <c r="H122" t="s">
        <v>1717</v>
      </c>
      <c r="I122" t="e">
        <v>#N/A</v>
      </c>
      <c r="J122" t="s">
        <v>1717</v>
      </c>
      <c r="K122" t="e">
        <v>#N/A</v>
      </c>
      <c r="L122" t="str">
        <f t="shared" si="1"/>
        <v>no</v>
      </c>
    </row>
    <row r="123" spans="8:12" hidden="1">
      <c r="H123" t="s">
        <v>1717</v>
      </c>
      <c r="I123" t="e">
        <v>#N/A</v>
      </c>
      <c r="J123" t="s">
        <v>1717</v>
      </c>
      <c r="K123" t="e">
        <v>#N/A</v>
      </c>
      <c r="L123" t="str">
        <f t="shared" si="1"/>
        <v>no</v>
      </c>
    </row>
    <row r="124" spans="8:12" hidden="1">
      <c r="H124" t="s">
        <v>1717</v>
      </c>
      <c r="I124" t="e">
        <v>#N/A</v>
      </c>
      <c r="J124" t="s">
        <v>1717</v>
      </c>
      <c r="K124" t="e">
        <v>#N/A</v>
      </c>
      <c r="L124" t="str">
        <f t="shared" si="1"/>
        <v>no</v>
      </c>
    </row>
    <row r="125" spans="8:12" hidden="1">
      <c r="H125" t="s">
        <v>1717</v>
      </c>
      <c r="I125" t="e">
        <v>#N/A</v>
      </c>
      <c r="J125" t="s">
        <v>1717</v>
      </c>
      <c r="K125" t="e">
        <v>#N/A</v>
      </c>
      <c r="L125" t="str">
        <f t="shared" si="1"/>
        <v>no</v>
      </c>
    </row>
    <row r="126" spans="8:12" hidden="1">
      <c r="H126" t="s">
        <v>1717</v>
      </c>
      <c r="I126" t="e">
        <v>#N/A</v>
      </c>
      <c r="J126" t="s">
        <v>1717</v>
      </c>
      <c r="K126" t="e">
        <v>#N/A</v>
      </c>
      <c r="L126" t="str">
        <f t="shared" si="1"/>
        <v>no</v>
      </c>
    </row>
    <row r="127" spans="8:12" hidden="1">
      <c r="H127" t="s">
        <v>1717</v>
      </c>
      <c r="I127" t="e">
        <v>#N/A</v>
      </c>
      <c r="J127" t="s">
        <v>1717</v>
      </c>
      <c r="K127" t="e">
        <v>#N/A</v>
      </c>
      <c r="L127" t="str">
        <f t="shared" si="1"/>
        <v>no</v>
      </c>
    </row>
    <row r="128" spans="8:12" hidden="1">
      <c r="H128" t="s">
        <v>1717</v>
      </c>
      <c r="I128" t="e">
        <v>#N/A</v>
      </c>
      <c r="J128" t="s">
        <v>1717</v>
      </c>
      <c r="K128" t="e">
        <v>#N/A</v>
      </c>
      <c r="L128" t="str">
        <f t="shared" si="1"/>
        <v>no</v>
      </c>
    </row>
    <row r="129" spans="8:12" hidden="1">
      <c r="H129" t="s">
        <v>1717</v>
      </c>
      <c r="I129" t="e">
        <v>#N/A</v>
      </c>
      <c r="J129" t="s">
        <v>1717</v>
      </c>
      <c r="K129" t="e">
        <v>#N/A</v>
      </c>
      <c r="L129" t="str">
        <f t="shared" si="1"/>
        <v>no</v>
      </c>
    </row>
    <row r="130" spans="8:12" hidden="1">
      <c r="H130" t="s">
        <v>1717</v>
      </c>
      <c r="I130" t="e">
        <v>#N/A</v>
      </c>
      <c r="J130" t="s">
        <v>1717</v>
      </c>
      <c r="K130" t="e">
        <v>#N/A</v>
      </c>
      <c r="L130" t="str">
        <f t="shared" si="1"/>
        <v>no</v>
      </c>
    </row>
    <row r="131" spans="8:12" hidden="1">
      <c r="H131" t="s">
        <v>1717</v>
      </c>
      <c r="I131" t="e">
        <v>#N/A</v>
      </c>
      <c r="J131" t="s">
        <v>1717</v>
      </c>
      <c r="K131" t="e">
        <v>#N/A</v>
      </c>
      <c r="L131" t="str">
        <f t="shared" ref="L131:L142" si="2">IF(COUNTIF(M:M, B131)&gt;0,$M$1,IF(COUNTIF(N:N, B131)&gt;0,$N$1,"no"))</f>
        <v>no</v>
      </c>
    </row>
    <row r="132" spans="8:12" hidden="1">
      <c r="H132" t="s">
        <v>1717</v>
      </c>
      <c r="I132" t="e">
        <v>#N/A</v>
      </c>
      <c r="J132" t="s">
        <v>1717</v>
      </c>
      <c r="K132" t="e">
        <v>#N/A</v>
      </c>
      <c r="L132" t="str">
        <f t="shared" si="2"/>
        <v>no</v>
      </c>
    </row>
    <row r="133" spans="8:12" hidden="1">
      <c r="H133" t="s">
        <v>1717</v>
      </c>
      <c r="I133" t="e">
        <v>#N/A</v>
      </c>
      <c r="J133" t="s">
        <v>1717</v>
      </c>
      <c r="K133" t="e">
        <v>#N/A</v>
      </c>
      <c r="L133" t="str">
        <f t="shared" si="2"/>
        <v>no</v>
      </c>
    </row>
    <row r="134" spans="8:12" hidden="1">
      <c r="H134" t="s">
        <v>1717</v>
      </c>
      <c r="I134" t="e">
        <v>#N/A</v>
      </c>
      <c r="J134" t="s">
        <v>1717</v>
      </c>
      <c r="K134" t="e">
        <v>#N/A</v>
      </c>
      <c r="L134" t="str">
        <f t="shared" si="2"/>
        <v>no</v>
      </c>
    </row>
    <row r="135" spans="8:12" hidden="1">
      <c r="H135" t="s">
        <v>1717</v>
      </c>
      <c r="I135" t="e">
        <v>#N/A</v>
      </c>
      <c r="J135" t="s">
        <v>1717</v>
      </c>
      <c r="K135" t="e">
        <v>#N/A</v>
      </c>
      <c r="L135" t="str">
        <f t="shared" si="2"/>
        <v>no</v>
      </c>
    </row>
    <row r="136" spans="8:12" hidden="1">
      <c r="H136" t="s">
        <v>1717</v>
      </c>
      <c r="I136" t="e">
        <v>#N/A</v>
      </c>
      <c r="J136" t="s">
        <v>1717</v>
      </c>
      <c r="K136" t="e">
        <v>#N/A</v>
      </c>
      <c r="L136" t="str">
        <f t="shared" si="2"/>
        <v>no</v>
      </c>
    </row>
    <row r="137" spans="8:12" hidden="1">
      <c r="H137" t="s">
        <v>1717</v>
      </c>
      <c r="I137" t="e">
        <v>#N/A</v>
      </c>
      <c r="J137" t="s">
        <v>1717</v>
      </c>
      <c r="K137" t="e">
        <v>#N/A</v>
      </c>
      <c r="L137" t="str">
        <f t="shared" si="2"/>
        <v>no</v>
      </c>
    </row>
    <row r="138" spans="8:12" hidden="1">
      <c r="H138" t="s">
        <v>1717</v>
      </c>
      <c r="I138" t="e">
        <v>#N/A</v>
      </c>
      <c r="J138" t="s">
        <v>1717</v>
      </c>
      <c r="K138" t="e">
        <v>#N/A</v>
      </c>
      <c r="L138" t="str">
        <f t="shared" si="2"/>
        <v>no</v>
      </c>
    </row>
    <row r="139" spans="8:12" hidden="1">
      <c r="H139" t="s">
        <v>1717</v>
      </c>
      <c r="I139" t="e">
        <v>#N/A</v>
      </c>
      <c r="J139" t="s">
        <v>1717</v>
      </c>
      <c r="K139" t="e">
        <v>#N/A</v>
      </c>
      <c r="L139" t="str">
        <f t="shared" si="2"/>
        <v>no</v>
      </c>
    </row>
    <row r="140" spans="8:12" hidden="1">
      <c r="H140" t="s">
        <v>1717</v>
      </c>
      <c r="I140" t="e">
        <v>#N/A</v>
      </c>
      <c r="J140" t="s">
        <v>1717</v>
      </c>
      <c r="K140" t="e">
        <v>#N/A</v>
      </c>
      <c r="L140" t="str">
        <f t="shared" si="2"/>
        <v>no</v>
      </c>
    </row>
    <row r="141" spans="8:12" hidden="1">
      <c r="H141" t="s">
        <v>1717</v>
      </c>
      <c r="I141" t="e">
        <v>#N/A</v>
      </c>
      <c r="J141" t="s">
        <v>1717</v>
      </c>
      <c r="K141" t="e">
        <v>#N/A</v>
      </c>
      <c r="L141" t="str">
        <f t="shared" si="2"/>
        <v>no</v>
      </c>
    </row>
    <row r="142" spans="8:12" hidden="1">
      <c r="H142" t="s">
        <v>1717</v>
      </c>
      <c r="I142" t="e">
        <v>#N/A</v>
      </c>
      <c r="J142" t="s">
        <v>1717</v>
      </c>
      <c r="K142" t="e">
        <v>#N/A</v>
      </c>
      <c r="L142" t="str">
        <f t="shared" si="2"/>
        <v>no</v>
      </c>
    </row>
  </sheetData>
  <autoFilter ref="A1:N142" xr:uid="{0DDD64FD-EE22-314F-AA17-26BA3A34BF23}">
    <filterColumn colId="4">
      <filters>
        <filter val="no"/>
      </filters>
    </filterColumn>
  </autoFilter>
  <phoneticPr fontId="1" type="noConversion"/>
  <conditionalFormatting sqref="E1:E1048576">
    <cfRule type="cellIs" dxfId="132" priority="4" operator="equal">
      <formula>"no"</formula>
    </cfRule>
    <cfRule type="cellIs" dxfId="131" priority="5" operator="equal">
      <formula>"yes"</formula>
    </cfRule>
  </conditionalFormatting>
  <conditionalFormatting sqref="F2:F142">
    <cfRule type="expression" dxfId="130" priority="3">
      <formula>F2&lt;&gt;E2</formula>
    </cfRule>
  </conditionalFormatting>
  <conditionalFormatting sqref="H2:H142">
    <cfRule type="expression" dxfId="129" priority="2" stopIfTrue="1">
      <formula>H2&lt;&gt;E2</formula>
    </cfRule>
  </conditionalFormatting>
  <conditionalFormatting sqref="J2:J142">
    <cfRule type="expression" dxfId="128" priority="1">
      <formula>J2&lt;&gt;E2</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FA273-F0BA-FA40-8951-AE8CBACAE451}">
  <sheetPr filterMode="1"/>
  <dimension ref="A1:N142"/>
  <sheetViews>
    <sheetView workbookViewId="0">
      <selection activeCell="B2" sqref="B2:B35"/>
    </sheetView>
  </sheetViews>
  <sheetFormatPr baseColWidth="10" defaultRowHeight="15"/>
  <cols>
    <col min="5" max="5" width="11.33203125" customWidth="1"/>
    <col min="12" max="12" width="14.33203125" customWidth="1"/>
  </cols>
  <sheetData>
    <row r="1" spans="1:14">
      <c r="A1" t="s">
        <v>88</v>
      </c>
      <c r="B1" t="s">
        <v>0</v>
      </c>
      <c r="C1" s="2" t="s">
        <v>202</v>
      </c>
      <c r="D1" t="s">
        <v>6</v>
      </c>
      <c r="E1" t="s">
        <v>1</v>
      </c>
      <c r="H1" t="s">
        <v>2866</v>
      </c>
      <c r="I1" t="s">
        <v>2867</v>
      </c>
      <c r="J1" t="s">
        <v>2841</v>
      </c>
      <c r="K1" t="s">
        <v>2841</v>
      </c>
      <c r="L1" t="s">
        <v>1067</v>
      </c>
      <c r="M1" t="s">
        <v>1192</v>
      </c>
      <c r="N1" t="s">
        <v>1105</v>
      </c>
    </row>
    <row r="2" spans="1:14" ht="19">
      <c r="A2">
        <v>1</v>
      </c>
      <c r="B2" s="1" t="s">
        <v>356</v>
      </c>
      <c r="E2" t="s">
        <v>390</v>
      </c>
      <c r="H2" t="s">
        <v>201</v>
      </c>
      <c r="I2" t="s">
        <v>2854</v>
      </c>
      <c r="J2" t="s">
        <v>192</v>
      </c>
      <c r="K2" t="s">
        <v>2501</v>
      </c>
      <c r="L2" t="str">
        <f>IF(COUNTIF(M:M, B2)&gt;0,$M$1,IF(COUNTIF(N:N, B2)&gt;0,$N$1,"no"))</f>
        <v>segmented videos list</v>
      </c>
      <c r="M2" s="1"/>
      <c r="N2" s="1" t="s">
        <v>370</v>
      </c>
    </row>
    <row r="3" spans="1:14" ht="19">
      <c r="A3">
        <v>2</v>
      </c>
      <c r="B3" s="1" t="s">
        <v>357</v>
      </c>
      <c r="E3" t="s">
        <v>390</v>
      </c>
      <c r="H3" t="s">
        <v>192</v>
      </c>
      <c r="I3" t="s">
        <v>2842</v>
      </c>
      <c r="J3" t="s">
        <v>201</v>
      </c>
      <c r="K3" t="s">
        <v>2492</v>
      </c>
      <c r="L3" t="str">
        <f t="shared" ref="L3:L66" si="0">IF(COUNTIF(M:M, B3)&gt;0,$M$1,IF(COUNTIF(N:N, B3)&gt;0,$N$1,"no"))</f>
        <v>segmented videos list</v>
      </c>
      <c r="M3" s="1"/>
      <c r="N3" s="1" t="s">
        <v>385</v>
      </c>
    </row>
    <row r="4" spans="1:14" ht="19">
      <c r="A4">
        <v>3</v>
      </c>
      <c r="B4" s="1" t="s">
        <v>358</v>
      </c>
      <c r="E4" t="s">
        <v>390</v>
      </c>
      <c r="H4" t="s">
        <v>201</v>
      </c>
      <c r="I4" t="s">
        <v>2846</v>
      </c>
      <c r="J4" t="s">
        <v>201</v>
      </c>
      <c r="K4" t="s">
        <v>2496</v>
      </c>
      <c r="L4" t="str">
        <f t="shared" si="0"/>
        <v>segmented videos list</v>
      </c>
      <c r="M4" s="1"/>
      <c r="N4" s="1" t="s">
        <v>361</v>
      </c>
    </row>
    <row r="5" spans="1:14" ht="19" hidden="1">
      <c r="A5">
        <v>4</v>
      </c>
      <c r="B5" s="1" t="s">
        <v>359</v>
      </c>
      <c r="E5" t="s">
        <v>390</v>
      </c>
      <c r="H5" t="s">
        <v>1717</v>
      </c>
      <c r="I5" t="e">
        <v>#N/A</v>
      </c>
      <c r="J5" t="s">
        <v>1717</v>
      </c>
      <c r="K5" t="e">
        <v>#N/A</v>
      </c>
      <c r="L5" t="str">
        <f t="shared" si="0"/>
        <v>no</v>
      </c>
      <c r="M5" s="1"/>
      <c r="N5" s="1" t="s">
        <v>371</v>
      </c>
    </row>
    <row r="6" spans="1:14" ht="19">
      <c r="A6">
        <v>5</v>
      </c>
      <c r="B6" s="1" t="s">
        <v>360</v>
      </c>
      <c r="E6" t="s">
        <v>390</v>
      </c>
      <c r="H6" t="s">
        <v>192</v>
      </c>
      <c r="I6" t="s">
        <v>2863</v>
      </c>
      <c r="J6" t="s">
        <v>201</v>
      </c>
      <c r="K6" t="s">
        <v>2509</v>
      </c>
      <c r="L6" t="str">
        <f t="shared" si="0"/>
        <v>segmented videos list</v>
      </c>
      <c r="M6" s="1"/>
      <c r="N6" s="1" t="s">
        <v>386</v>
      </c>
    </row>
    <row r="7" spans="1:14" ht="19">
      <c r="A7">
        <v>6</v>
      </c>
      <c r="B7" s="1" t="s">
        <v>361</v>
      </c>
      <c r="E7" t="s">
        <v>390</v>
      </c>
      <c r="H7" t="s">
        <v>201</v>
      </c>
      <c r="I7" t="s">
        <v>2848</v>
      </c>
      <c r="J7" t="s">
        <v>201</v>
      </c>
      <c r="K7" t="s">
        <v>2477</v>
      </c>
      <c r="L7" t="str">
        <f t="shared" si="0"/>
        <v>segmented videos list</v>
      </c>
      <c r="M7" s="1"/>
      <c r="N7" s="1" t="s">
        <v>364</v>
      </c>
    </row>
    <row r="8" spans="1:14" ht="19" hidden="1">
      <c r="A8">
        <v>7</v>
      </c>
      <c r="B8" s="1" t="s">
        <v>362</v>
      </c>
      <c r="E8" t="s">
        <v>390</v>
      </c>
      <c r="H8" t="s">
        <v>1717</v>
      </c>
      <c r="I8" t="e">
        <v>#N/A</v>
      </c>
      <c r="J8" t="s">
        <v>1717</v>
      </c>
      <c r="K8" t="e">
        <v>#N/A</v>
      </c>
      <c r="L8" t="str">
        <f t="shared" si="0"/>
        <v>no</v>
      </c>
      <c r="M8" s="1"/>
      <c r="N8" s="1" t="s">
        <v>372</v>
      </c>
    </row>
    <row r="9" spans="1:14" ht="19" hidden="1">
      <c r="A9">
        <v>8</v>
      </c>
      <c r="B9" s="1" t="s">
        <v>363</v>
      </c>
      <c r="E9" t="s">
        <v>390</v>
      </c>
      <c r="H9" t="s">
        <v>1717</v>
      </c>
      <c r="I9" t="e">
        <v>#N/A</v>
      </c>
      <c r="J9" t="s">
        <v>1717</v>
      </c>
      <c r="K9" t="e">
        <v>#N/A</v>
      </c>
      <c r="L9" t="str">
        <f t="shared" si="0"/>
        <v>no</v>
      </c>
      <c r="M9" s="1"/>
      <c r="N9" s="1" t="s">
        <v>387</v>
      </c>
    </row>
    <row r="10" spans="1:14" ht="19">
      <c r="A10">
        <v>9</v>
      </c>
      <c r="B10" s="1" t="s">
        <v>364</v>
      </c>
      <c r="E10" t="s">
        <v>390</v>
      </c>
      <c r="H10" t="s">
        <v>201</v>
      </c>
      <c r="I10" t="s">
        <v>2861</v>
      </c>
      <c r="J10" t="s">
        <v>201</v>
      </c>
      <c r="K10" t="s">
        <v>2507</v>
      </c>
      <c r="L10" t="str">
        <f t="shared" si="0"/>
        <v>segmented videos list</v>
      </c>
      <c r="M10" s="1"/>
      <c r="N10" s="1" t="s">
        <v>365</v>
      </c>
    </row>
    <row r="11" spans="1:14" ht="19">
      <c r="A11">
        <v>10</v>
      </c>
      <c r="B11" s="1" t="s">
        <v>365</v>
      </c>
      <c r="E11" t="s">
        <v>390</v>
      </c>
      <c r="H11" t="s">
        <v>192</v>
      </c>
      <c r="I11" t="s">
        <v>2865</v>
      </c>
      <c r="J11" t="s">
        <v>201</v>
      </c>
      <c r="K11" t="s">
        <v>2511</v>
      </c>
      <c r="L11" t="str">
        <f t="shared" si="0"/>
        <v>segmented videos list</v>
      </c>
      <c r="M11" s="1"/>
      <c r="N11" s="1" t="s">
        <v>373</v>
      </c>
    </row>
    <row r="12" spans="1:14" ht="19">
      <c r="A12">
        <v>11</v>
      </c>
      <c r="B12" s="1" t="s">
        <v>366</v>
      </c>
      <c r="E12" t="s">
        <v>390</v>
      </c>
      <c r="H12" t="s">
        <v>201</v>
      </c>
      <c r="I12" t="s">
        <v>2862</v>
      </c>
      <c r="J12" t="s">
        <v>201</v>
      </c>
      <c r="K12" t="s">
        <v>2508</v>
      </c>
      <c r="L12" t="str">
        <f t="shared" si="0"/>
        <v>segmented videos list</v>
      </c>
      <c r="M12" s="1"/>
      <c r="N12" s="1" t="s">
        <v>388</v>
      </c>
    </row>
    <row r="13" spans="1:14" ht="19">
      <c r="A13">
        <v>12</v>
      </c>
      <c r="B13" s="1" t="s">
        <v>367</v>
      </c>
      <c r="E13" t="s">
        <v>390</v>
      </c>
      <c r="H13" t="s">
        <v>192</v>
      </c>
      <c r="I13" t="s">
        <v>2851</v>
      </c>
      <c r="J13" t="s">
        <v>192</v>
      </c>
      <c r="K13" t="s">
        <v>2498</v>
      </c>
      <c r="L13" t="str">
        <f t="shared" si="0"/>
        <v>segmented videos list</v>
      </c>
      <c r="M13" s="1"/>
      <c r="N13" s="1" t="s">
        <v>366</v>
      </c>
    </row>
    <row r="14" spans="1:14" ht="19" hidden="1">
      <c r="A14">
        <v>13</v>
      </c>
      <c r="B14" s="1" t="s">
        <v>368</v>
      </c>
      <c r="E14" t="s">
        <v>390</v>
      </c>
      <c r="H14" t="s">
        <v>1717</v>
      </c>
      <c r="I14" t="e">
        <v>#N/A</v>
      </c>
      <c r="J14" t="s">
        <v>1717</v>
      </c>
      <c r="K14" t="e">
        <v>#N/A</v>
      </c>
      <c r="L14" t="str">
        <f t="shared" si="0"/>
        <v>no</v>
      </c>
      <c r="M14" s="1"/>
      <c r="N14" s="1" t="s">
        <v>379</v>
      </c>
    </row>
    <row r="15" spans="1:14" ht="19">
      <c r="A15">
        <v>14</v>
      </c>
      <c r="B15" s="1" t="s">
        <v>369</v>
      </c>
      <c r="E15" t="s">
        <v>390</v>
      </c>
      <c r="H15" t="s">
        <v>192</v>
      </c>
      <c r="I15" t="s">
        <v>2855</v>
      </c>
      <c r="J15" t="s">
        <v>192</v>
      </c>
      <c r="K15" t="s">
        <v>2502</v>
      </c>
      <c r="L15" t="str">
        <f t="shared" si="0"/>
        <v>segmented videos list</v>
      </c>
      <c r="M15" s="1"/>
      <c r="N15" s="1" t="s">
        <v>389</v>
      </c>
    </row>
    <row r="16" spans="1:14" ht="19">
      <c r="A16">
        <v>15</v>
      </c>
      <c r="B16" s="1" t="s">
        <v>370</v>
      </c>
      <c r="E16" t="s">
        <v>390</v>
      </c>
      <c r="H16" t="s">
        <v>201</v>
      </c>
      <c r="I16" t="s">
        <v>2843</v>
      </c>
      <c r="J16" t="s">
        <v>201</v>
      </c>
      <c r="K16" t="s">
        <v>2493</v>
      </c>
      <c r="L16" t="str">
        <f t="shared" si="0"/>
        <v>segmented videos list</v>
      </c>
      <c r="M16" s="1"/>
      <c r="N16" s="1" t="s">
        <v>367</v>
      </c>
    </row>
    <row r="17" spans="1:14" ht="19">
      <c r="A17">
        <v>16</v>
      </c>
      <c r="B17" s="1" t="s">
        <v>371</v>
      </c>
      <c r="E17" t="s">
        <v>390</v>
      </c>
      <c r="H17" t="s">
        <v>192</v>
      </c>
      <c r="I17" t="s">
        <v>2860</v>
      </c>
      <c r="J17" t="s">
        <v>201</v>
      </c>
      <c r="K17" t="s">
        <v>2506</v>
      </c>
      <c r="L17" t="str">
        <f t="shared" si="0"/>
        <v>segmented videos list</v>
      </c>
      <c r="M17" s="1"/>
      <c r="N17" s="1" t="s">
        <v>380</v>
      </c>
    </row>
    <row r="18" spans="1:14" ht="19">
      <c r="A18">
        <v>17</v>
      </c>
      <c r="B18" s="1" t="s">
        <v>372</v>
      </c>
      <c r="E18" t="s">
        <v>390</v>
      </c>
      <c r="H18" t="s">
        <v>201</v>
      </c>
      <c r="I18" t="s">
        <v>2853</v>
      </c>
      <c r="J18" t="s">
        <v>201</v>
      </c>
      <c r="K18" t="s">
        <v>2500</v>
      </c>
      <c r="L18" t="str">
        <f t="shared" si="0"/>
        <v>segmented videos list</v>
      </c>
      <c r="M18" s="1"/>
      <c r="N18" s="1" t="s">
        <v>356</v>
      </c>
    </row>
    <row r="19" spans="1:14" ht="19">
      <c r="A19">
        <v>18</v>
      </c>
      <c r="B19" s="1" t="s">
        <v>373</v>
      </c>
      <c r="E19" t="s">
        <v>390</v>
      </c>
      <c r="H19" t="s">
        <v>192</v>
      </c>
      <c r="I19" t="s">
        <v>2849</v>
      </c>
      <c r="J19" t="s">
        <v>192</v>
      </c>
      <c r="K19" t="s">
        <v>2512</v>
      </c>
      <c r="L19" t="str">
        <f t="shared" si="0"/>
        <v>segmented videos list</v>
      </c>
      <c r="M19" s="1"/>
      <c r="N19" s="1" t="s">
        <v>369</v>
      </c>
    </row>
    <row r="20" spans="1:14" ht="19" hidden="1">
      <c r="A20">
        <v>19</v>
      </c>
      <c r="B20" s="1" t="s">
        <v>374</v>
      </c>
      <c r="E20" t="s">
        <v>390</v>
      </c>
      <c r="H20" t="s">
        <v>1717</v>
      </c>
      <c r="I20" t="e">
        <v>#N/A</v>
      </c>
      <c r="J20" t="s">
        <v>1717</v>
      </c>
      <c r="K20" t="e">
        <v>#N/A</v>
      </c>
      <c r="L20" t="str">
        <f t="shared" si="0"/>
        <v>no</v>
      </c>
      <c r="M20" s="1"/>
      <c r="N20" s="1" t="s">
        <v>381</v>
      </c>
    </row>
    <row r="21" spans="1:14" ht="19" hidden="1">
      <c r="A21">
        <v>20</v>
      </c>
      <c r="B21" s="1" t="s">
        <v>375</v>
      </c>
      <c r="E21" t="s">
        <v>390</v>
      </c>
      <c r="H21" t="s">
        <v>1717</v>
      </c>
      <c r="I21" t="e">
        <v>#N/A</v>
      </c>
      <c r="J21" t="s">
        <v>1717</v>
      </c>
      <c r="K21" t="e">
        <v>#N/A</v>
      </c>
      <c r="L21" t="str">
        <f t="shared" si="0"/>
        <v>no</v>
      </c>
      <c r="M21" s="1"/>
      <c r="N21" s="1" t="s">
        <v>357</v>
      </c>
    </row>
    <row r="22" spans="1:14" ht="19" hidden="1">
      <c r="A22">
        <v>21</v>
      </c>
      <c r="B22" s="1" t="s">
        <v>376</v>
      </c>
      <c r="E22" t="s">
        <v>390</v>
      </c>
      <c r="H22" t="s">
        <v>1717</v>
      </c>
      <c r="I22" t="e">
        <v>#N/A</v>
      </c>
      <c r="J22" t="s">
        <v>1717</v>
      </c>
      <c r="K22" t="e">
        <v>#N/A</v>
      </c>
      <c r="L22" t="str">
        <f t="shared" si="0"/>
        <v>no</v>
      </c>
      <c r="M22" s="1"/>
      <c r="N22" s="1" t="s">
        <v>1292</v>
      </c>
    </row>
    <row r="23" spans="1:14" ht="19" hidden="1">
      <c r="A23">
        <v>22</v>
      </c>
      <c r="B23" s="1" t="s">
        <v>377</v>
      </c>
      <c r="E23" t="s">
        <v>390</v>
      </c>
      <c r="H23" t="s">
        <v>1717</v>
      </c>
      <c r="I23" t="e">
        <v>#N/A</v>
      </c>
      <c r="J23" t="s">
        <v>1717</v>
      </c>
      <c r="K23" t="e">
        <v>#N/A</v>
      </c>
      <c r="L23" t="str">
        <f t="shared" si="0"/>
        <v>no</v>
      </c>
      <c r="M23" s="1"/>
      <c r="N23" s="1" t="s">
        <v>382</v>
      </c>
    </row>
    <row r="24" spans="1:14" ht="19" hidden="1">
      <c r="A24">
        <v>23</v>
      </c>
      <c r="B24" s="1" t="s">
        <v>378</v>
      </c>
      <c r="E24" t="s">
        <v>390</v>
      </c>
      <c r="H24" t="s">
        <v>1717</v>
      </c>
      <c r="I24" t="e">
        <v>#N/A</v>
      </c>
      <c r="J24" t="s">
        <v>1717</v>
      </c>
      <c r="K24" t="e">
        <v>#N/A</v>
      </c>
      <c r="L24" t="str">
        <f t="shared" si="0"/>
        <v>no</v>
      </c>
      <c r="M24" s="1"/>
      <c r="N24" s="1" t="s">
        <v>358</v>
      </c>
    </row>
    <row r="25" spans="1:14" ht="19">
      <c r="A25">
        <v>24</v>
      </c>
      <c r="B25" s="1" t="s">
        <v>379</v>
      </c>
      <c r="E25" t="s">
        <v>390</v>
      </c>
      <c r="H25" t="s">
        <v>201</v>
      </c>
      <c r="I25" t="s">
        <v>2850</v>
      </c>
      <c r="J25" t="s">
        <v>201</v>
      </c>
      <c r="K25" t="s">
        <v>2206</v>
      </c>
      <c r="L25" t="str">
        <f t="shared" si="0"/>
        <v>segmented videos list</v>
      </c>
      <c r="M25" s="1"/>
      <c r="N25" s="1" t="s">
        <v>384</v>
      </c>
    </row>
    <row r="26" spans="1:14" ht="19">
      <c r="A26">
        <v>25</v>
      </c>
      <c r="B26" s="1" t="s">
        <v>380</v>
      </c>
      <c r="E26" t="s">
        <v>390</v>
      </c>
      <c r="H26" t="s">
        <v>201</v>
      </c>
      <c r="I26" t="s">
        <v>2859</v>
      </c>
      <c r="J26" t="s">
        <v>201</v>
      </c>
      <c r="K26" t="s">
        <v>2505</v>
      </c>
      <c r="L26" t="str">
        <f t="shared" si="0"/>
        <v>segmented videos list</v>
      </c>
      <c r="M26" s="1"/>
      <c r="N26" s="1" t="s">
        <v>360</v>
      </c>
    </row>
    <row r="27" spans="1:14" ht="19">
      <c r="A27">
        <v>26</v>
      </c>
      <c r="B27" s="1" t="s">
        <v>381</v>
      </c>
      <c r="E27" t="s">
        <v>390</v>
      </c>
      <c r="H27" t="s">
        <v>192</v>
      </c>
      <c r="I27" t="s">
        <v>2844</v>
      </c>
      <c r="J27" t="s">
        <v>201</v>
      </c>
      <c r="K27" t="s">
        <v>2494</v>
      </c>
      <c r="L27" t="str">
        <f t="shared" si="0"/>
        <v>segmented videos list</v>
      </c>
      <c r="M27" s="1"/>
      <c r="N27" s="1"/>
    </row>
    <row r="28" spans="1:14" ht="19">
      <c r="A28">
        <v>27</v>
      </c>
      <c r="B28" s="1" t="s">
        <v>382</v>
      </c>
      <c r="E28" t="s">
        <v>390</v>
      </c>
      <c r="H28" t="s">
        <v>192</v>
      </c>
      <c r="I28" t="s">
        <v>2856</v>
      </c>
      <c r="J28" t="s">
        <v>201</v>
      </c>
      <c r="K28" t="s">
        <v>2503</v>
      </c>
      <c r="L28" t="str">
        <f t="shared" si="0"/>
        <v>segmented videos list</v>
      </c>
      <c r="M28" s="1"/>
      <c r="N28" s="1"/>
    </row>
    <row r="29" spans="1:14" ht="19" hidden="1">
      <c r="A29">
        <v>28</v>
      </c>
      <c r="B29" s="1" t="s">
        <v>383</v>
      </c>
      <c r="E29" t="s">
        <v>390</v>
      </c>
      <c r="H29" t="s">
        <v>1717</v>
      </c>
      <c r="I29" t="e">
        <v>#N/A</v>
      </c>
      <c r="J29" t="s">
        <v>1717</v>
      </c>
      <c r="K29" t="e">
        <v>#N/A</v>
      </c>
      <c r="L29" t="str">
        <f t="shared" si="0"/>
        <v>no</v>
      </c>
      <c r="M29" s="1"/>
      <c r="N29" s="1"/>
    </row>
    <row r="30" spans="1:14" ht="19">
      <c r="A30">
        <v>29</v>
      </c>
      <c r="B30" s="1" t="s">
        <v>384</v>
      </c>
      <c r="E30" t="s">
        <v>390</v>
      </c>
      <c r="H30" t="s">
        <v>201</v>
      </c>
      <c r="I30" t="s">
        <v>2864</v>
      </c>
      <c r="J30" t="s">
        <v>201</v>
      </c>
      <c r="K30" t="s">
        <v>2510</v>
      </c>
      <c r="L30" t="str">
        <f t="shared" si="0"/>
        <v>segmented videos list</v>
      </c>
      <c r="M30" s="1"/>
      <c r="N30" s="1"/>
    </row>
    <row r="31" spans="1:14" ht="19">
      <c r="A31">
        <v>30</v>
      </c>
      <c r="B31" s="1" t="s">
        <v>385</v>
      </c>
      <c r="E31" t="s">
        <v>390</v>
      </c>
      <c r="H31" t="s">
        <v>201</v>
      </c>
      <c r="I31" t="s">
        <v>2847</v>
      </c>
      <c r="J31" t="s">
        <v>201</v>
      </c>
      <c r="K31" t="s">
        <v>2497</v>
      </c>
      <c r="L31" t="str">
        <f t="shared" si="0"/>
        <v>segmented videos list</v>
      </c>
      <c r="M31" s="1"/>
      <c r="N31" s="1"/>
    </row>
    <row r="32" spans="1:14" ht="19">
      <c r="A32">
        <v>31</v>
      </c>
      <c r="B32" s="1" t="s">
        <v>386</v>
      </c>
      <c r="E32" t="s">
        <v>390</v>
      </c>
      <c r="H32" t="s">
        <v>192</v>
      </c>
      <c r="I32" t="s">
        <v>2852</v>
      </c>
      <c r="J32" t="s">
        <v>192</v>
      </c>
      <c r="K32" t="s">
        <v>2499</v>
      </c>
      <c r="L32" t="str">
        <f t="shared" si="0"/>
        <v>segmented videos list</v>
      </c>
      <c r="M32" s="1"/>
      <c r="N32" s="1"/>
    </row>
    <row r="33" spans="1:14" ht="19">
      <c r="A33">
        <v>32</v>
      </c>
      <c r="B33" s="1" t="s">
        <v>387</v>
      </c>
      <c r="E33" t="s">
        <v>390</v>
      </c>
      <c r="H33" t="s">
        <v>201</v>
      </c>
      <c r="I33" t="s">
        <v>2857</v>
      </c>
      <c r="J33" t="s">
        <v>201</v>
      </c>
      <c r="K33" t="s">
        <v>2206</v>
      </c>
      <c r="L33" t="str">
        <f t="shared" si="0"/>
        <v>segmented videos list</v>
      </c>
      <c r="M33" s="1"/>
      <c r="N33" s="1"/>
    </row>
    <row r="34" spans="1:14" ht="19">
      <c r="A34">
        <v>33</v>
      </c>
      <c r="B34" s="1" t="s">
        <v>388</v>
      </c>
      <c r="E34" t="s">
        <v>390</v>
      </c>
      <c r="H34" t="s">
        <v>201</v>
      </c>
      <c r="I34" t="s">
        <v>2858</v>
      </c>
      <c r="J34" t="s">
        <v>201</v>
      </c>
      <c r="K34" t="s">
        <v>2504</v>
      </c>
      <c r="L34" t="str">
        <f t="shared" si="0"/>
        <v>segmented videos list</v>
      </c>
      <c r="M34" s="1"/>
      <c r="N34" s="1"/>
    </row>
    <row r="35" spans="1:14" ht="19">
      <c r="A35">
        <v>34</v>
      </c>
      <c r="B35" s="1" t="s">
        <v>389</v>
      </c>
      <c r="E35" t="s">
        <v>390</v>
      </c>
      <c r="H35" t="s">
        <v>192</v>
      </c>
      <c r="I35" t="s">
        <v>2845</v>
      </c>
      <c r="J35" t="s">
        <v>201</v>
      </c>
      <c r="K35" t="s">
        <v>2495</v>
      </c>
      <c r="L35" t="str">
        <f t="shared" si="0"/>
        <v>segmented videos list</v>
      </c>
      <c r="M35" s="1"/>
      <c r="N35" s="1"/>
    </row>
    <row r="36" spans="1:14" ht="19" hidden="1">
      <c r="B36" s="1"/>
      <c r="H36" t="s">
        <v>1717</v>
      </c>
      <c r="I36" t="e">
        <v>#N/A</v>
      </c>
      <c r="J36" t="s">
        <v>1717</v>
      </c>
      <c r="K36" t="e">
        <v>#N/A</v>
      </c>
      <c r="L36" t="str">
        <f t="shared" si="0"/>
        <v>no</v>
      </c>
      <c r="M36" s="1"/>
      <c r="N36" s="1"/>
    </row>
    <row r="37" spans="1:14" ht="19" hidden="1">
      <c r="B37" s="1"/>
      <c r="H37" t="s">
        <v>1717</v>
      </c>
      <c r="I37" t="e">
        <v>#N/A</v>
      </c>
      <c r="J37" t="s">
        <v>1717</v>
      </c>
      <c r="K37" t="e">
        <v>#N/A</v>
      </c>
      <c r="L37" t="str">
        <f t="shared" si="0"/>
        <v>no</v>
      </c>
      <c r="M37" s="1"/>
      <c r="N37" s="1"/>
    </row>
    <row r="38" spans="1:14" ht="19" hidden="1">
      <c r="B38" s="1"/>
      <c r="H38" t="s">
        <v>1717</v>
      </c>
      <c r="I38" t="e">
        <v>#N/A</v>
      </c>
      <c r="J38" t="s">
        <v>1717</v>
      </c>
      <c r="K38" t="e">
        <v>#N/A</v>
      </c>
      <c r="L38" t="str">
        <f t="shared" si="0"/>
        <v>no</v>
      </c>
      <c r="M38" s="1"/>
      <c r="N38" s="1"/>
    </row>
    <row r="39" spans="1:14" ht="19" hidden="1">
      <c r="B39" s="1"/>
      <c r="H39" t="s">
        <v>1717</v>
      </c>
      <c r="I39" t="e">
        <v>#N/A</v>
      </c>
      <c r="J39" t="s">
        <v>1717</v>
      </c>
      <c r="K39" t="e">
        <v>#N/A</v>
      </c>
      <c r="L39" t="str">
        <f t="shared" si="0"/>
        <v>no</v>
      </c>
      <c r="M39" s="1"/>
      <c r="N39" s="1"/>
    </row>
    <row r="40" spans="1:14" ht="19" hidden="1">
      <c r="B40" s="1"/>
      <c r="H40" t="s">
        <v>1717</v>
      </c>
      <c r="I40" t="e">
        <v>#N/A</v>
      </c>
      <c r="J40" t="s">
        <v>1717</v>
      </c>
      <c r="K40" t="e">
        <v>#N/A</v>
      </c>
      <c r="L40" t="str">
        <f t="shared" si="0"/>
        <v>no</v>
      </c>
      <c r="M40" s="1"/>
      <c r="N40" s="1"/>
    </row>
    <row r="41" spans="1:14" ht="19" hidden="1">
      <c r="B41" s="1"/>
      <c r="H41" t="s">
        <v>1717</v>
      </c>
      <c r="I41" t="e">
        <v>#N/A</v>
      </c>
      <c r="J41" t="s">
        <v>1717</v>
      </c>
      <c r="K41" t="e">
        <v>#N/A</v>
      </c>
      <c r="L41" t="str">
        <f t="shared" si="0"/>
        <v>no</v>
      </c>
      <c r="M41" s="1"/>
      <c r="N41" s="1"/>
    </row>
    <row r="42" spans="1:14" ht="19" hidden="1">
      <c r="B42" s="1"/>
      <c r="H42" t="s">
        <v>1717</v>
      </c>
      <c r="I42" t="e">
        <v>#N/A</v>
      </c>
      <c r="J42" t="s">
        <v>1717</v>
      </c>
      <c r="K42" t="e">
        <v>#N/A</v>
      </c>
      <c r="L42" t="str">
        <f t="shared" si="0"/>
        <v>no</v>
      </c>
      <c r="M42" s="1"/>
      <c r="N42" s="1"/>
    </row>
    <row r="43" spans="1:14" ht="19" hidden="1">
      <c r="B43" s="1"/>
      <c r="H43" t="s">
        <v>1717</v>
      </c>
      <c r="I43" t="e">
        <v>#N/A</v>
      </c>
      <c r="J43" t="s">
        <v>1717</v>
      </c>
      <c r="K43" t="e">
        <v>#N/A</v>
      </c>
      <c r="L43" t="str">
        <f t="shared" si="0"/>
        <v>no</v>
      </c>
      <c r="M43" s="1"/>
      <c r="N43" s="1"/>
    </row>
    <row r="44" spans="1:14" ht="19" hidden="1">
      <c r="B44" s="1"/>
      <c r="H44" t="s">
        <v>1717</v>
      </c>
      <c r="I44" t="e">
        <v>#N/A</v>
      </c>
      <c r="J44" t="s">
        <v>1717</v>
      </c>
      <c r="K44" t="e">
        <v>#N/A</v>
      </c>
      <c r="L44" t="str">
        <f t="shared" si="0"/>
        <v>no</v>
      </c>
      <c r="M44" s="1"/>
      <c r="N44" s="1"/>
    </row>
    <row r="45" spans="1:14" ht="19" hidden="1">
      <c r="B45" s="1"/>
      <c r="H45" t="s">
        <v>1717</v>
      </c>
      <c r="I45" t="e">
        <v>#N/A</v>
      </c>
      <c r="J45" t="s">
        <v>1717</v>
      </c>
      <c r="K45" t="e">
        <v>#N/A</v>
      </c>
      <c r="L45" t="str">
        <f t="shared" si="0"/>
        <v>no</v>
      </c>
      <c r="M45" s="1"/>
      <c r="N45" s="1"/>
    </row>
    <row r="46" spans="1:14" ht="19" hidden="1">
      <c r="B46" s="1"/>
      <c r="H46" t="s">
        <v>1717</v>
      </c>
      <c r="I46" t="e">
        <v>#N/A</v>
      </c>
      <c r="J46" t="s">
        <v>1717</v>
      </c>
      <c r="K46" t="e">
        <v>#N/A</v>
      </c>
      <c r="L46" t="str">
        <f t="shared" si="0"/>
        <v>no</v>
      </c>
      <c r="M46" s="1"/>
      <c r="N46" s="1"/>
    </row>
    <row r="47" spans="1:14" ht="19" hidden="1">
      <c r="B47" s="1"/>
      <c r="H47" t="s">
        <v>1717</v>
      </c>
      <c r="I47" t="e">
        <v>#N/A</v>
      </c>
      <c r="J47" t="s">
        <v>1717</v>
      </c>
      <c r="K47" t="e">
        <v>#N/A</v>
      </c>
      <c r="L47" t="str">
        <f t="shared" si="0"/>
        <v>no</v>
      </c>
      <c r="M47" s="1"/>
      <c r="N47" s="1"/>
    </row>
    <row r="48" spans="1:14" ht="19" hidden="1">
      <c r="B48" s="1"/>
      <c r="H48" t="s">
        <v>1717</v>
      </c>
      <c r="I48" t="e">
        <v>#N/A</v>
      </c>
      <c r="J48" t="s">
        <v>1717</v>
      </c>
      <c r="K48" t="e">
        <v>#N/A</v>
      </c>
      <c r="L48" t="str">
        <f t="shared" si="0"/>
        <v>no</v>
      </c>
      <c r="M48" s="1"/>
      <c r="N48" s="1"/>
    </row>
    <row r="49" spans="2:14" ht="19" hidden="1">
      <c r="B49" s="1"/>
      <c r="H49" t="s">
        <v>1717</v>
      </c>
      <c r="I49" t="e">
        <v>#N/A</v>
      </c>
      <c r="J49" t="s">
        <v>1717</v>
      </c>
      <c r="K49" t="e">
        <v>#N/A</v>
      </c>
      <c r="L49" t="str">
        <f t="shared" si="0"/>
        <v>no</v>
      </c>
      <c r="M49" s="1"/>
      <c r="N49" s="1"/>
    </row>
    <row r="50" spans="2:14" ht="19" hidden="1">
      <c r="B50" s="1"/>
      <c r="H50" t="s">
        <v>1717</v>
      </c>
      <c r="I50" t="e">
        <v>#N/A</v>
      </c>
      <c r="J50" t="s">
        <v>1717</v>
      </c>
      <c r="K50" t="e">
        <v>#N/A</v>
      </c>
      <c r="L50" t="str">
        <f t="shared" si="0"/>
        <v>no</v>
      </c>
      <c r="M50" s="1"/>
      <c r="N50" s="1"/>
    </row>
    <row r="51" spans="2:14" ht="19" hidden="1">
      <c r="B51" s="1"/>
      <c r="H51" t="s">
        <v>1717</v>
      </c>
      <c r="I51" t="e">
        <v>#N/A</v>
      </c>
      <c r="J51" t="s">
        <v>1717</v>
      </c>
      <c r="K51" t="e">
        <v>#N/A</v>
      </c>
      <c r="L51" t="str">
        <f t="shared" si="0"/>
        <v>no</v>
      </c>
      <c r="M51" s="1"/>
      <c r="N51" s="1"/>
    </row>
    <row r="52" spans="2:14" ht="19" hidden="1">
      <c r="B52" s="1"/>
      <c r="H52" t="s">
        <v>1717</v>
      </c>
      <c r="I52" t="e">
        <v>#N/A</v>
      </c>
      <c r="J52" t="s">
        <v>1717</v>
      </c>
      <c r="K52" t="e">
        <v>#N/A</v>
      </c>
      <c r="L52" t="str">
        <f t="shared" si="0"/>
        <v>no</v>
      </c>
      <c r="M52" s="1"/>
      <c r="N52" s="1"/>
    </row>
    <row r="53" spans="2:14" ht="19" hidden="1">
      <c r="B53" s="1"/>
      <c r="H53" t="s">
        <v>1717</v>
      </c>
      <c r="I53" t="e">
        <v>#N/A</v>
      </c>
      <c r="J53" t="s">
        <v>1717</v>
      </c>
      <c r="K53" t="e">
        <v>#N/A</v>
      </c>
      <c r="L53" t="str">
        <f t="shared" si="0"/>
        <v>no</v>
      </c>
      <c r="M53" s="1"/>
      <c r="N53" s="1"/>
    </row>
    <row r="54" spans="2:14" ht="19" hidden="1">
      <c r="B54" s="1"/>
      <c r="H54" t="s">
        <v>1717</v>
      </c>
      <c r="I54" t="e">
        <v>#N/A</v>
      </c>
      <c r="J54" t="s">
        <v>1717</v>
      </c>
      <c r="K54" t="e">
        <v>#N/A</v>
      </c>
      <c r="L54" t="str">
        <f t="shared" si="0"/>
        <v>no</v>
      </c>
      <c r="M54" s="1"/>
      <c r="N54" s="1"/>
    </row>
    <row r="55" spans="2:14" ht="19" hidden="1">
      <c r="B55" s="1"/>
      <c r="H55" t="s">
        <v>1717</v>
      </c>
      <c r="I55" t="e">
        <v>#N/A</v>
      </c>
      <c r="J55" t="s">
        <v>1717</v>
      </c>
      <c r="K55" t="e">
        <v>#N/A</v>
      </c>
      <c r="L55" t="str">
        <f t="shared" si="0"/>
        <v>no</v>
      </c>
      <c r="M55" s="1"/>
      <c r="N55" s="1"/>
    </row>
    <row r="56" spans="2:14" ht="19" hidden="1">
      <c r="B56" s="1"/>
      <c r="H56" t="s">
        <v>1717</v>
      </c>
      <c r="I56" t="e">
        <v>#N/A</v>
      </c>
      <c r="J56" t="s">
        <v>1717</v>
      </c>
      <c r="K56" t="e">
        <v>#N/A</v>
      </c>
      <c r="L56" t="str">
        <f t="shared" si="0"/>
        <v>no</v>
      </c>
      <c r="M56" s="1"/>
      <c r="N56" s="1"/>
    </row>
    <row r="57" spans="2:14" ht="19" hidden="1">
      <c r="H57" t="s">
        <v>1717</v>
      </c>
      <c r="I57" t="e">
        <v>#N/A</v>
      </c>
      <c r="J57" t="s">
        <v>1717</v>
      </c>
      <c r="K57" t="e">
        <v>#N/A</v>
      </c>
      <c r="L57" t="str">
        <f t="shared" si="0"/>
        <v>no</v>
      </c>
      <c r="M57" s="1"/>
      <c r="N57" s="1"/>
    </row>
    <row r="58" spans="2:14" ht="19" hidden="1">
      <c r="H58" t="s">
        <v>1717</v>
      </c>
      <c r="I58" t="e">
        <v>#N/A</v>
      </c>
      <c r="J58" t="s">
        <v>1717</v>
      </c>
      <c r="K58" t="e">
        <v>#N/A</v>
      </c>
      <c r="L58" t="str">
        <f t="shared" si="0"/>
        <v>no</v>
      </c>
      <c r="M58" s="1"/>
      <c r="N58" s="1"/>
    </row>
    <row r="59" spans="2:14" ht="19" hidden="1">
      <c r="H59" t="s">
        <v>1717</v>
      </c>
      <c r="I59" t="e">
        <v>#N/A</v>
      </c>
      <c r="J59" t="s">
        <v>1717</v>
      </c>
      <c r="K59" t="e">
        <v>#N/A</v>
      </c>
      <c r="L59" t="str">
        <f t="shared" si="0"/>
        <v>no</v>
      </c>
      <c r="M59" s="1"/>
      <c r="N59" s="1"/>
    </row>
    <row r="60" spans="2:14" ht="19" hidden="1">
      <c r="H60" t="s">
        <v>1717</v>
      </c>
      <c r="I60" t="e">
        <v>#N/A</v>
      </c>
      <c r="J60" t="s">
        <v>1717</v>
      </c>
      <c r="K60" t="e">
        <v>#N/A</v>
      </c>
      <c r="L60" t="str">
        <f t="shared" si="0"/>
        <v>no</v>
      </c>
      <c r="M60" s="1"/>
      <c r="N60" s="1"/>
    </row>
    <row r="61" spans="2:14" ht="19" hidden="1">
      <c r="H61" t="s">
        <v>1717</v>
      </c>
      <c r="I61" t="e">
        <v>#N/A</v>
      </c>
      <c r="J61" t="s">
        <v>1717</v>
      </c>
      <c r="K61" t="e">
        <v>#N/A</v>
      </c>
      <c r="L61" t="str">
        <f t="shared" si="0"/>
        <v>no</v>
      </c>
      <c r="M61" s="1"/>
      <c r="N61" s="1"/>
    </row>
    <row r="62" spans="2:14" ht="19" hidden="1">
      <c r="H62" t="s">
        <v>1717</v>
      </c>
      <c r="I62" t="e">
        <v>#N/A</v>
      </c>
      <c r="J62" t="s">
        <v>1717</v>
      </c>
      <c r="K62" t="e">
        <v>#N/A</v>
      </c>
      <c r="L62" t="str">
        <f t="shared" si="0"/>
        <v>no</v>
      </c>
      <c r="M62" s="1"/>
      <c r="N62" s="1"/>
    </row>
    <row r="63" spans="2:14" ht="19" hidden="1">
      <c r="H63" t="s">
        <v>1717</v>
      </c>
      <c r="I63" t="e">
        <v>#N/A</v>
      </c>
      <c r="J63" t="s">
        <v>1717</v>
      </c>
      <c r="K63" t="e">
        <v>#N/A</v>
      </c>
      <c r="L63" t="str">
        <f t="shared" si="0"/>
        <v>no</v>
      </c>
      <c r="M63" s="1"/>
      <c r="N63" s="1"/>
    </row>
    <row r="64" spans="2:14" ht="19" hidden="1">
      <c r="H64" t="s">
        <v>1717</v>
      </c>
      <c r="I64" t="e">
        <v>#N/A</v>
      </c>
      <c r="J64" t="s">
        <v>1717</v>
      </c>
      <c r="K64" t="e">
        <v>#N/A</v>
      </c>
      <c r="L64" t="str">
        <f t="shared" si="0"/>
        <v>no</v>
      </c>
      <c r="M64" s="1"/>
      <c r="N64" s="1"/>
    </row>
    <row r="65" spans="8:14" ht="19" hidden="1">
      <c r="H65" t="s">
        <v>1717</v>
      </c>
      <c r="I65" t="e">
        <v>#N/A</v>
      </c>
      <c r="J65" t="s">
        <v>1717</v>
      </c>
      <c r="K65" t="e">
        <v>#N/A</v>
      </c>
      <c r="L65" t="str">
        <f t="shared" si="0"/>
        <v>no</v>
      </c>
      <c r="M65" s="1"/>
      <c r="N65" s="1"/>
    </row>
    <row r="66" spans="8:14" ht="19" hidden="1">
      <c r="H66" t="s">
        <v>1717</v>
      </c>
      <c r="I66" t="e">
        <v>#N/A</v>
      </c>
      <c r="J66" t="s">
        <v>1717</v>
      </c>
      <c r="K66" t="e">
        <v>#N/A</v>
      </c>
      <c r="L66" t="str">
        <f t="shared" si="0"/>
        <v>no</v>
      </c>
      <c r="M66" s="1"/>
      <c r="N66" s="1"/>
    </row>
    <row r="67" spans="8:14" ht="19" hidden="1">
      <c r="H67" t="s">
        <v>1717</v>
      </c>
      <c r="I67" t="e">
        <v>#N/A</v>
      </c>
      <c r="J67" t="s">
        <v>1717</v>
      </c>
      <c r="K67" t="e">
        <v>#N/A</v>
      </c>
      <c r="L67" t="str">
        <f t="shared" ref="L67:L130" si="1">IF(COUNTIF(M:M, B67)&gt;0,$M$1,IF(COUNTIF(N:N, B67)&gt;0,$N$1,"no"))</f>
        <v>no</v>
      </c>
      <c r="M67" s="1"/>
      <c r="N67" s="1"/>
    </row>
    <row r="68" spans="8:14" ht="19" hidden="1">
      <c r="H68" t="s">
        <v>1717</v>
      </c>
      <c r="I68" t="e">
        <v>#N/A</v>
      </c>
      <c r="J68" t="s">
        <v>1717</v>
      </c>
      <c r="K68" t="e">
        <v>#N/A</v>
      </c>
      <c r="L68" t="str">
        <f t="shared" si="1"/>
        <v>no</v>
      </c>
      <c r="M68" s="1"/>
      <c r="N68" s="1"/>
    </row>
    <row r="69" spans="8:14" ht="19" hidden="1">
      <c r="H69" t="s">
        <v>1717</v>
      </c>
      <c r="I69" t="e">
        <v>#N/A</v>
      </c>
      <c r="J69" t="s">
        <v>1717</v>
      </c>
      <c r="K69" t="e">
        <v>#N/A</v>
      </c>
      <c r="L69" t="str">
        <f t="shared" si="1"/>
        <v>no</v>
      </c>
      <c r="M69" s="1"/>
      <c r="N69" s="1"/>
    </row>
    <row r="70" spans="8:14" ht="19" hidden="1">
      <c r="H70" t="s">
        <v>1717</v>
      </c>
      <c r="I70" t="e">
        <v>#N/A</v>
      </c>
      <c r="J70" t="s">
        <v>1717</v>
      </c>
      <c r="K70" t="e">
        <v>#N/A</v>
      </c>
      <c r="L70" t="str">
        <f t="shared" si="1"/>
        <v>no</v>
      </c>
      <c r="M70" s="1"/>
      <c r="N70" s="1"/>
    </row>
    <row r="71" spans="8:14" ht="19" hidden="1">
      <c r="H71" t="s">
        <v>1717</v>
      </c>
      <c r="I71" t="e">
        <v>#N/A</v>
      </c>
      <c r="J71" t="s">
        <v>1717</v>
      </c>
      <c r="K71" t="e">
        <v>#N/A</v>
      </c>
      <c r="L71" t="str">
        <f t="shared" si="1"/>
        <v>no</v>
      </c>
      <c r="M71" s="1"/>
      <c r="N71" s="1"/>
    </row>
    <row r="72" spans="8:14" ht="19" hidden="1">
      <c r="H72" t="s">
        <v>1717</v>
      </c>
      <c r="I72" t="e">
        <v>#N/A</v>
      </c>
      <c r="J72" t="s">
        <v>1717</v>
      </c>
      <c r="K72" t="e">
        <v>#N/A</v>
      </c>
      <c r="L72" t="str">
        <f t="shared" si="1"/>
        <v>no</v>
      </c>
      <c r="M72" s="1"/>
      <c r="N72" s="1"/>
    </row>
    <row r="73" spans="8:14" ht="19" hidden="1">
      <c r="H73" t="s">
        <v>1717</v>
      </c>
      <c r="I73" t="e">
        <v>#N/A</v>
      </c>
      <c r="J73" t="s">
        <v>1717</v>
      </c>
      <c r="K73" t="e">
        <v>#N/A</v>
      </c>
      <c r="L73" t="str">
        <f t="shared" si="1"/>
        <v>no</v>
      </c>
      <c r="M73" s="1"/>
      <c r="N73" s="1"/>
    </row>
    <row r="74" spans="8:14" ht="19" hidden="1">
      <c r="H74" t="s">
        <v>1717</v>
      </c>
      <c r="I74" t="e">
        <v>#N/A</v>
      </c>
      <c r="J74" t="s">
        <v>1717</v>
      </c>
      <c r="K74" t="e">
        <v>#N/A</v>
      </c>
      <c r="L74" t="str">
        <f t="shared" si="1"/>
        <v>no</v>
      </c>
      <c r="M74" s="1"/>
      <c r="N74" s="1"/>
    </row>
    <row r="75" spans="8:14" ht="19" hidden="1">
      <c r="H75" t="s">
        <v>1717</v>
      </c>
      <c r="I75" t="e">
        <v>#N/A</v>
      </c>
      <c r="J75" t="s">
        <v>1717</v>
      </c>
      <c r="K75" t="e">
        <v>#N/A</v>
      </c>
      <c r="L75" t="str">
        <f t="shared" si="1"/>
        <v>no</v>
      </c>
      <c r="M75" s="1"/>
      <c r="N75" s="1"/>
    </row>
    <row r="76" spans="8:14" ht="19" hidden="1">
      <c r="H76" t="s">
        <v>1717</v>
      </c>
      <c r="I76" t="e">
        <v>#N/A</v>
      </c>
      <c r="J76" t="s">
        <v>1717</v>
      </c>
      <c r="K76" t="e">
        <v>#N/A</v>
      </c>
      <c r="L76" t="str">
        <f t="shared" si="1"/>
        <v>no</v>
      </c>
      <c r="M76" s="1"/>
      <c r="N76" s="1"/>
    </row>
    <row r="77" spans="8:14" ht="19" hidden="1">
      <c r="H77" t="s">
        <v>1717</v>
      </c>
      <c r="I77" t="e">
        <v>#N/A</v>
      </c>
      <c r="J77" t="s">
        <v>1717</v>
      </c>
      <c r="K77" t="e">
        <v>#N/A</v>
      </c>
      <c r="L77" t="str">
        <f t="shared" si="1"/>
        <v>no</v>
      </c>
      <c r="M77" s="1"/>
      <c r="N77" s="1"/>
    </row>
    <row r="78" spans="8:14" ht="19" hidden="1">
      <c r="H78" t="s">
        <v>1717</v>
      </c>
      <c r="I78" t="e">
        <v>#N/A</v>
      </c>
      <c r="J78" t="s">
        <v>1717</v>
      </c>
      <c r="K78" t="e">
        <v>#N/A</v>
      </c>
      <c r="L78" t="str">
        <f t="shared" si="1"/>
        <v>no</v>
      </c>
      <c r="M78" s="1"/>
      <c r="N78" s="1"/>
    </row>
    <row r="79" spans="8:14" ht="19" hidden="1">
      <c r="H79" t="s">
        <v>1717</v>
      </c>
      <c r="I79" t="e">
        <v>#N/A</v>
      </c>
      <c r="J79" t="s">
        <v>1717</v>
      </c>
      <c r="K79" t="e">
        <v>#N/A</v>
      </c>
      <c r="L79" t="str">
        <f t="shared" si="1"/>
        <v>no</v>
      </c>
      <c r="M79" s="1"/>
      <c r="N79" s="1"/>
    </row>
    <row r="80" spans="8:14" ht="19" hidden="1">
      <c r="H80" t="s">
        <v>1717</v>
      </c>
      <c r="I80" t="e">
        <v>#N/A</v>
      </c>
      <c r="J80" t="s">
        <v>1717</v>
      </c>
      <c r="K80" t="e">
        <v>#N/A</v>
      </c>
      <c r="L80" t="str">
        <f t="shared" si="1"/>
        <v>no</v>
      </c>
      <c r="M80" s="1"/>
      <c r="N80" s="1"/>
    </row>
    <row r="81" spans="8:12" hidden="1">
      <c r="H81" t="s">
        <v>1717</v>
      </c>
      <c r="I81" t="e">
        <v>#N/A</v>
      </c>
      <c r="J81" t="s">
        <v>1717</v>
      </c>
      <c r="K81" t="e">
        <v>#N/A</v>
      </c>
      <c r="L81" t="str">
        <f t="shared" si="1"/>
        <v>no</v>
      </c>
    </row>
    <row r="82" spans="8:12" hidden="1">
      <c r="H82" t="s">
        <v>1717</v>
      </c>
      <c r="I82" t="e">
        <v>#N/A</v>
      </c>
      <c r="J82" t="s">
        <v>1717</v>
      </c>
      <c r="K82" t="e">
        <v>#N/A</v>
      </c>
      <c r="L82" t="str">
        <f t="shared" si="1"/>
        <v>no</v>
      </c>
    </row>
    <row r="83" spans="8:12" hidden="1">
      <c r="H83" t="s">
        <v>1717</v>
      </c>
      <c r="I83" t="e">
        <v>#N/A</v>
      </c>
      <c r="J83" t="s">
        <v>1717</v>
      </c>
      <c r="K83" t="e">
        <v>#N/A</v>
      </c>
      <c r="L83" t="str">
        <f t="shared" si="1"/>
        <v>no</v>
      </c>
    </row>
    <row r="84" spans="8:12" hidden="1">
      <c r="H84" t="s">
        <v>1717</v>
      </c>
      <c r="I84" t="e">
        <v>#N/A</v>
      </c>
      <c r="J84" t="s">
        <v>1717</v>
      </c>
      <c r="K84" t="e">
        <v>#N/A</v>
      </c>
      <c r="L84" t="str">
        <f t="shared" si="1"/>
        <v>no</v>
      </c>
    </row>
    <row r="85" spans="8:12" hidden="1">
      <c r="H85" t="s">
        <v>1717</v>
      </c>
      <c r="I85" t="e">
        <v>#N/A</v>
      </c>
      <c r="J85" t="s">
        <v>1717</v>
      </c>
      <c r="K85" t="e">
        <v>#N/A</v>
      </c>
      <c r="L85" t="str">
        <f t="shared" si="1"/>
        <v>no</v>
      </c>
    </row>
    <row r="86" spans="8:12" hidden="1">
      <c r="H86" t="s">
        <v>1717</v>
      </c>
      <c r="I86" t="e">
        <v>#N/A</v>
      </c>
      <c r="J86" t="s">
        <v>1717</v>
      </c>
      <c r="K86" t="e">
        <v>#N/A</v>
      </c>
      <c r="L86" t="str">
        <f t="shared" si="1"/>
        <v>no</v>
      </c>
    </row>
    <row r="87" spans="8:12" hidden="1">
      <c r="H87" t="s">
        <v>1717</v>
      </c>
      <c r="I87" t="e">
        <v>#N/A</v>
      </c>
      <c r="J87" t="s">
        <v>1717</v>
      </c>
      <c r="K87" t="e">
        <v>#N/A</v>
      </c>
      <c r="L87" t="str">
        <f t="shared" si="1"/>
        <v>no</v>
      </c>
    </row>
    <row r="88" spans="8:12" hidden="1">
      <c r="H88" t="s">
        <v>1717</v>
      </c>
      <c r="I88" t="e">
        <v>#N/A</v>
      </c>
      <c r="J88" t="s">
        <v>1717</v>
      </c>
      <c r="K88" t="e">
        <v>#N/A</v>
      </c>
      <c r="L88" t="str">
        <f t="shared" si="1"/>
        <v>no</v>
      </c>
    </row>
    <row r="89" spans="8:12" hidden="1">
      <c r="H89" t="s">
        <v>1717</v>
      </c>
      <c r="I89" t="e">
        <v>#N/A</v>
      </c>
      <c r="J89" t="s">
        <v>1717</v>
      </c>
      <c r="K89" t="e">
        <v>#N/A</v>
      </c>
      <c r="L89" t="str">
        <f t="shared" si="1"/>
        <v>no</v>
      </c>
    </row>
    <row r="90" spans="8:12" hidden="1">
      <c r="H90" t="s">
        <v>1717</v>
      </c>
      <c r="I90" t="e">
        <v>#N/A</v>
      </c>
      <c r="J90" t="s">
        <v>1717</v>
      </c>
      <c r="K90" t="e">
        <v>#N/A</v>
      </c>
      <c r="L90" t="str">
        <f t="shared" si="1"/>
        <v>no</v>
      </c>
    </row>
    <row r="91" spans="8:12" hidden="1">
      <c r="H91" t="s">
        <v>1717</v>
      </c>
      <c r="I91" t="e">
        <v>#N/A</v>
      </c>
      <c r="J91" t="s">
        <v>1717</v>
      </c>
      <c r="K91" t="e">
        <v>#N/A</v>
      </c>
      <c r="L91" t="str">
        <f t="shared" si="1"/>
        <v>no</v>
      </c>
    </row>
    <row r="92" spans="8:12" hidden="1">
      <c r="H92" t="s">
        <v>1717</v>
      </c>
      <c r="I92" t="e">
        <v>#N/A</v>
      </c>
      <c r="J92" t="s">
        <v>1717</v>
      </c>
      <c r="K92" t="e">
        <v>#N/A</v>
      </c>
      <c r="L92" t="str">
        <f t="shared" si="1"/>
        <v>no</v>
      </c>
    </row>
    <row r="93" spans="8:12" hidden="1">
      <c r="H93" t="s">
        <v>1717</v>
      </c>
      <c r="I93" t="e">
        <v>#N/A</v>
      </c>
      <c r="J93" t="s">
        <v>1717</v>
      </c>
      <c r="K93" t="e">
        <v>#N/A</v>
      </c>
      <c r="L93" t="str">
        <f t="shared" si="1"/>
        <v>no</v>
      </c>
    </row>
    <row r="94" spans="8:12" hidden="1">
      <c r="H94" t="s">
        <v>1717</v>
      </c>
      <c r="I94" t="e">
        <v>#N/A</v>
      </c>
      <c r="J94" t="s">
        <v>1717</v>
      </c>
      <c r="K94" t="e">
        <v>#N/A</v>
      </c>
      <c r="L94" t="str">
        <f t="shared" si="1"/>
        <v>no</v>
      </c>
    </row>
    <row r="95" spans="8:12" hidden="1">
      <c r="H95" t="s">
        <v>1717</v>
      </c>
      <c r="I95" t="e">
        <v>#N/A</v>
      </c>
      <c r="J95" t="s">
        <v>1717</v>
      </c>
      <c r="K95" t="e">
        <v>#N/A</v>
      </c>
      <c r="L95" t="str">
        <f t="shared" si="1"/>
        <v>no</v>
      </c>
    </row>
    <row r="96" spans="8:12" hidden="1">
      <c r="H96" t="s">
        <v>1717</v>
      </c>
      <c r="I96" t="e">
        <v>#N/A</v>
      </c>
      <c r="J96" t="s">
        <v>1717</v>
      </c>
      <c r="K96" t="e">
        <v>#N/A</v>
      </c>
      <c r="L96" t="str">
        <f t="shared" si="1"/>
        <v>no</v>
      </c>
    </row>
    <row r="97" spans="8:12" hidden="1">
      <c r="H97" t="s">
        <v>1717</v>
      </c>
      <c r="I97" t="e">
        <v>#N/A</v>
      </c>
      <c r="J97" t="s">
        <v>1717</v>
      </c>
      <c r="K97" t="e">
        <v>#N/A</v>
      </c>
      <c r="L97" t="str">
        <f t="shared" si="1"/>
        <v>no</v>
      </c>
    </row>
    <row r="98" spans="8:12" hidden="1">
      <c r="H98" t="s">
        <v>1717</v>
      </c>
      <c r="I98" t="e">
        <v>#N/A</v>
      </c>
      <c r="J98" t="s">
        <v>1717</v>
      </c>
      <c r="K98" t="e">
        <v>#N/A</v>
      </c>
      <c r="L98" t="str">
        <f t="shared" si="1"/>
        <v>no</v>
      </c>
    </row>
    <row r="99" spans="8:12" hidden="1">
      <c r="H99" t="s">
        <v>1717</v>
      </c>
      <c r="I99" t="e">
        <v>#N/A</v>
      </c>
      <c r="J99" t="s">
        <v>1717</v>
      </c>
      <c r="K99" t="e">
        <v>#N/A</v>
      </c>
      <c r="L99" t="str">
        <f t="shared" si="1"/>
        <v>no</v>
      </c>
    </row>
    <row r="100" spans="8:12" hidden="1">
      <c r="H100" t="s">
        <v>1717</v>
      </c>
      <c r="I100" t="e">
        <v>#N/A</v>
      </c>
      <c r="J100" t="s">
        <v>1717</v>
      </c>
      <c r="K100" t="e">
        <v>#N/A</v>
      </c>
      <c r="L100" t="str">
        <f t="shared" si="1"/>
        <v>no</v>
      </c>
    </row>
    <row r="101" spans="8:12" hidden="1">
      <c r="H101" t="s">
        <v>1717</v>
      </c>
      <c r="I101" t="e">
        <v>#N/A</v>
      </c>
      <c r="J101" t="s">
        <v>1717</v>
      </c>
      <c r="K101" t="e">
        <v>#N/A</v>
      </c>
      <c r="L101" t="str">
        <f t="shared" si="1"/>
        <v>no</v>
      </c>
    </row>
    <row r="102" spans="8:12" hidden="1">
      <c r="H102" t="s">
        <v>1717</v>
      </c>
      <c r="I102" t="e">
        <v>#N/A</v>
      </c>
      <c r="J102" t="s">
        <v>1717</v>
      </c>
      <c r="K102" t="e">
        <v>#N/A</v>
      </c>
      <c r="L102" t="str">
        <f t="shared" si="1"/>
        <v>no</v>
      </c>
    </row>
    <row r="103" spans="8:12" hidden="1">
      <c r="H103" t="s">
        <v>1717</v>
      </c>
      <c r="I103" t="e">
        <v>#N/A</v>
      </c>
      <c r="J103" t="s">
        <v>1717</v>
      </c>
      <c r="K103" t="e">
        <v>#N/A</v>
      </c>
      <c r="L103" t="str">
        <f t="shared" si="1"/>
        <v>no</v>
      </c>
    </row>
    <row r="104" spans="8:12" hidden="1">
      <c r="H104" t="s">
        <v>1717</v>
      </c>
      <c r="I104" t="e">
        <v>#N/A</v>
      </c>
      <c r="J104" t="s">
        <v>1717</v>
      </c>
      <c r="K104" t="e">
        <v>#N/A</v>
      </c>
      <c r="L104" t="str">
        <f t="shared" si="1"/>
        <v>no</v>
      </c>
    </row>
    <row r="105" spans="8:12" hidden="1">
      <c r="H105" t="s">
        <v>1717</v>
      </c>
      <c r="I105" t="e">
        <v>#N/A</v>
      </c>
      <c r="J105" t="s">
        <v>1717</v>
      </c>
      <c r="K105" t="e">
        <v>#N/A</v>
      </c>
      <c r="L105" t="str">
        <f t="shared" si="1"/>
        <v>no</v>
      </c>
    </row>
    <row r="106" spans="8:12" hidden="1">
      <c r="H106" t="s">
        <v>1717</v>
      </c>
      <c r="I106" t="e">
        <v>#N/A</v>
      </c>
      <c r="J106" t="s">
        <v>1717</v>
      </c>
      <c r="K106" t="e">
        <v>#N/A</v>
      </c>
      <c r="L106" t="str">
        <f t="shared" si="1"/>
        <v>no</v>
      </c>
    </row>
    <row r="107" spans="8:12" hidden="1">
      <c r="H107" t="s">
        <v>1717</v>
      </c>
      <c r="I107" t="e">
        <v>#N/A</v>
      </c>
      <c r="J107" t="s">
        <v>1717</v>
      </c>
      <c r="K107" t="e">
        <v>#N/A</v>
      </c>
      <c r="L107" t="str">
        <f t="shared" si="1"/>
        <v>no</v>
      </c>
    </row>
    <row r="108" spans="8:12" hidden="1">
      <c r="H108" t="s">
        <v>1717</v>
      </c>
      <c r="I108" t="e">
        <v>#N/A</v>
      </c>
      <c r="J108" t="s">
        <v>1717</v>
      </c>
      <c r="K108" t="e">
        <v>#N/A</v>
      </c>
      <c r="L108" t="str">
        <f t="shared" si="1"/>
        <v>no</v>
      </c>
    </row>
    <row r="109" spans="8:12" hidden="1">
      <c r="H109" t="s">
        <v>1717</v>
      </c>
      <c r="I109" t="e">
        <v>#N/A</v>
      </c>
      <c r="J109" t="s">
        <v>1717</v>
      </c>
      <c r="K109" t="e">
        <v>#N/A</v>
      </c>
      <c r="L109" t="str">
        <f t="shared" si="1"/>
        <v>no</v>
      </c>
    </row>
    <row r="110" spans="8:12" hidden="1">
      <c r="H110" t="s">
        <v>1717</v>
      </c>
      <c r="I110" t="e">
        <v>#N/A</v>
      </c>
      <c r="J110" t="s">
        <v>1717</v>
      </c>
      <c r="K110" t="e">
        <v>#N/A</v>
      </c>
      <c r="L110" t="str">
        <f t="shared" si="1"/>
        <v>no</v>
      </c>
    </row>
    <row r="111" spans="8:12" hidden="1">
      <c r="H111" t="s">
        <v>1717</v>
      </c>
      <c r="I111" t="e">
        <v>#N/A</v>
      </c>
      <c r="J111" t="s">
        <v>1717</v>
      </c>
      <c r="K111" t="e">
        <v>#N/A</v>
      </c>
      <c r="L111" t="str">
        <f t="shared" si="1"/>
        <v>no</v>
      </c>
    </row>
    <row r="112" spans="8:12" hidden="1">
      <c r="H112" t="s">
        <v>1717</v>
      </c>
      <c r="I112" t="e">
        <v>#N/A</v>
      </c>
      <c r="J112" t="s">
        <v>1717</v>
      </c>
      <c r="K112" t="e">
        <v>#N/A</v>
      </c>
      <c r="L112" t="str">
        <f t="shared" si="1"/>
        <v>no</v>
      </c>
    </row>
    <row r="113" spans="8:12" hidden="1">
      <c r="H113" t="s">
        <v>1717</v>
      </c>
      <c r="I113" t="e">
        <v>#N/A</v>
      </c>
      <c r="J113" t="s">
        <v>1717</v>
      </c>
      <c r="K113" t="e">
        <v>#N/A</v>
      </c>
      <c r="L113" t="str">
        <f t="shared" si="1"/>
        <v>no</v>
      </c>
    </row>
    <row r="114" spans="8:12" hidden="1">
      <c r="H114" t="s">
        <v>1717</v>
      </c>
      <c r="I114" t="e">
        <v>#N/A</v>
      </c>
      <c r="J114" t="s">
        <v>1717</v>
      </c>
      <c r="K114" t="e">
        <v>#N/A</v>
      </c>
      <c r="L114" t="str">
        <f t="shared" si="1"/>
        <v>no</v>
      </c>
    </row>
    <row r="115" spans="8:12" hidden="1">
      <c r="H115" t="s">
        <v>1717</v>
      </c>
      <c r="I115" t="e">
        <v>#N/A</v>
      </c>
      <c r="J115" t="s">
        <v>1717</v>
      </c>
      <c r="K115" t="e">
        <v>#N/A</v>
      </c>
      <c r="L115" t="str">
        <f t="shared" si="1"/>
        <v>no</v>
      </c>
    </row>
    <row r="116" spans="8:12" hidden="1">
      <c r="H116" t="s">
        <v>1717</v>
      </c>
      <c r="I116" t="e">
        <v>#N/A</v>
      </c>
      <c r="J116" t="s">
        <v>1717</v>
      </c>
      <c r="K116" t="e">
        <v>#N/A</v>
      </c>
      <c r="L116" t="str">
        <f t="shared" si="1"/>
        <v>no</v>
      </c>
    </row>
    <row r="117" spans="8:12" hidden="1">
      <c r="H117" t="s">
        <v>1717</v>
      </c>
      <c r="I117" t="e">
        <v>#N/A</v>
      </c>
      <c r="J117" t="s">
        <v>1717</v>
      </c>
      <c r="K117" t="e">
        <v>#N/A</v>
      </c>
      <c r="L117" t="str">
        <f t="shared" si="1"/>
        <v>no</v>
      </c>
    </row>
    <row r="118" spans="8:12" hidden="1">
      <c r="H118" t="s">
        <v>1717</v>
      </c>
      <c r="I118" t="e">
        <v>#N/A</v>
      </c>
      <c r="J118" t="s">
        <v>1717</v>
      </c>
      <c r="K118" t="e">
        <v>#N/A</v>
      </c>
      <c r="L118" t="str">
        <f t="shared" si="1"/>
        <v>no</v>
      </c>
    </row>
    <row r="119" spans="8:12" hidden="1">
      <c r="H119" t="s">
        <v>1717</v>
      </c>
      <c r="I119" t="e">
        <v>#N/A</v>
      </c>
      <c r="J119" t="s">
        <v>1717</v>
      </c>
      <c r="K119" t="e">
        <v>#N/A</v>
      </c>
      <c r="L119" t="str">
        <f t="shared" si="1"/>
        <v>no</v>
      </c>
    </row>
    <row r="120" spans="8:12" hidden="1">
      <c r="H120" t="s">
        <v>1717</v>
      </c>
      <c r="I120" t="e">
        <v>#N/A</v>
      </c>
      <c r="J120" t="s">
        <v>1717</v>
      </c>
      <c r="K120" t="e">
        <v>#N/A</v>
      </c>
      <c r="L120" t="str">
        <f t="shared" si="1"/>
        <v>no</v>
      </c>
    </row>
    <row r="121" spans="8:12" hidden="1">
      <c r="H121" t="s">
        <v>1717</v>
      </c>
      <c r="I121" t="e">
        <v>#N/A</v>
      </c>
      <c r="J121" t="s">
        <v>1717</v>
      </c>
      <c r="K121" t="e">
        <v>#N/A</v>
      </c>
      <c r="L121" t="str">
        <f t="shared" si="1"/>
        <v>no</v>
      </c>
    </row>
    <row r="122" spans="8:12" hidden="1">
      <c r="H122" t="s">
        <v>1717</v>
      </c>
      <c r="I122" t="e">
        <v>#N/A</v>
      </c>
      <c r="J122" t="s">
        <v>1717</v>
      </c>
      <c r="K122" t="e">
        <v>#N/A</v>
      </c>
      <c r="L122" t="str">
        <f t="shared" si="1"/>
        <v>no</v>
      </c>
    </row>
    <row r="123" spans="8:12" hidden="1">
      <c r="H123" t="s">
        <v>1717</v>
      </c>
      <c r="I123" t="e">
        <v>#N/A</v>
      </c>
      <c r="J123" t="s">
        <v>1717</v>
      </c>
      <c r="K123" t="e">
        <v>#N/A</v>
      </c>
      <c r="L123" t="str">
        <f t="shared" si="1"/>
        <v>no</v>
      </c>
    </row>
    <row r="124" spans="8:12" hidden="1">
      <c r="H124" t="s">
        <v>1717</v>
      </c>
      <c r="I124" t="e">
        <v>#N/A</v>
      </c>
      <c r="J124" t="s">
        <v>1717</v>
      </c>
      <c r="K124" t="e">
        <v>#N/A</v>
      </c>
      <c r="L124" t="str">
        <f t="shared" si="1"/>
        <v>no</v>
      </c>
    </row>
    <row r="125" spans="8:12" hidden="1">
      <c r="H125" t="s">
        <v>1717</v>
      </c>
      <c r="I125" t="e">
        <v>#N/A</v>
      </c>
      <c r="J125" t="s">
        <v>1717</v>
      </c>
      <c r="K125" t="e">
        <v>#N/A</v>
      </c>
      <c r="L125" t="str">
        <f t="shared" si="1"/>
        <v>no</v>
      </c>
    </row>
    <row r="126" spans="8:12" hidden="1">
      <c r="H126" t="s">
        <v>1717</v>
      </c>
      <c r="I126" t="e">
        <v>#N/A</v>
      </c>
      <c r="J126" t="s">
        <v>1717</v>
      </c>
      <c r="K126" t="e">
        <v>#N/A</v>
      </c>
      <c r="L126" t="str">
        <f t="shared" si="1"/>
        <v>no</v>
      </c>
    </row>
    <row r="127" spans="8:12" hidden="1">
      <c r="H127" t="s">
        <v>1717</v>
      </c>
      <c r="I127" t="e">
        <v>#N/A</v>
      </c>
      <c r="J127" t="s">
        <v>1717</v>
      </c>
      <c r="K127" t="e">
        <v>#N/A</v>
      </c>
      <c r="L127" t="str">
        <f t="shared" si="1"/>
        <v>no</v>
      </c>
    </row>
    <row r="128" spans="8:12" hidden="1">
      <c r="H128" t="s">
        <v>1717</v>
      </c>
      <c r="I128" t="e">
        <v>#N/A</v>
      </c>
      <c r="J128" t="s">
        <v>1717</v>
      </c>
      <c r="K128" t="e">
        <v>#N/A</v>
      </c>
      <c r="L128" t="str">
        <f t="shared" si="1"/>
        <v>no</v>
      </c>
    </row>
    <row r="129" spans="8:12" hidden="1">
      <c r="H129" t="s">
        <v>1717</v>
      </c>
      <c r="I129" t="e">
        <v>#N/A</v>
      </c>
      <c r="J129" t="s">
        <v>1717</v>
      </c>
      <c r="K129" t="e">
        <v>#N/A</v>
      </c>
      <c r="L129" t="str">
        <f t="shared" si="1"/>
        <v>no</v>
      </c>
    </row>
    <row r="130" spans="8:12" hidden="1">
      <c r="H130" t="s">
        <v>1717</v>
      </c>
      <c r="I130" t="e">
        <v>#N/A</v>
      </c>
      <c r="J130" t="s">
        <v>1717</v>
      </c>
      <c r="K130" t="e">
        <v>#N/A</v>
      </c>
      <c r="L130" t="str">
        <f t="shared" si="1"/>
        <v>no</v>
      </c>
    </row>
    <row r="131" spans="8:12" hidden="1">
      <c r="H131" t="s">
        <v>1717</v>
      </c>
      <c r="I131" t="e">
        <v>#N/A</v>
      </c>
      <c r="J131" t="s">
        <v>1717</v>
      </c>
      <c r="K131" t="e">
        <v>#N/A</v>
      </c>
      <c r="L131" t="str">
        <f t="shared" ref="L131:L142" si="2">IF(COUNTIF(M:M, B131)&gt;0,$M$1,IF(COUNTIF(N:N, B131)&gt;0,$N$1,"no"))</f>
        <v>no</v>
      </c>
    </row>
    <row r="132" spans="8:12" hidden="1">
      <c r="H132" t="s">
        <v>1717</v>
      </c>
      <c r="I132" t="e">
        <v>#N/A</v>
      </c>
      <c r="J132" t="s">
        <v>1717</v>
      </c>
      <c r="K132" t="e">
        <v>#N/A</v>
      </c>
      <c r="L132" t="str">
        <f t="shared" si="2"/>
        <v>no</v>
      </c>
    </row>
    <row r="133" spans="8:12" hidden="1">
      <c r="H133" t="s">
        <v>1717</v>
      </c>
      <c r="I133" t="e">
        <v>#N/A</v>
      </c>
      <c r="J133" t="s">
        <v>1717</v>
      </c>
      <c r="K133" t="e">
        <v>#N/A</v>
      </c>
      <c r="L133" t="str">
        <f t="shared" si="2"/>
        <v>no</v>
      </c>
    </row>
    <row r="134" spans="8:12" hidden="1">
      <c r="H134" t="s">
        <v>1717</v>
      </c>
      <c r="I134" t="e">
        <v>#N/A</v>
      </c>
      <c r="J134" t="s">
        <v>1717</v>
      </c>
      <c r="K134" t="e">
        <v>#N/A</v>
      </c>
      <c r="L134" t="str">
        <f t="shared" si="2"/>
        <v>no</v>
      </c>
    </row>
    <row r="135" spans="8:12" hidden="1">
      <c r="H135" t="s">
        <v>1717</v>
      </c>
      <c r="I135" t="e">
        <v>#N/A</v>
      </c>
      <c r="J135" t="s">
        <v>1717</v>
      </c>
      <c r="K135" t="e">
        <v>#N/A</v>
      </c>
      <c r="L135" t="str">
        <f t="shared" si="2"/>
        <v>no</v>
      </c>
    </row>
    <row r="136" spans="8:12" hidden="1">
      <c r="H136" t="s">
        <v>1717</v>
      </c>
      <c r="I136" t="e">
        <v>#N/A</v>
      </c>
      <c r="J136" t="s">
        <v>1717</v>
      </c>
      <c r="K136" t="e">
        <v>#N/A</v>
      </c>
      <c r="L136" t="str">
        <f t="shared" si="2"/>
        <v>no</v>
      </c>
    </row>
    <row r="137" spans="8:12" hidden="1">
      <c r="H137" t="s">
        <v>1717</v>
      </c>
      <c r="I137" t="e">
        <v>#N/A</v>
      </c>
      <c r="J137" t="s">
        <v>1717</v>
      </c>
      <c r="K137" t="e">
        <v>#N/A</v>
      </c>
      <c r="L137" t="str">
        <f t="shared" si="2"/>
        <v>no</v>
      </c>
    </row>
    <row r="138" spans="8:12" hidden="1">
      <c r="H138" t="s">
        <v>1717</v>
      </c>
      <c r="I138" t="e">
        <v>#N/A</v>
      </c>
      <c r="J138" t="s">
        <v>1717</v>
      </c>
      <c r="K138" t="e">
        <v>#N/A</v>
      </c>
      <c r="L138" t="str">
        <f t="shared" si="2"/>
        <v>no</v>
      </c>
    </row>
    <row r="139" spans="8:12" hidden="1">
      <c r="H139" t="s">
        <v>1717</v>
      </c>
      <c r="I139" t="e">
        <v>#N/A</v>
      </c>
      <c r="J139" t="s">
        <v>1717</v>
      </c>
      <c r="K139" t="e">
        <v>#N/A</v>
      </c>
      <c r="L139" t="str">
        <f t="shared" si="2"/>
        <v>no</v>
      </c>
    </row>
    <row r="140" spans="8:12" hidden="1">
      <c r="H140" t="s">
        <v>1717</v>
      </c>
      <c r="I140" t="e">
        <v>#N/A</v>
      </c>
      <c r="J140" t="s">
        <v>1717</v>
      </c>
      <c r="K140" t="e">
        <v>#N/A</v>
      </c>
      <c r="L140" t="str">
        <f t="shared" si="2"/>
        <v>no</v>
      </c>
    </row>
    <row r="141" spans="8:12" hidden="1">
      <c r="H141" t="s">
        <v>1717</v>
      </c>
      <c r="I141" t="e">
        <v>#N/A</v>
      </c>
      <c r="J141" t="s">
        <v>1717</v>
      </c>
      <c r="K141" t="e">
        <v>#N/A</v>
      </c>
      <c r="L141" t="str">
        <f t="shared" si="2"/>
        <v>no</v>
      </c>
    </row>
    <row r="142" spans="8:12" hidden="1">
      <c r="H142" t="s">
        <v>1717</v>
      </c>
      <c r="I142" t="e">
        <v>#N/A</v>
      </c>
      <c r="J142" t="s">
        <v>1717</v>
      </c>
      <c r="K142" t="e">
        <v>#N/A</v>
      </c>
      <c r="L142" t="str">
        <f t="shared" si="2"/>
        <v>no</v>
      </c>
    </row>
  </sheetData>
  <autoFilter ref="A1:N142" xr:uid="{A08FA273-F0BA-FA40-8951-AE8CBACAE451}">
    <filterColumn colId="11">
      <filters>
        <filter val="segmented videos list"/>
      </filters>
    </filterColumn>
  </autoFilter>
  <phoneticPr fontId="1" type="noConversion"/>
  <conditionalFormatting sqref="E1:E1048576">
    <cfRule type="cellIs" dxfId="127" priority="4" operator="equal">
      <formula>"no"</formula>
    </cfRule>
    <cfRule type="cellIs" dxfId="126" priority="5" operator="equal">
      <formula>"yes"</formula>
    </cfRule>
  </conditionalFormatting>
  <conditionalFormatting sqref="F2:F142">
    <cfRule type="expression" dxfId="125" priority="3">
      <formula>F2&lt;&gt;E2</formula>
    </cfRule>
  </conditionalFormatting>
  <conditionalFormatting sqref="H2:H142">
    <cfRule type="expression" dxfId="124" priority="2" stopIfTrue="1">
      <formula>H2&lt;&gt;E2</formula>
    </cfRule>
  </conditionalFormatting>
  <conditionalFormatting sqref="J2:J142">
    <cfRule type="expression" dxfId="123" priority="1">
      <formula>J2&lt;&gt;E2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F59E8-BDA9-404E-A6EF-CB634F5DEC4D}">
  <sheetPr filterMode="1"/>
  <dimension ref="A1:N144"/>
  <sheetViews>
    <sheetView zoomScale="84" zoomScaleNormal="100" workbookViewId="0">
      <pane ySplit="1" topLeftCell="A2" activePane="bottomLeft" state="frozen"/>
      <selection pane="bottomLeft" activeCell="L56" sqref="L56"/>
    </sheetView>
  </sheetViews>
  <sheetFormatPr baseColWidth="10" defaultRowHeight="15"/>
  <cols>
    <col min="2" max="2" width="12.5" customWidth="1"/>
    <col min="3" max="3" width="4.83203125" style="2" customWidth="1"/>
    <col min="5" max="5" width="11.33203125" customWidth="1"/>
    <col min="12" max="12" width="14.33203125" customWidth="1"/>
  </cols>
  <sheetData>
    <row r="1" spans="1:14">
      <c r="A1" t="s">
        <v>88</v>
      </c>
      <c r="B1" t="s">
        <v>0</v>
      </c>
      <c r="C1" s="2" t="s">
        <v>202</v>
      </c>
      <c r="D1" t="s">
        <v>6</v>
      </c>
      <c r="E1" t="s">
        <v>1</v>
      </c>
      <c r="F1" t="s">
        <v>1904</v>
      </c>
      <c r="G1" t="s">
        <v>2592</v>
      </c>
      <c r="H1" t="s">
        <v>2677</v>
      </c>
      <c r="I1" t="s">
        <v>2677</v>
      </c>
      <c r="J1" t="s">
        <v>2676</v>
      </c>
      <c r="K1" t="s">
        <v>2592</v>
      </c>
      <c r="L1" t="s">
        <v>1067</v>
      </c>
      <c r="M1" t="s">
        <v>1192</v>
      </c>
      <c r="N1" t="s">
        <v>1105</v>
      </c>
    </row>
    <row r="2" spans="1:14" ht="19">
      <c r="A2">
        <v>1</v>
      </c>
      <c r="B2" s="1" t="s">
        <v>7</v>
      </c>
      <c r="C2" s="2" t="s">
        <v>271</v>
      </c>
      <c r="D2" t="s">
        <v>84</v>
      </c>
      <c r="E2" t="s">
        <v>391</v>
      </c>
      <c r="F2" t="s">
        <v>192</v>
      </c>
      <c r="G2" t="s">
        <v>2536</v>
      </c>
      <c r="H2" t="s">
        <v>192</v>
      </c>
      <c r="I2" t="s">
        <v>2700</v>
      </c>
      <c r="J2" t="s">
        <v>192</v>
      </c>
      <c r="K2" t="s">
        <v>1964</v>
      </c>
      <c r="L2" t="str">
        <f t="shared" ref="L2:L65" si="0">IF(COUNTIF(M:M, B2)&gt;0,$M$1,IF(COUNTIF(N:N, B2)&gt;0,$N$1,"no"))</f>
        <v>segmented videos list</v>
      </c>
      <c r="M2" s="1" t="s">
        <v>8</v>
      </c>
      <c r="N2" s="1" t="s">
        <v>7</v>
      </c>
    </row>
    <row r="3" spans="1:14" ht="19" hidden="1">
      <c r="A3">
        <v>2</v>
      </c>
      <c r="B3" s="1" t="s">
        <v>8</v>
      </c>
      <c r="C3" s="2" t="s">
        <v>271</v>
      </c>
      <c r="D3" t="s">
        <v>1204</v>
      </c>
      <c r="E3" t="s">
        <v>391</v>
      </c>
      <c r="F3" t="s">
        <v>192</v>
      </c>
      <c r="G3" t="s">
        <v>2566</v>
      </c>
      <c r="H3" t="s">
        <v>192</v>
      </c>
      <c r="I3" t="s">
        <v>2730</v>
      </c>
      <c r="J3" t="s">
        <v>192</v>
      </c>
      <c r="K3" t="s">
        <v>1979</v>
      </c>
      <c r="L3" t="str">
        <f t="shared" si="0"/>
        <v>to dignose</v>
      </c>
      <c r="M3" s="1" t="s">
        <v>9</v>
      </c>
      <c r="N3" s="1" t="s">
        <v>8</v>
      </c>
    </row>
    <row r="4" spans="1:14" ht="19" hidden="1">
      <c r="A4">
        <v>3</v>
      </c>
      <c r="B4" s="1" t="s">
        <v>9</v>
      </c>
      <c r="C4" s="2" t="s">
        <v>271</v>
      </c>
      <c r="D4" t="s">
        <v>1202</v>
      </c>
      <c r="E4" t="s">
        <v>391</v>
      </c>
      <c r="F4" t="s">
        <v>201</v>
      </c>
      <c r="G4" t="s">
        <v>2579</v>
      </c>
      <c r="H4" t="s">
        <v>192</v>
      </c>
      <c r="I4" t="s">
        <v>2742</v>
      </c>
      <c r="J4" t="s">
        <v>192</v>
      </c>
      <c r="K4" t="s">
        <v>1971</v>
      </c>
      <c r="L4" t="str">
        <f t="shared" si="0"/>
        <v>to dignose</v>
      </c>
      <c r="M4" s="1" t="s">
        <v>10</v>
      </c>
      <c r="N4" s="1" t="s">
        <v>9</v>
      </c>
    </row>
    <row r="5" spans="1:14" ht="19" hidden="1">
      <c r="A5">
        <v>4</v>
      </c>
      <c r="B5" s="1" t="s">
        <v>10</v>
      </c>
      <c r="C5" s="2" t="s">
        <v>271</v>
      </c>
      <c r="D5" t="s">
        <v>1204</v>
      </c>
      <c r="E5" t="s">
        <v>391</v>
      </c>
      <c r="F5" t="s">
        <v>201</v>
      </c>
      <c r="G5" t="s">
        <v>2590</v>
      </c>
      <c r="H5" t="s">
        <v>201</v>
      </c>
      <c r="I5" t="s">
        <v>2753</v>
      </c>
      <c r="J5" t="s">
        <v>201</v>
      </c>
      <c r="K5" t="s">
        <v>1948</v>
      </c>
      <c r="L5" t="str">
        <f t="shared" si="0"/>
        <v>to dignose</v>
      </c>
      <c r="M5" s="1" t="s">
        <v>203</v>
      </c>
      <c r="N5" s="1" t="s">
        <v>10</v>
      </c>
    </row>
    <row r="6" spans="1:14" ht="19" hidden="1">
      <c r="A6">
        <v>5</v>
      </c>
      <c r="B6" s="1" t="s">
        <v>203</v>
      </c>
      <c r="C6" s="2" t="s">
        <v>267</v>
      </c>
      <c r="D6" t="s">
        <v>1203</v>
      </c>
      <c r="E6" t="s">
        <v>391</v>
      </c>
      <c r="F6" t="s">
        <v>201</v>
      </c>
      <c r="G6" t="s">
        <v>2520</v>
      </c>
      <c r="H6" t="s">
        <v>201</v>
      </c>
      <c r="I6" t="s">
        <v>2684</v>
      </c>
      <c r="J6" t="s">
        <v>192</v>
      </c>
      <c r="K6" t="s">
        <v>1954</v>
      </c>
      <c r="L6" t="str">
        <f t="shared" si="0"/>
        <v>to dignose</v>
      </c>
      <c r="M6" s="1" t="s">
        <v>11</v>
      </c>
      <c r="N6" s="1" t="s">
        <v>203</v>
      </c>
    </row>
    <row r="7" spans="1:14" ht="19" hidden="1">
      <c r="A7">
        <v>6</v>
      </c>
      <c r="B7" s="1" t="s">
        <v>11</v>
      </c>
      <c r="C7" s="2" t="s">
        <v>271</v>
      </c>
      <c r="D7" t="s">
        <v>1203</v>
      </c>
      <c r="E7" t="s">
        <v>391</v>
      </c>
      <c r="F7" t="s">
        <v>201</v>
      </c>
      <c r="G7" t="s">
        <v>2545</v>
      </c>
      <c r="H7" t="s">
        <v>201</v>
      </c>
      <c r="I7" t="s">
        <v>2709</v>
      </c>
      <c r="J7" t="s">
        <v>201</v>
      </c>
      <c r="K7" t="s">
        <v>1915</v>
      </c>
      <c r="L7" t="str">
        <f t="shared" si="0"/>
        <v>to dignose</v>
      </c>
      <c r="M7" s="1" t="s">
        <v>204</v>
      </c>
      <c r="N7" s="1" t="s">
        <v>11</v>
      </c>
    </row>
    <row r="8" spans="1:14" ht="19" hidden="1">
      <c r="A8">
        <v>7</v>
      </c>
      <c r="B8" s="1" t="s">
        <v>12</v>
      </c>
      <c r="C8" s="2" t="s">
        <v>271</v>
      </c>
      <c r="D8" t="s">
        <v>86</v>
      </c>
      <c r="E8" t="s">
        <v>391</v>
      </c>
      <c r="F8" t="s">
        <v>1717</v>
      </c>
      <c r="G8" t="e">
        <v>#N/A</v>
      </c>
      <c r="H8" t="s">
        <v>1717</v>
      </c>
      <c r="I8" t="e">
        <v>#N/A</v>
      </c>
      <c r="J8" t="s">
        <v>1717</v>
      </c>
      <c r="K8" t="e">
        <v>#N/A</v>
      </c>
      <c r="L8" t="str">
        <f t="shared" si="0"/>
        <v>no</v>
      </c>
      <c r="M8" s="1" t="s">
        <v>13</v>
      </c>
      <c r="N8" s="1" t="s">
        <v>204</v>
      </c>
    </row>
    <row r="9" spans="1:14" ht="19" hidden="1">
      <c r="A9">
        <v>8</v>
      </c>
      <c r="B9" s="1" t="s">
        <v>204</v>
      </c>
      <c r="C9" s="2" t="s">
        <v>271</v>
      </c>
      <c r="D9" t="s">
        <v>1223</v>
      </c>
      <c r="E9" t="s">
        <v>391</v>
      </c>
      <c r="F9" t="s">
        <v>192</v>
      </c>
      <c r="G9" t="s">
        <v>2586</v>
      </c>
      <c r="H9" t="s">
        <v>192</v>
      </c>
      <c r="I9" t="s">
        <v>2749</v>
      </c>
      <c r="J9" t="s">
        <v>201</v>
      </c>
      <c r="K9" t="s">
        <v>1930</v>
      </c>
      <c r="L9" t="str">
        <f t="shared" si="0"/>
        <v>to dignose</v>
      </c>
      <c r="M9" s="1" t="s">
        <v>14</v>
      </c>
      <c r="N9" s="1" t="s">
        <v>13</v>
      </c>
    </row>
    <row r="10" spans="1:14" ht="19" hidden="1">
      <c r="A10">
        <v>9</v>
      </c>
      <c r="B10" s="1" t="s">
        <v>13</v>
      </c>
      <c r="C10" s="2" t="s">
        <v>271</v>
      </c>
      <c r="D10" t="s">
        <v>1203</v>
      </c>
      <c r="E10" t="s">
        <v>391</v>
      </c>
      <c r="F10" t="s">
        <v>201</v>
      </c>
      <c r="G10" t="s">
        <v>2570</v>
      </c>
      <c r="H10" t="s">
        <v>201</v>
      </c>
      <c r="I10" t="s">
        <v>1814</v>
      </c>
      <c r="J10" t="s">
        <v>201</v>
      </c>
      <c r="K10" t="s">
        <v>1929</v>
      </c>
      <c r="L10" t="str">
        <f t="shared" si="0"/>
        <v>to dignose</v>
      </c>
      <c r="M10" s="1" t="s">
        <v>211</v>
      </c>
      <c r="N10" s="1" t="s">
        <v>14</v>
      </c>
    </row>
    <row r="11" spans="1:14" ht="19" hidden="1">
      <c r="A11">
        <v>10</v>
      </c>
      <c r="B11" s="1" t="s">
        <v>14</v>
      </c>
      <c r="C11" s="2" t="s">
        <v>271</v>
      </c>
      <c r="D11" t="s">
        <v>1201</v>
      </c>
      <c r="E11" t="s">
        <v>391</v>
      </c>
      <c r="F11" t="s">
        <v>201</v>
      </c>
      <c r="G11" t="s">
        <v>2534</v>
      </c>
      <c r="H11" t="s">
        <v>192</v>
      </c>
      <c r="I11" t="s">
        <v>2698</v>
      </c>
      <c r="J11" t="s">
        <v>192</v>
      </c>
      <c r="K11" t="s">
        <v>1958</v>
      </c>
      <c r="L11" t="str">
        <f t="shared" si="0"/>
        <v>to dignose</v>
      </c>
      <c r="M11" s="1" t="s">
        <v>21</v>
      </c>
      <c r="N11" s="1" t="s">
        <v>208</v>
      </c>
    </row>
    <row r="12" spans="1:14" ht="19" hidden="1">
      <c r="A12">
        <v>11</v>
      </c>
      <c r="B12" s="1" t="s">
        <v>205</v>
      </c>
      <c r="C12" s="2" t="s">
        <v>269</v>
      </c>
      <c r="D12" t="s">
        <v>84</v>
      </c>
      <c r="E12" t="s">
        <v>391</v>
      </c>
      <c r="F12" t="s">
        <v>1717</v>
      </c>
      <c r="G12" t="e">
        <v>#N/A</v>
      </c>
      <c r="H12" t="s">
        <v>1717</v>
      </c>
      <c r="I12" t="e">
        <v>#N/A</v>
      </c>
      <c r="J12" t="s">
        <v>1717</v>
      </c>
      <c r="K12" t="e">
        <v>#N/A</v>
      </c>
      <c r="L12" t="str">
        <f t="shared" si="0"/>
        <v>no</v>
      </c>
      <c r="M12" s="1" t="s">
        <v>22</v>
      </c>
      <c r="N12" s="1" t="s">
        <v>19</v>
      </c>
    </row>
    <row r="13" spans="1:14" ht="19" hidden="1">
      <c r="A13">
        <v>12</v>
      </c>
      <c r="B13" s="1" t="s">
        <v>206</v>
      </c>
      <c r="C13" s="2" t="s">
        <v>267</v>
      </c>
      <c r="D13" t="s">
        <v>84</v>
      </c>
      <c r="E13" t="s">
        <v>391</v>
      </c>
      <c r="F13" t="s">
        <v>1717</v>
      </c>
      <c r="G13" t="e">
        <v>#N/A</v>
      </c>
      <c r="H13" t="s">
        <v>1717</v>
      </c>
      <c r="I13" t="e">
        <v>#N/A</v>
      </c>
      <c r="J13" t="s">
        <v>1717</v>
      </c>
      <c r="K13" t="e">
        <v>#N/A</v>
      </c>
      <c r="L13" t="str">
        <f t="shared" si="0"/>
        <v>no</v>
      </c>
      <c r="M13" s="1" t="s">
        <v>238</v>
      </c>
      <c r="N13" s="1" t="s">
        <v>20</v>
      </c>
    </row>
    <row r="14" spans="1:14" ht="19" hidden="1">
      <c r="A14">
        <v>13</v>
      </c>
      <c r="B14" s="1" t="s">
        <v>15</v>
      </c>
      <c r="C14" s="2" t="s">
        <v>271</v>
      </c>
      <c r="D14" t="s">
        <v>85</v>
      </c>
      <c r="E14" t="s">
        <v>391</v>
      </c>
      <c r="F14" t="s">
        <v>1717</v>
      </c>
      <c r="G14" t="e">
        <v>#N/A</v>
      </c>
      <c r="H14" t="s">
        <v>1717</v>
      </c>
      <c r="I14" t="e">
        <v>#N/A</v>
      </c>
      <c r="J14" t="s">
        <v>1717</v>
      </c>
      <c r="K14" t="e">
        <v>#N/A</v>
      </c>
      <c r="L14" t="str">
        <f t="shared" si="0"/>
        <v>no</v>
      </c>
      <c r="M14" s="1" t="s">
        <v>28</v>
      </c>
      <c r="N14" s="1" t="s">
        <v>209</v>
      </c>
    </row>
    <row r="15" spans="1:14" ht="19" hidden="1">
      <c r="A15">
        <v>14</v>
      </c>
      <c r="B15" s="1" t="s">
        <v>207</v>
      </c>
      <c r="C15" s="2" t="s">
        <v>267</v>
      </c>
      <c r="D15" t="s">
        <v>84</v>
      </c>
      <c r="E15" t="s">
        <v>391</v>
      </c>
      <c r="F15" t="s">
        <v>1717</v>
      </c>
      <c r="G15" t="e">
        <v>#N/A</v>
      </c>
      <c r="H15" t="s">
        <v>1717</v>
      </c>
      <c r="I15" t="e">
        <v>#N/A</v>
      </c>
      <c r="J15" t="s">
        <v>1717</v>
      </c>
      <c r="K15" t="e">
        <v>#N/A</v>
      </c>
      <c r="L15" t="str">
        <f t="shared" si="0"/>
        <v>no</v>
      </c>
      <c r="M15" s="1" t="s">
        <v>29</v>
      </c>
      <c r="N15" s="1" t="s">
        <v>210</v>
      </c>
    </row>
    <row r="16" spans="1:14" ht="19" hidden="1">
      <c r="A16">
        <v>15</v>
      </c>
      <c r="B16" s="1" t="s">
        <v>16</v>
      </c>
      <c r="C16" s="2" t="s">
        <v>271</v>
      </c>
      <c r="D16" t="s">
        <v>84</v>
      </c>
      <c r="E16" t="s">
        <v>391</v>
      </c>
      <c r="F16" t="s">
        <v>1717</v>
      </c>
      <c r="G16" t="e">
        <v>#N/A</v>
      </c>
      <c r="H16" t="s">
        <v>1717</v>
      </c>
      <c r="I16" t="e">
        <v>#N/A</v>
      </c>
      <c r="J16" t="s">
        <v>1717</v>
      </c>
      <c r="K16" t="e">
        <v>#N/A</v>
      </c>
      <c r="L16" t="str">
        <f t="shared" si="0"/>
        <v>no</v>
      </c>
      <c r="M16" s="1" t="s">
        <v>30</v>
      </c>
      <c r="N16" s="1" t="s">
        <v>211</v>
      </c>
    </row>
    <row r="17" spans="1:14" ht="19" hidden="1">
      <c r="A17">
        <v>16</v>
      </c>
      <c r="B17" s="1" t="s">
        <v>17</v>
      </c>
      <c r="C17" s="2" t="s">
        <v>271</v>
      </c>
      <c r="D17" t="s">
        <v>84</v>
      </c>
      <c r="E17" t="s">
        <v>391</v>
      </c>
      <c r="F17" t="s">
        <v>1717</v>
      </c>
      <c r="G17" t="e">
        <v>#N/A</v>
      </c>
      <c r="H17" t="s">
        <v>1717</v>
      </c>
      <c r="I17" t="e">
        <v>#N/A</v>
      </c>
      <c r="J17" t="s">
        <v>1717</v>
      </c>
      <c r="K17" t="e">
        <v>#N/A</v>
      </c>
      <c r="L17" t="str">
        <f t="shared" si="0"/>
        <v>no</v>
      </c>
      <c r="M17" s="1" t="s">
        <v>31</v>
      </c>
      <c r="N17" s="1" t="s">
        <v>212</v>
      </c>
    </row>
    <row r="18" spans="1:14" ht="19" hidden="1">
      <c r="A18">
        <v>17</v>
      </c>
      <c r="B18" s="1" t="s">
        <v>18</v>
      </c>
      <c r="C18" s="2" t="s">
        <v>271</v>
      </c>
      <c r="D18" t="s">
        <v>85</v>
      </c>
      <c r="E18" t="s">
        <v>391</v>
      </c>
      <c r="F18" t="s">
        <v>1717</v>
      </c>
      <c r="G18" t="e">
        <v>#N/A</v>
      </c>
      <c r="H18" t="s">
        <v>1717</v>
      </c>
      <c r="I18" t="e">
        <v>#N/A</v>
      </c>
      <c r="J18" t="s">
        <v>1717</v>
      </c>
      <c r="K18" t="e">
        <v>#N/A</v>
      </c>
      <c r="L18" t="str">
        <f t="shared" si="0"/>
        <v>no</v>
      </c>
      <c r="M18" s="1" t="s">
        <v>33</v>
      </c>
      <c r="N18" s="1" t="s">
        <v>213</v>
      </c>
    </row>
    <row r="19" spans="1:14" ht="19">
      <c r="A19">
        <v>18</v>
      </c>
      <c r="B19" s="1" t="s">
        <v>208</v>
      </c>
      <c r="C19" s="2" t="s">
        <v>267</v>
      </c>
      <c r="D19" t="s">
        <v>84</v>
      </c>
      <c r="E19" t="s">
        <v>391</v>
      </c>
      <c r="F19" t="s">
        <v>192</v>
      </c>
      <c r="G19" t="s">
        <v>2541</v>
      </c>
      <c r="H19" t="s">
        <v>192</v>
      </c>
      <c r="I19" t="s">
        <v>2705</v>
      </c>
      <c r="J19" t="s">
        <v>192</v>
      </c>
      <c r="K19" t="s">
        <v>1957</v>
      </c>
      <c r="L19" t="str">
        <f t="shared" si="0"/>
        <v>segmented videos list</v>
      </c>
      <c r="M19" s="1" t="s">
        <v>34</v>
      </c>
      <c r="N19" s="1" t="s">
        <v>21</v>
      </c>
    </row>
    <row r="20" spans="1:14" ht="19">
      <c r="A20">
        <v>19</v>
      </c>
      <c r="B20" s="1" t="s">
        <v>19</v>
      </c>
      <c r="C20" s="2" t="s">
        <v>271</v>
      </c>
      <c r="D20" t="s">
        <v>84</v>
      </c>
      <c r="E20" t="s">
        <v>391</v>
      </c>
      <c r="F20" t="s">
        <v>192</v>
      </c>
      <c r="G20" t="s">
        <v>2565</v>
      </c>
      <c r="H20" t="s">
        <v>192</v>
      </c>
      <c r="I20" t="s">
        <v>2729</v>
      </c>
      <c r="J20" t="s">
        <v>192</v>
      </c>
      <c r="K20" t="s">
        <v>1974</v>
      </c>
      <c r="L20" t="str">
        <f t="shared" si="0"/>
        <v>segmented videos list</v>
      </c>
      <c r="M20" s="1" t="s">
        <v>37</v>
      </c>
      <c r="N20" s="1" t="s">
        <v>22</v>
      </c>
    </row>
    <row r="21" spans="1:14" ht="19">
      <c r="A21">
        <v>20</v>
      </c>
      <c r="B21" s="1" t="s">
        <v>20</v>
      </c>
      <c r="C21" s="2" t="s">
        <v>271</v>
      </c>
      <c r="D21" t="s">
        <v>84</v>
      </c>
      <c r="E21" t="s">
        <v>391</v>
      </c>
      <c r="F21" t="s">
        <v>192</v>
      </c>
      <c r="G21" t="s">
        <v>2527</v>
      </c>
      <c r="H21" t="s">
        <v>192</v>
      </c>
      <c r="I21" t="s">
        <v>2691</v>
      </c>
      <c r="J21" t="s">
        <v>192</v>
      </c>
      <c r="K21" t="s">
        <v>1961</v>
      </c>
      <c r="L21" t="str">
        <f t="shared" si="0"/>
        <v>segmented videos list</v>
      </c>
      <c r="M21" s="1" t="s">
        <v>38</v>
      </c>
      <c r="N21" s="1" t="s">
        <v>217</v>
      </c>
    </row>
    <row r="22" spans="1:14" ht="19">
      <c r="A22">
        <v>21</v>
      </c>
      <c r="B22" s="1" t="s">
        <v>209</v>
      </c>
      <c r="C22" s="2" t="s">
        <v>272</v>
      </c>
      <c r="D22" t="s">
        <v>84</v>
      </c>
      <c r="E22" t="s">
        <v>391</v>
      </c>
      <c r="F22" t="s">
        <v>192</v>
      </c>
      <c r="G22" t="s">
        <v>2576</v>
      </c>
      <c r="H22" t="s">
        <v>192</v>
      </c>
      <c r="I22" t="s">
        <v>2739</v>
      </c>
      <c r="J22" t="s">
        <v>192</v>
      </c>
      <c r="K22" t="s">
        <v>1947</v>
      </c>
      <c r="L22" t="str">
        <f t="shared" si="0"/>
        <v>segmented videos list</v>
      </c>
      <c r="M22" s="1" t="s">
        <v>40</v>
      </c>
      <c r="N22" s="1" t="s">
        <v>218</v>
      </c>
    </row>
    <row r="23" spans="1:14" ht="19">
      <c r="A23">
        <v>22</v>
      </c>
      <c r="B23" s="1" t="s">
        <v>210</v>
      </c>
      <c r="C23" s="2" t="s">
        <v>267</v>
      </c>
      <c r="D23" t="s">
        <v>84</v>
      </c>
      <c r="E23" t="s">
        <v>391</v>
      </c>
      <c r="F23" t="s">
        <v>192</v>
      </c>
      <c r="G23" t="s">
        <v>2572</v>
      </c>
      <c r="H23" t="s">
        <v>192</v>
      </c>
      <c r="I23" t="s">
        <v>2735</v>
      </c>
      <c r="J23" t="s">
        <v>192</v>
      </c>
      <c r="K23" t="s">
        <v>1928</v>
      </c>
      <c r="L23" t="str">
        <f t="shared" si="0"/>
        <v>segmented videos list</v>
      </c>
      <c r="M23" s="1" t="s">
        <v>55</v>
      </c>
      <c r="N23" s="1" t="s">
        <v>220</v>
      </c>
    </row>
    <row r="24" spans="1:14" ht="19" hidden="1">
      <c r="A24">
        <v>23</v>
      </c>
      <c r="B24" s="1" t="s">
        <v>211</v>
      </c>
      <c r="C24" s="2" t="s">
        <v>271</v>
      </c>
      <c r="D24" t="s">
        <v>1204</v>
      </c>
      <c r="E24" t="s">
        <v>391</v>
      </c>
      <c r="F24" t="s">
        <v>201</v>
      </c>
      <c r="G24" t="s">
        <v>2537</v>
      </c>
      <c r="H24" t="s">
        <v>201</v>
      </c>
      <c r="I24" t="s">
        <v>2701</v>
      </c>
      <c r="J24" t="s">
        <v>201</v>
      </c>
      <c r="K24" t="s">
        <v>1934</v>
      </c>
      <c r="L24" t="str">
        <f t="shared" si="0"/>
        <v>to dignose</v>
      </c>
      <c r="M24" s="1" t="s">
        <v>58</v>
      </c>
      <c r="N24" s="1" t="s">
        <v>221</v>
      </c>
    </row>
    <row r="25" spans="1:14" ht="19">
      <c r="A25">
        <v>24</v>
      </c>
      <c r="B25" s="1" t="s">
        <v>212</v>
      </c>
      <c r="C25" s="2" t="s">
        <v>273</v>
      </c>
      <c r="D25" t="s">
        <v>84</v>
      </c>
      <c r="E25" t="s">
        <v>391</v>
      </c>
      <c r="F25" t="s">
        <v>192</v>
      </c>
      <c r="G25" t="s">
        <v>2580</v>
      </c>
      <c r="H25" t="s">
        <v>192</v>
      </c>
      <c r="I25" t="s">
        <v>2743</v>
      </c>
      <c r="J25" t="s">
        <v>201</v>
      </c>
      <c r="K25" t="s">
        <v>1917</v>
      </c>
      <c r="L25" t="str">
        <f t="shared" si="0"/>
        <v>segmented videos list</v>
      </c>
      <c r="M25" s="1" t="s">
        <v>255</v>
      </c>
      <c r="N25" s="1" t="s">
        <v>222</v>
      </c>
    </row>
    <row r="26" spans="1:14" ht="19">
      <c r="A26">
        <v>25</v>
      </c>
      <c r="B26" s="1" t="s">
        <v>213</v>
      </c>
      <c r="C26" s="2" t="s">
        <v>273</v>
      </c>
      <c r="D26" t="s">
        <v>84</v>
      </c>
      <c r="E26" t="s">
        <v>391</v>
      </c>
      <c r="F26" t="s">
        <v>192</v>
      </c>
      <c r="G26" t="s">
        <v>2578</v>
      </c>
      <c r="H26" t="s">
        <v>192</v>
      </c>
      <c r="I26" t="s">
        <v>2741</v>
      </c>
      <c r="J26" t="s">
        <v>192</v>
      </c>
      <c r="K26" t="s">
        <v>1927</v>
      </c>
      <c r="L26" t="str">
        <f t="shared" si="0"/>
        <v>segmented videos list</v>
      </c>
      <c r="M26" s="1" t="s">
        <v>59</v>
      </c>
      <c r="N26" s="1" t="s">
        <v>223</v>
      </c>
    </row>
    <row r="27" spans="1:14" ht="19" hidden="1">
      <c r="A27">
        <v>26</v>
      </c>
      <c r="B27" s="1" t="s">
        <v>21</v>
      </c>
      <c r="C27" s="2" t="s">
        <v>271</v>
      </c>
      <c r="D27" t="s">
        <v>1230</v>
      </c>
      <c r="E27" t="s">
        <v>391</v>
      </c>
      <c r="F27" t="s">
        <v>201</v>
      </c>
      <c r="G27" t="s">
        <v>2519</v>
      </c>
      <c r="H27" t="s">
        <v>201</v>
      </c>
      <c r="I27" t="s">
        <v>2683</v>
      </c>
      <c r="J27" t="s">
        <v>201</v>
      </c>
      <c r="K27" t="s">
        <v>1924</v>
      </c>
      <c r="L27" t="str">
        <f t="shared" si="0"/>
        <v>to dignose</v>
      </c>
      <c r="M27" s="1" t="s">
        <v>61</v>
      </c>
      <c r="N27" s="1" t="s">
        <v>27</v>
      </c>
    </row>
    <row r="28" spans="1:14" ht="19" hidden="1">
      <c r="A28">
        <v>27</v>
      </c>
      <c r="B28" s="1" t="s">
        <v>22</v>
      </c>
      <c r="C28" s="2" t="s">
        <v>271</v>
      </c>
      <c r="D28" t="s">
        <v>1231</v>
      </c>
      <c r="E28" t="s">
        <v>391</v>
      </c>
      <c r="F28" t="s">
        <v>192</v>
      </c>
      <c r="G28" t="s">
        <v>2516</v>
      </c>
      <c r="H28" t="s">
        <v>192</v>
      </c>
      <c r="I28" t="s">
        <v>2680</v>
      </c>
      <c r="J28" t="s">
        <v>192</v>
      </c>
      <c r="K28" t="s">
        <v>1951</v>
      </c>
      <c r="L28" t="str">
        <f t="shared" si="0"/>
        <v>to dignose</v>
      </c>
      <c r="M28" s="1"/>
      <c r="N28" s="1" t="s">
        <v>224</v>
      </c>
    </row>
    <row r="29" spans="1:14" ht="19" hidden="1">
      <c r="A29">
        <v>28</v>
      </c>
      <c r="B29" s="1" t="s">
        <v>214</v>
      </c>
      <c r="C29" s="2" t="s">
        <v>269</v>
      </c>
      <c r="D29" t="s">
        <v>84</v>
      </c>
      <c r="E29" t="s">
        <v>391</v>
      </c>
      <c r="F29" t="s">
        <v>1717</v>
      </c>
      <c r="G29" t="e">
        <v>#N/A</v>
      </c>
      <c r="H29" t="s">
        <v>1717</v>
      </c>
      <c r="I29" t="e">
        <v>#N/A</v>
      </c>
      <c r="J29" t="s">
        <v>1717</v>
      </c>
      <c r="K29" t="e">
        <v>#N/A</v>
      </c>
      <c r="L29" t="str">
        <f t="shared" si="0"/>
        <v>no</v>
      </c>
      <c r="M29" s="1"/>
      <c r="N29" s="1" t="s">
        <v>225</v>
      </c>
    </row>
    <row r="30" spans="1:14" ht="19" hidden="1">
      <c r="A30">
        <v>29</v>
      </c>
      <c r="B30" s="1" t="s">
        <v>23</v>
      </c>
      <c r="C30" s="2" t="s">
        <v>271</v>
      </c>
      <c r="D30" t="s">
        <v>87</v>
      </c>
      <c r="E30" t="s">
        <v>391</v>
      </c>
      <c r="F30" t="s">
        <v>1717</v>
      </c>
      <c r="G30" t="e">
        <v>#N/A</v>
      </c>
      <c r="H30" t="s">
        <v>1717</v>
      </c>
      <c r="I30" t="e">
        <v>#N/A</v>
      </c>
      <c r="J30" t="s">
        <v>1717</v>
      </c>
      <c r="K30" t="e">
        <v>#N/A</v>
      </c>
      <c r="L30" t="str">
        <f t="shared" si="0"/>
        <v>no</v>
      </c>
      <c r="M30" s="1"/>
      <c r="N30" s="1" t="s">
        <v>226</v>
      </c>
    </row>
    <row r="31" spans="1:14" ht="19" hidden="1">
      <c r="A31">
        <v>30</v>
      </c>
      <c r="B31" s="1" t="s">
        <v>215</v>
      </c>
      <c r="C31" s="2" t="s">
        <v>269</v>
      </c>
      <c r="D31" t="s">
        <v>84</v>
      </c>
      <c r="E31" t="s">
        <v>391</v>
      </c>
      <c r="F31" t="s">
        <v>1717</v>
      </c>
      <c r="G31" t="e">
        <v>#N/A</v>
      </c>
      <c r="H31" t="s">
        <v>1717</v>
      </c>
      <c r="I31" t="e">
        <v>#N/A</v>
      </c>
      <c r="J31" t="s">
        <v>1717</v>
      </c>
      <c r="K31" t="e">
        <v>#N/A</v>
      </c>
      <c r="L31" t="str">
        <f t="shared" si="0"/>
        <v>no</v>
      </c>
      <c r="M31" s="1"/>
      <c r="N31" s="1" t="s">
        <v>227</v>
      </c>
    </row>
    <row r="32" spans="1:14" ht="19" hidden="1">
      <c r="A32">
        <v>31</v>
      </c>
      <c r="B32" s="1" t="s">
        <v>216</v>
      </c>
      <c r="C32" s="2" t="s">
        <v>269</v>
      </c>
      <c r="D32" t="s">
        <v>84</v>
      </c>
      <c r="E32" t="s">
        <v>391</v>
      </c>
      <c r="F32" t="s">
        <v>1717</v>
      </c>
      <c r="G32" t="e">
        <v>#N/A</v>
      </c>
      <c r="H32" t="s">
        <v>1717</v>
      </c>
      <c r="I32" t="e">
        <v>#N/A</v>
      </c>
      <c r="J32" t="s">
        <v>1717</v>
      </c>
      <c r="K32" t="e">
        <v>#N/A</v>
      </c>
      <c r="L32" t="str">
        <f t="shared" si="0"/>
        <v>no</v>
      </c>
      <c r="M32" s="1"/>
      <c r="N32" s="1" t="s">
        <v>228</v>
      </c>
    </row>
    <row r="33" spans="1:14" ht="19" hidden="1">
      <c r="A33">
        <v>32</v>
      </c>
      <c r="B33" s="1" t="s">
        <v>24</v>
      </c>
      <c r="C33" s="2" t="s">
        <v>271</v>
      </c>
      <c r="D33" t="s">
        <v>84</v>
      </c>
      <c r="E33" t="s">
        <v>391</v>
      </c>
      <c r="F33" t="s">
        <v>1717</v>
      </c>
      <c r="G33" t="e">
        <v>#N/A</v>
      </c>
      <c r="H33" t="s">
        <v>1717</v>
      </c>
      <c r="I33" t="e">
        <v>#N/A</v>
      </c>
      <c r="J33" t="s">
        <v>1717</v>
      </c>
      <c r="K33" t="e">
        <v>#N/A</v>
      </c>
      <c r="L33" t="str">
        <f t="shared" si="0"/>
        <v>no</v>
      </c>
      <c r="M33" s="1"/>
      <c r="N33" s="1" t="s">
        <v>229</v>
      </c>
    </row>
    <row r="34" spans="1:14" ht="19" hidden="1">
      <c r="A34">
        <v>33</v>
      </c>
      <c r="B34" s="1" t="s">
        <v>25</v>
      </c>
      <c r="C34" s="2" t="s">
        <v>271</v>
      </c>
      <c r="D34" t="s">
        <v>84</v>
      </c>
      <c r="E34" t="s">
        <v>391</v>
      </c>
      <c r="F34" t="s">
        <v>1717</v>
      </c>
      <c r="G34" t="e">
        <v>#N/A</v>
      </c>
      <c r="H34" t="s">
        <v>1717</v>
      </c>
      <c r="I34" t="e">
        <v>#N/A</v>
      </c>
      <c r="J34" t="s">
        <v>1717</v>
      </c>
      <c r="K34" t="e">
        <v>#N/A</v>
      </c>
      <c r="L34" t="str">
        <f t="shared" si="0"/>
        <v>no</v>
      </c>
      <c r="M34" s="1"/>
      <c r="N34" s="1" t="s">
        <v>230</v>
      </c>
    </row>
    <row r="35" spans="1:14" ht="19">
      <c r="A35">
        <v>34</v>
      </c>
      <c r="B35" s="1" t="s">
        <v>217</v>
      </c>
      <c r="C35" s="2" t="s">
        <v>267</v>
      </c>
      <c r="D35" t="s">
        <v>84</v>
      </c>
      <c r="E35" t="s">
        <v>391</v>
      </c>
      <c r="F35" t="s">
        <v>192</v>
      </c>
      <c r="G35" t="s">
        <v>2589</v>
      </c>
      <c r="H35" t="s">
        <v>192</v>
      </c>
      <c r="I35" t="s">
        <v>2752</v>
      </c>
      <c r="J35" t="s">
        <v>192</v>
      </c>
      <c r="K35" t="s">
        <v>1912</v>
      </c>
      <c r="L35" t="str">
        <f t="shared" si="0"/>
        <v>segmented videos list</v>
      </c>
      <c r="M35" s="1"/>
      <c r="N35" s="1" t="s">
        <v>231</v>
      </c>
    </row>
    <row r="36" spans="1:14" ht="19">
      <c r="A36">
        <v>35</v>
      </c>
      <c r="B36" s="1" t="s">
        <v>218</v>
      </c>
      <c r="C36" s="2" t="s">
        <v>269</v>
      </c>
      <c r="D36" t="s">
        <v>84</v>
      </c>
      <c r="E36" t="s">
        <v>391</v>
      </c>
      <c r="F36" t="s">
        <v>192</v>
      </c>
      <c r="G36" t="s">
        <v>2577</v>
      </c>
      <c r="H36" t="s">
        <v>192</v>
      </c>
      <c r="I36" t="s">
        <v>2740</v>
      </c>
      <c r="J36" t="s">
        <v>192</v>
      </c>
      <c r="K36" t="s">
        <v>1910</v>
      </c>
      <c r="L36" t="str">
        <f t="shared" si="0"/>
        <v>segmented videos list</v>
      </c>
      <c r="M36" s="1"/>
      <c r="N36" s="1" t="s">
        <v>232</v>
      </c>
    </row>
    <row r="37" spans="1:14" ht="19" hidden="1">
      <c r="A37">
        <v>36</v>
      </c>
      <c r="B37" s="1" t="s">
        <v>219</v>
      </c>
      <c r="C37" s="2" t="s">
        <v>269</v>
      </c>
      <c r="D37" t="s">
        <v>84</v>
      </c>
      <c r="E37" t="s">
        <v>391</v>
      </c>
      <c r="F37" t="s">
        <v>1717</v>
      </c>
      <c r="G37" t="e">
        <v>#N/A</v>
      </c>
      <c r="H37" t="s">
        <v>1717</v>
      </c>
      <c r="I37" t="e">
        <v>#N/A</v>
      </c>
      <c r="J37" t="s">
        <v>1717</v>
      </c>
      <c r="K37" t="e">
        <v>#N/A</v>
      </c>
      <c r="L37" t="str">
        <f t="shared" si="0"/>
        <v>no</v>
      </c>
      <c r="M37" s="1"/>
      <c r="N37" s="1" t="s">
        <v>233</v>
      </c>
    </row>
    <row r="38" spans="1:14" ht="19">
      <c r="A38">
        <v>37</v>
      </c>
      <c r="B38" s="1" t="s">
        <v>220</v>
      </c>
      <c r="C38" s="2" t="s">
        <v>269</v>
      </c>
      <c r="D38" t="s">
        <v>84</v>
      </c>
      <c r="E38" t="s">
        <v>391</v>
      </c>
      <c r="F38" t="s">
        <v>192</v>
      </c>
      <c r="G38" t="s">
        <v>2540</v>
      </c>
      <c r="H38" t="s">
        <v>192</v>
      </c>
      <c r="I38" t="s">
        <v>2704</v>
      </c>
      <c r="J38" t="s">
        <v>192</v>
      </c>
      <c r="K38" t="s">
        <v>1967</v>
      </c>
      <c r="L38" t="str">
        <f t="shared" si="0"/>
        <v>segmented videos list</v>
      </c>
      <c r="M38" s="1"/>
      <c r="N38" s="1" t="s">
        <v>234</v>
      </c>
    </row>
    <row r="39" spans="1:14" ht="19">
      <c r="A39">
        <v>38</v>
      </c>
      <c r="B39" s="1" t="s">
        <v>221</v>
      </c>
      <c r="C39" s="2" t="s">
        <v>269</v>
      </c>
      <c r="D39" t="s">
        <v>84</v>
      </c>
      <c r="E39" t="s">
        <v>391</v>
      </c>
      <c r="F39" t="s">
        <v>192</v>
      </c>
      <c r="G39" t="s">
        <v>2563</v>
      </c>
      <c r="H39" t="s">
        <v>192</v>
      </c>
      <c r="I39" t="s">
        <v>2727</v>
      </c>
      <c r="J39" t="s">
        <v>192</v>
      </c>
      <c r="K39" t="s">
        <v>1913</v>
      </c>
      <c r="L39" t="str">
        <f t="shared" si="0"/>
        <v>segmented videos list</v>
      </c>
      <c r="M39" s="1"/>
      <c r="N39" s="1" t="s">
        <v>235</v>
      </c>
    </row>
    <row r="40" spans="1:14" ht="19">
      <c r="A40">
        <v>39</v>
      </c>
      <c r="B40" s="1" t="s">
        <v>222</v>
      </c>
      <c r="C40" s="2" t="s">
        <v>267</v>
      </c>
      <c r="D40" t="s">
        <v>84</v>
      </c>
      <c r="E40" t="s">
        <v>391</v>
      </c>
      <c r="F40" t="s">
        <v>192</v>
      </c>
      <c r="G40" t="s">
        <v>2560</v>
      </c>
      <c r="H40" t="s">
        <v>192</v>
      </c>
      <c r="I40" t="s">
        <v>2724</v>
      </c>
      <c r="J40" t="s">
        <v>192</v>
      </c>
      <c r="K40" t="s">
        <v>1938</v>
      </c>
      <c r="L40" t="str">
        <f t="shared" si="0"/>
        <v>segmented videos list</v>
      </c>
      <c r="M40" s="1"/>
      <c r="N40" s="1" t="s">
        <v>236</v>
      </c>
    </row>
    <row r="41" spans="1:14" ht="19" hidden="1">
      <c r="A41">
        <v>40</v>
      </c>
      <c r="B41" s="1" t="s">
        <v>26</v>
      </c>
      <c r="C41" s="2" t="s">
        <v>271</v>
      </c>
      <c r="D41" t="s">
        <v>84</v>
      </c>
      <c r="E41" t="s">
        <v>391</v>
      </c>
      <c r="F41" t="s">
        <v>1717</v>
      </c>
      <c r="G41" t="e">
        <v>#N/A</v>
      </c>
      <c r="H41" t="s">
        <v>1717</v>
      </c>
      <c r="I41" t="e">
        <v>#N/A</v>
      </c>
      <c r="J41" t="s">
        <v>1717</v>
      </c>
      <c r="K41" t="e">
        <v>#N/A</v>
      </c>
      <c r="L41" t="str">
        <f t="shared" si="0"/>
        <v>no</v>
      </c>
      <c r="M41" s="1"/>
      <c r="N41" s="1" t="s">
        <v>237</v>
      </c>
    </row>
    <row r="42" spans="1:14" ht="19">
      <c r="A42">
        <v>41</v>
      </c>
      <c r="B42" s="1" t="s">
        <v>223</v>
      </c>
      <c r="C42" s="2" t="s">
        <v>269</v>
      </c>
      <c r="D42" t="s">
        <v>84</v>
      </c>
      <c r="E42" t="s">
        <v>391</v>
      </c>
      <c r="F42" t="s">
        <v>192</v>
      </c>
      <c r="G42" t="s">
        <v>2550</v>
      </c>
      <c r="H42" t="s">
        <v>192</v>
      </c>
      <c r="I42" t="s">
        <v>2714</v>
      </c>
      <c r="J42" t="s">
        <v>192</v>
      </c>
      <c r="K42" t="s">
        <v>1936</v>
      </c>
      <c r="L42" t="str">
        <f t="shared" si="0"/>
        <v>segmented videos list</v>
      </c>
      <c r="M42" s="1"/>
      <c r="N42" s="1" t="s">
        <v>238</v>
      </c>
    </row>
    <row r="43" spans="1:14" ht="19">
      <c r="A43">
        <v>42</v>
      </c>
      <c r="B43" s="1" t="s">
        <v>27</v>
      </c>
      <c r="C43" s="2" t="s">
        <v>271</v>
      </c>
      <c r="D43" t="s">
        <v>84</v>
      </c>
      <c r="E43" t="s">
        <v>391</v>
      </c>
      <c r="F43" t="s">
        <v>192</v>
      </c>
      <c r="G43" t="s">
        <v>2548</v>
      </c>
      <c r="H43" t="s">
        <v>192</v>
      </c>
      <c r="I43" t="s">
        <v>2712</v>
      </c>
      <c r="J43" t="s">
        <v>192</v>
      </c>
      <c r="K43" t="s">
        <v>1963</v>
      </c>
      <c r="L43" t="str">
        <f t="shared" si="0"/>
        <v>segmented videos list</v>
      </c>
      <c r="M43" s="1"/>
      <c r="N43" s="1" t="s">
        <v>28</v>
      </c>
    </row>
    <row r="44" spans="1:14" ht="19">
      <c r="A44">
        <v>43</v>
      </c>
      <c r="B44" s="1" t="s">
        <v>224</v>
      </c>
      <c r="C44" s="2" t="s">
        <v>267</v>
      </c>
      <c r="D44" t="s">
        <v>84</v>
      </c>
      <c r="E44" t="s">
        <v>391</v>
      </c>
      <c r="F44" t="s">
        <v>192</v>
      </c>
      <c r="G44" t="s">
        <v>2555</v>
      </c>
      <c r="H44" t="s">
        <v>192</v>
      </c>
      <c r="I44" t="s">
        <v>2719</v>
      </c>
      <c r="J44" t="s">
        <v>192</v>
      </c>
      <c r="K44" t="s">
        <v>1933</v>
      </c>
      <c r="L44" t="str">
        <f t="shared" si="0"/>
        <v>segmented videos list</v>
      </c>
      <c r="M44" s="1"/>
      <c r="N44" s="1" t="s">
        <v>29</v>
      </c>
    </row>
    <row r="45" spans="1:14" ht="19">
      <c r="A45">
        <v>44</v>
      </c>
      <c r="B45" s="1" t="s">
        <v>225</v>
      </c>
      <c r="C45" s="2" t="s">
        <v>274</v>
      </c>
      <c r="D45" t="s">
        <v>84</v>
      </c>
      <c r="E45" t="s">
        <v>391</v>
      </c>
      <c r="F45" t="s">
        <v>192</v>
      </c>
      <c r="G45" t="s">
        <v>2521</v>
      </c>
      <c r="H45" t="s">
        <v>192</v>
      </c>
      <c r="I45" t="s">
        <v>2685</v>
      </c>
      <c r="J45" t="s">
        <v>192</v>
      </c>
      <c r="K45" s="5" t="s">
        <v>1977</v>
      </c>
      <c r="L45" t="str">
        <f t="shared" si="0"/>
        <v>segmented videos list</v>
      </c>
      <c r="M45" s="1"/>
      <c r="N45" s="1" t="s">
        <v>239</v>
      </c>
    </row>
    <row r="46" spans="1:14" ht="19">
      <c r="A46">
        <v>45</v>
      </c>
      <c r="B46" s="1" t="s">
        <v>226</v>
      </c>
      <c r="C46" s="2" t="s">
        <v>274</v>
      </c>
      <c r="D46" t="s">
        <v>84</v>
      </c>
      <c r="E46" t="s">
        <v>391</v>
      </c>
      <c r="F46" t="s">
        <v>192</v>
      </c>
      <c r="G46" t="s">
        <v>2569</v>
      </c>
      <c r="H46" t="s">
        <v>192</v>
      </c>
      <c r="I46" t="s">
        <v>2733</v>
      </c>
      <c r="J46" t="s">
        <v>192</v>
      </c>
      <c r="K46" t="s">
        <v>1980</v>
      </c>
      <c r="L46" t="str">
        <f t="shared" si="0"/>
        <v>segmented videos list</v>
      </c>
      <c r="M46" s="1"/>
      <c r="N46" s="1" t="s">
        <v>30</v>
      </c>
    </row>
    <row r="47" spans="1:14" ht="19">
      <c r="A47">
        <v>46</v>
      </c>
      <c r="B47" s="1" t="s">
        <v>227</v>
      </c>
      <c r="C47" s="2" t="s">
        <v>269</v>
      </c>
      <c r="D47" t="s">
        <v>84</v>
      </c>
      <c r="E47" t="s">
        <v>391</v>
      </c>
      <c r="F47" t="s">
        <v>192</v>
      </c>
      <c r="G47" t="s">
        <v>2515</v>
      </c>
      <c r="H47" t="s">
        <v>192</v>
      </c>
      <c r="I47" t="s">
        <v>2679</v>
      </c>
      <c r="J47" t="s">
        <v>192</v>
      </c>
      <c r="K47" t="s">
        <v>1905</v>
      </c>
      <c r="L47" t="str">
        <f t="shared" si="0"/>
        <v>segmented videos list</v>
      </c>
      <c r="M47" s="1"/>
      <c r="N47" s="1" t="s">
        <v>240</v>
      </c>
    </row>
    <row r="48" spans="1:14" ht="19">
      <c r="A48">
        <v>47</v>
      </c>
      <c r="B48" s="1" t="s">
        <v>228</v>
      </c>
      <c r="C48" s="2" t="s">
        <v>269</v>
      </c>
      <c r="D48" t="s">
        <v>84</v>
      </c>
      <c r="E48" t="s">
        <v>391</v>
      </c>
      <c r="F48" t="s">
        <v>192</v>
      </c>
      <c r="G48" t="s">
        <v>2551</v>
      </c>
      <c r="H48" t="s">
        <v>192</v>
      </c>
      <c r="I48" t="s">
        <v>2715</v>
      </c>
      <c r="J48" t="s">
        <v>192</v>
      </c>
      <c r="K48" t="s">
        <v>1962</v>
      </c>
      <c r="L48" t="str">
        <f t="shared" si="0"/>
        <v>segmented videos list</v>
      </c>
      <c r="M48" s="1"/>
      <c r="N48" s="1" t="s">
        <v>31</v>
      </c>
    </row>
    <row r="49" spans="1:14" ht="19">
      <c r="A49">
        <v>48</v>
      </c>
      <c r="B49" s="1" t="s">
        <v>229</v>
      </c>
      <c r="C49" s="2" t="s">
        <v>269</v>
      </c>
      <c r="D49" t="s">
        <v>84</v>
      </c>
      <c r="E49" t="s">
        <v>391</v>
      </c>
      <c r="F49" t="s">
        <v>192</v>
      </c>
      <c r="G49" t="s">
        <v>2547</v>
      </c>
      <c r="H49" t="s">
        <v>192</v>
      </c>
      <c r="I49" t="s">
        <v>2711</v>
      </c>
      <c r="J49" t="s">
        <v>192</v>
      </c>
      <c r="K49" t="s">
        <v>1955</v>
      </c>
      <c r="L49" t="str">
        <f t="shared" si="0"/>
        <v>segmented videos list</v>
      </c>
      <c r="M49" s="1"/>
      <c r="N49" s="1" t="s">
        <v>241</v>
      </c>
    </row>
    <row r="50" spans="1:14" ht="19">
      <c r="A50">
        <v>49</v>
      </c>
      <c r="B50" s="1" t="s">
        <v>230</v>
      </c>
      <c r="C50" s="2" t="s">
        <v>269</v>
      </c>
      <c r="D50" t="s">
        <v>84</v>
      </c>
      <c r="E50" t="s">
        <v>391</v>
      </c>
      <c r="F50" t="s">
        <v>192</v>
      </c>
      <c r="G50" t="s">
        <v>2562</v>
      </c>
      <c r="H50" t="s">
        <v>192</v>
      </c>
      <c r="I50" t="s">
        <v>2726</v>
      </c>
      <c r="J50" t="s">
        <v>192</v>
      </c>
      <c r="K50" t="s">
        <v>1914</v>
      </c>
      <c r="L50" t="str">
        <f t="shared" si="0"/>
        <v>segmented videos list</v>
      </c>
      <c r="M50" s="1"/>
      <c r="N50" s="1" t="s">
        <v>32</v>
      </c>
    </row>
    <row r="51" spans="1:14" ht="19">
      <c r="A51">
        <v>50</v>
      </c>
      <c r="B51" s="1" t="s">
        <v>231</v>
      </c>
      <c r="C51" s="2" t="s">
        <v>269</v>
      </c>
      <c r="D51" t="s">
        <v>84</v>
      </c>
      <c r="E51" t="s">
        <v>391</v>
      </c>
      <c r="F51" t="s">
        <v>192</v>
      </c>
      <c r="G51" t="s">
        <v>2517</v>
      </c>
      <c r="H51" t="s">
        <v>192</v>
      </c>
      <c r="I51" t="s">
        <v>2681</v>
      </c>
      <c r="J51" t="s">
        <v>192</v>
      </c>
      <c r="K51" t="s">
        <v>1978</v>
      </c>
      <c r="L51" t="str">
        <f t="shared" si="0"/>
        <v>segmented videos list</v>
      </c>
      <c r="M51" s="1"/>
      <c r="N51" s="1" t="s">
        <v>33</v>
      </c>
    </row>
    <row r="52" spans="1:14" ht="19">
      <c r="A52">
        <v>51</v>
      </c>
      <c r="B52" s="1" t="s">
        <v>232</v>
      </c>
      <c r="C52" s="2" t="s">
        <v>274</v>
      </c>
      <c r="D52" t="s">
        <v>84</v>
      </c>
      <c r="E52" t="s">
        <v>391</v>
      </c>
      <c r="F52" t="s">
        <v>192</v>
      </c>
      <c r="G52" t="s">
        <v>2518</v>
      </c>
      <c r="H52" t="s">
        <v>192</v>
      </c>
      <c r="I52" t="s">
        <v>2682</v>
      </c>
      <c r="J52" t="s">
        <v>192</v>
      </c>
      <c r="K52" t="s">
        <v>1908</v>
      </c>
      <c r="L52" t="str">
        <f t="shared" si="0"/>
        <v>segmented videos list</v>
      </c>
      <c r="M52" s="1"/>
      <c r="N52" s="1" t="s">
        <v>34</v>
      </c>
    </row>
    <row r="53" spans="1:14" ht="19">
      <c r="A53">
        <v>52</v>
      </c>
      <c r="B53" s="1" t="s">
        <v>233</v>
      </c>
      <c r="C53" s="2" t="s">
        <v>274</v>
      </c>
      <c r="D53" t="s">
        <v>84</v>
      </c>
      <c r="E53" t="s">
        <v>391</v>
      </c>
      <c r="F53" t="s">
        <v>192</v>
      </c>
      <c r="G53" t="s">
        <v>2568</v>
      </c>
      <c r="H53" t="s">
        <v>192</v>
      </c>
      <c r="I53" t="s">
        <v>2732</v>
      </c>
      <c r="J53" t="s">
        <v>192</v>
      </c>
      <c r="K53" t="s">
        <v>1965</v>
      </c>
      <c r="L53" t="str">
        <f t="shared" si="0"/>
        <v>segmented videos list</v>
      </c>
      <c r="M53" s="1"/>
      <c r="N53" s="1" t="s">
        <v>35</v>
      </c>
    </row>
    <row r="54" spans="1:14" ht="19">
      <c r="A54">
        <v>53</v>
      </c>
      <c r="B54" s="1" t="s">
        <v>234</v>
      </c>
      <c r="C54" s="2" t="s">
        <v>274</v>
      </c>
      <c r="D54" t="s">
        <v>84</v>
      </c>
      <c r="E54" t="s">
        <v>391</v>
      </c>
      <c r="F54" t="s">
        <v>192</v>
      </c>
      <c r="G54" t="s">
        <v>2530</v>
      </c>
      <c r="H54" t="s">
        <v>192</v>
      </c>
      <c r="I54" t="s">
        <v>2694</v>
      </c>
      <c r="J54" t="s">
        <v>192</v>
      </c>
      <c r="K54" t="s">
        <v>1968</v>
      </c>
      <c r="L54" t="str">
        <f t="shared" si="0"/>
        <v>segmented videos list</v>
      </c>
      <c r="M54" s="1"/>
      <c r="N54" s="1" t="s">
        <v>36</v>
      </c>
    </row>
    <row r="55" spans="1:14" ht="19">
      <c r="A55">
        <v>54</v>
      </c>
      <c r="B55" s="1" t="s">
        <v>235</v>
      </c>
      <c r="C55" s="2" t="s">
        <v>274</v>
      </c>
      <c r="D55" t="s">
        <v>84</v>
      </c>
      <c r="E55" t="s">
        <v>391</v>
      </c>
      <c r="F55" t="s">
        <v>192</v>
      </c>
      <c r="G55" t="s">
        <v>2531</v>
      </c>
      <c r="H55" t="s">
        <v>192</v>
      </c>
      <c r="I55" t="s">
        <v>2695</v>
      </c>
      <c r="J55" t="s">
        <v>192</v>
      </c>
      <c r="K55" t="s">
        <v>1950</v>
      </c>
      <c r="L55" t="str">
        <f t="shared" si="0"/>
        <v>segmented videos list</v>
      </c>
      <c r="M55" s="1"/>
      <c r="N55" s="1" t="s">
        <v>37</v>
      </c>
    </row>
    <row r="56" spans="1:14" ht="19">
      <c r="A56">
        <v>55</v>
      </c>
      <c r="B56" s="1" t="s">
        <v>236</v>
      </c>
      <c r="C56" s="2" t="s">
        <v>269</v>
      </c>
      <c r="D56" t="s">
        <v>84</v>
      </c>
      <c r="E56" t="s">
        <v>391</v>
      </c>
      <c r="F56" t="s">
        <v>192</v>
      </c>
      <c r="G56" t="s">
        <v>2552</v>
      </c>
      <c r="H56" t="s">
        <v>192</v>
      </c>
      <c r="I56" t="s">
        <v>2716</v>
      </c>
      <c r="J56" t="s">
        <v>192</v>
      </c>
      <c r="K56" t="s">
        <v>1970</v>
      </c>
      <c r="L56" t="str">
        <f t="shared" si="0"/>
        <v>segmented videos list</v>
      </c>
      <c r="M56" s="1"/>
      <c r="N56" s="1" t="s">
        <v>38</v>
      </c>
    </row>
    <row r="57" spans="1:14" ht="19">
      <c r="A57">
        <v>56</v>
      </c>
      <c r="B57" s="1" t="s">
        <v>237</v>
      </c>
      <c r="C57" s="2" t="s">
        <v>269</v>
      </c>
      <c r="D57" t="s">
        <v>84</v>
      </c>
      <c r="E57" t="s">
        <v>391</v>
      </c>
      <c r="F57" t="s">
        <v>192</v>
      </c>
      <c r="G57" t="s">
        <v>2535</v>
      </c>
      <c r="H57" t="s">
        <v>192</v>
      </c>
      <c r="I57" t="s">
        <v>2699</v>
      </c>
      <c r="J57" t="s">
        <v>192</v>
      </c>
      <c r="K57" t="s">
        <v>1911</v>
      </c>
      <c r="L57" t="str">
        <f t="shared" si="0"/>
        <v>segmented videos list</v>
      </c>
      <c r="M57" s="1"/>
      <c r="N57" s="1" t="s">
        <v>39</v>
      </c>
    </row>
    <row r="58" spans="1:14" ht="19" hidden="1">
      <c r="A58">
        <v>57</v>
      </c>
      <c r="B58" s="1" t="s">
        <v>238</v>
      </c>
      <c r="C58" s="2" t="s">
        <v>269</v>
      </c>
      <c r="D58" t="s">
        <v>1201</v>
      </c>
      <c r="E58" t="s">
        <v>391</v>
      </c>
      <c r="F58" t="s">
        <v>192</v>
      </c>
      <c r="G58" t="s">
        <v>2587</v>
      </c>
      <c r="H58" t="s">
        <v>192</v>
      </c>
      <c r="I58" t="s">
        <v>2750</v>
      </c>
      <c r="J58" t="s">
        <v>192</v>
      </c>
      <c r="K58" t="s">
        <v>1952</v>
      </c>
      <c r="L58" t="str">
        <f t="shared" si="0"/>
        <v>to dignose</v>
      </c>
      <c r="M58" s="1"/>
      <c r="N58" s="1" t="s">
        <v>242</v>
      </c>
    </row>
    <row r="59" spans="1:14" ht="19" hidden="1">
      <c r="A59">
        <v>58</v>
      </c>
      <c r="B59" s="1" t="s">
        <v>28</v>
      </c>
      <c r="C59" s="2" t="s">
        <v>271</v>
      </c>
      <c r="D59" t="s">
        <v>1201</v>
      </c>
      <c r="E59" t="s">
        <v>391</v>
      </c>
      <c r="F59" t="s">
        <v>192</v>
      </c>
      <c r="G59" t="s">
        <v>2533</v>
      </c>
      <c r="H59" t="s">
        <v>201</v>
      </c>
      <c r="I59" t="s">
        <v>2697</v>
      </c>
      <c r="J59" t="s">
        <v>192</v>
      </c>
      <c r="K59" t="s">
        <v>1941</v>
      </c>
      <c r="L59" t="str">
        <f t="shared" si="0"/>
        <v>to dignose</v>
      </c>
      <c r="M59" s="1"/>
      <c r="N59" s="1" t="s">
        <v>40</v>
      </c>
    </row>
    <row r="60" spans="1:14" ht="19" hidden="1">
      <c r="A60">
        <v>59</v>
      </c>
      <c r="B60" s="1" t="s">
        <v>29</v>
      </c>
      <c r="C60" s="2" t="s">
        <v>271</v>
      </c>
      <c r="D60" t="s">
        <v>1204</v>
      </c>
      <c r="E60" t="s">
        <v>391</v>
      </c>
      <c r="F60" t="s">
        <v>192</v>
      </c>
      <c r="G60" t="s">
        <v>2574</v>
      </c>
      <c r="H60" t="s">
        <v>192</v>
      </c>
      <c r="I60" t="s">
        <v>2737</v>
      </c>
      <c r="J60" t="s">
        <v>201</v>
      </c>
      <c r="K60" t="s">
        <v>1932</v>
      </c>
      <c r="L60" t="str">
        <f t="shared" si="0"/>
        <v>to dignose</v>
      </c>
      <c r="M60" s="1"/>
      <c r="N60" s="1" t="s">
        <v>251</v>
      </c>
    </row>
    <row r="61" spans="1:14" ht="19">
      <c r="A61">
        <v>60</v>
      </c>
      <c r="B61" s="1" t="s">
        <v>239</v>
      </c>
      <c r="C61" s="2" t="s">
        <v>269</v>
      </c>
      <c r="D61" t="s">
        <v>84</v>
      </c>
      <c r="E61" t="s">
        <v>391</v>
      </c>
      <c r="F61" t="s">
        <v>192</v>
      </c>
      <c r="G61" t="s">
        <v>2542</v>
      </c>
      <c r="H61" t="s">
        <v>192</v>
      </c>
      <c r="I61" t="s">
        <v>2706</v>
      </c>
      <c r="J61" t="s">
        <v>192</v>
      </c>
      <c r="K61" t="s">
        <v>1943</v>
      </c>
      <c r="L61" t="str">
        <f t="shared" si="0"/>
        <v>segmented videos list</v>
      </c>
      <c r="M61" s="1"/>
      <c r="N61" s="1" t="s">
        <v>54</v>
      </c>
    </row>
    <row r="62" spans="1:14" ht="19" hidden="1">
      <c r="A62">
        <v>61</v>
      </c>
      <c r="B62" s="1" t="s">
        <v>30</v>
      </c>
      <c r="C62" s="2" t="s">
        <v>271</v>
      </c>
      <c r="D62" t="s">
        <v>1201</v>
      </c>
      <c r="E62" t="s">
        <v>391</v>
      </c>
      <c r="F62" t="s">
        <v>201</v>
      </c>
      <c r="G62" t="s">
        <v>2529</v>
      </c>
      <c r="H62" t="s">
        <v>201</v>
      </c>
      <c r="I62" t="s">
        <v>2693</v>
      </c>
      <c r="J62" t="s">
        <v>201</v>
      </c>
      <c r="K62" t="s">
        <v>1944</v>
      </c>
      <c r="L62" t="str">
        <f t="shared" si="0"/>
        <v>to dignose</v>
      </c>
      <c r="M62" s="1"/>
      <c r="N62" s="1" t="s">
        <v>55</v>
      </c>
    </row>
    <row r="63" spans="1:14" ht="19">
      <c r="A63">
        <v>62</v>
      </c>
      <c r="B63" s="1" t="s">
        <v>240</v>
      </c>
      <c r="C63" s="2" t="s">
        <v>269</v>
      </c>
      <c r="D63" t="s">
        <v>84</v>
      </c>
      <c r="E63" t="s">
        <v>391</v>
      </c>
      <c r="F63" t="s">
        <v>192</v>
      </c>
      <c r="G63" t="s">
        <v>2549</v>
      </c>
      <c r="H63" t="s">
        <v>192</v>
      </c>
      <c r="I63" t="s">
        <v>2713</v>
      </c>
      <c r="J63" t="s">
        <v>192</v>
      </c>
      <c r="K63" t="s">
        <v>1973</v>
      </c>
      <c r="L63" t="str">
        <f t="shared" si="0"/>
        <v>segmented videos list</v>
      </c>
      <c r="M63" s="1"/>
      <c r="N63" s="1" t="s">
        <v>252</v>
      </c>
    </row>
    <row r="64" spans="1:14" ht="19" hidden="1">
      <c r="A64">
        <v>63</v>
      </c>
      <c r="B64" s="1" t="s">
        <v>31</v>
      </c>
      <c r="C64" s="2" t="s">
        <v>271</v>
      </c>
      <c r="D64" t="s">
        <v>1201</v>
      </c>
      <c r="E64" t="s">
        <v>391</v>
      </c>
      <c r="F64" t="s">
        <v>192</v>
      </c>
      <c r="G64" t="s">
        <v>2588</v>
      </c>
      <c r="H64" t="s">
        <v>192</v>
      </c>
      <c r="I64" t="s">
        <v>2751</v>
      </c>
      <c r="J64" t="s">
        <v>201</v>
      </c>
      <c r="K64" t="s">
        <v>1959</v>
      </c>
      <c r="L64" t="str">
        <f t="shared" si="0"/>
        <v>to dignose</v>
      </c>
      <c r="M64" s="1"/>
      <c r="N64" s="1" t="s">
        <v>56</v>
      </c>
    </row>
    <row r="65" spans="1:14" ht="19">
      <c r="A65">
        <v>64</v>
      </c>
      <c r="B65" s="1" t="s">
        <v>241</v>
      </c>
      <c r="C65" s="2" t="s">
        <v>269</v>
      </c>
      <c r="D65" t="s">
        <v>84</v>
      </c>
      <c r="E65" t="s">
        <v>391</v>
      </c>
      <c r="F65" t="s">
        <v>192</v>
      </c>
      <c r="G65" t="s">
        <v>2526</v>
      </c>
      <c r="H65" t="s">
        <v>201</v>
      </c>
      <c r="I65" t="s">
        <v>2690</v>
      </c>
      <c r="J65" t="s">
        <v>192</v>
      </c>
      <c r="K65" t="s">
        <v>1981</v>
      </c>
      <c r="L65" t="str">
        <f t="shared" si="0"/>
        <v>segmented videos list</v>
      </c>
      <c r="M65" s="1"/>
      <c r="N65" s="1" t="s">
        <v>253</v>
      </c>
    </row>
    <row r="66" spans="1:14" ht="19">
      <c r="A66">
        <v>65</v>
      </c>
      <c r="B66" s="1" t="s">
        <v>32</v>
      </c>
      <c r="C66" s="2" t="s">
        <v>271</v>
      </c>
      <c r="D66" t="s">
        <v>84</v>
      </c>
      <c r="E66" t="s">
        <v>391</v>
      </c>
      <c r="F66" t="s">
        <v>192</v>
      </c>
      <c r="G66" t="s">
        <v>2567</v>
      </c>
      <c r="H66" t="s">
        <v>192</v>
      </c>
      <c r="I66" t="s">
        <v>2731</v>
      </c>
      <c r="J66" t="s">
        <v>192</v>
      </c>
      <c r="K66" t="s">
        <v>1907</v>
      </c>
      <c r="L66" t="str">
        <f t="shared" ref="L66:L129" si="1">IF(COUNTIF(M:M, B66)&gt;0,$M$1,IF(COUNTIF(N:N, B66)&gt;0,$N$1,"no"))</f>
        <v>segmented videos list</v>
      </c>
      <c r="M66" s="1"/>
      <c r="N66" s="1" t="s">
        <v>57</v>
      </c>
    </row>
    <row r="67" spans="1:14" ht="19" hidden="1">
      <c r="A67">
        <v>66</v>
      </c>
      <c r="B67" s="1" t="s">
        <v>33</v>
      </c>
      <c r="C67" s="2" t="s">
        <v>271</v>
      </c>
      <c r="D67" t="s">
        <v>1204</v>
      </c>
      <c r="E67" t="s">
        <v>391</v>
      </c>
      <c r="F67" t="s">
        <v>192</v>
      </c>
      <c r="G67" t="s">
        <v>2553</v>
      </c>
      <c r="H67" t="s">
        <v>192</v>
      </c>
      <c r="I67" t="s">
        <v>2717</v>
      </c>
      <c r="J67" t="s">
        <v>192</v>
      </c>
      <c r="K67" t="s">
        <v>1909</v>
      </c>
      <c r="L67" t="str">
        <f t="shared" si="1"/>
        <v>to dignose</v>
      </c>
      <c r="M67" s="1"/>
      <c r="N67" s="1" t="s">
        <v>58</v>
      </c>
    </row>
    <row r="68" spans="1:14" ht="19" hidden="1">
      <c r="A68">
        <v>67</v>
      </c>
      <c r="B68" s="1" t="s">
        <v>34</v>
      </c>
      <c r="C68" s="2" t="s">
        <v>271</v>
      </c>
      <c r="D68" t="s">
        <v>1204</v>
      </c>
      <c r="E68" t="s">
        <v>391</v>
      </c>
      <c r="F68" t="s">
        <v>192</v>
      </c>
      <c r="G68" t="s">
        <v>2575</v>
      </c>
      <c r="H68" t="s">
        <v>192</v>
      </c>
      <c r="I68" t="s">
        <v>2738</v>
      </c>
      <c r="J68" t="s">
        <v>192</v>
      </c>
      <c r="K68" t="s">
        <v>1921</v>
      </c>
      <c r="L68" t="str">
        <f t="shared" si="1"/>
        <v>to dignose</v>
      </c>
      <c r="M68" s="1"/>
      <c r="N68" s="1" t="s">
        <v>254</v>
      </c>
    </row>
    <row r="69" spans="1:14" ht="19">
      <c r="A69">
        <v>68</v>
      </c>
      <c r="B69" s="1" t="s">
        <v>35</v>
      </c>
      <c r="C69" s="2" t="s">
        <v>271</v>
      </c>
      <c r="D69" t="s">
        <v>85</v>
      </c>
      <c r="E69" t="s">
        <v>391</v>
      </c>
      <c r="F69" t="s">
        <v>192</v>
      </c>
      <c r="G69" t="s">
        <v>2582</v>
      </c>
      <c r="H69" t="s">
        <v>192</v>
      </c>
      <c r="I69" t="s">
        <v>2745</v>
      </c>
      <c r="J69" t="s">
        <v>192</v>
      </c>
      <c r="K69" t="s">
        <v>1906</v>
      </c>
      <c r="L69" t="str">
        <f t="shared" si="1"/>
        <v>segmented videos list</v>
      </c>
      <c r="M69" s="1"/>
      <c r="N69" s="1" t="s">
        <v>255</v>
      </c>
    </row>
    <row r="70" spans="1:14" ht="19">
      <c r="A70">
        <v>69</v>
      </c>
      <c r="B70" s="1" t="s">
        <v>36</v>
      </c>
      <c r="C70" s="2" t="s">
        <v>271</v>
      </c>
      <c r="D70" t="s">
        <v>85</v>
      </c>
      <c r="E70" t="s">
        <v>391</v>
      </c>
      <c r="F70" t="s">
        <v>192</v>
      </c>
      <c r="G70" t="s">
        <v>2558</v>
      </c>
      <c r="H70" t="s">
        <v>192</v>
      </c>
      <c r="I70" t="s">
        <v>2722</v>
      </c>
      <c r="J70" t="s">
        <v>192</v>
      </c>
      <c r="K70" t="s">
        <v>1939</v>
      </c>
      <c r="L70" t="str">
        <f t="shared" si="1"/>
        <v>segmented videos list</v>
      </c>
      <c r="M70" s="1"/>
      <c r="N70" s="1" t="s">
        <v>257</v>
      </c>
    </row>
    <row r="71" spans="1:14" ht="19" hidden="1">
      <c r="A71">
        <v>70</v>
      </c>
      <c r="B71" s="1" t="s">
        <v>37</v>
      </c>
      <c r="C71" s="2" t="s">
        <v>271</v>
      </c>
      <c r="D71" t="s">
        <v>1204</v>
      </c>
      <c r="E71" t="s">
        <v>391</v>
      </c>
      <c r="F71" t="s">
        <v>192</v>
      </c>
      <c r="G71" t="s">
        <v>2554</v>
      </c>
      <c r="H71" t="s">
        <v>192</v>
      </c>
      <c r="I71" t="s">
        <v>2718</v>
      </c>
      <c r="J71" t="s">
        <v>192</v>
      </c>
      <c r="K71" t="s">
        <v>1946</v>
      </c>
      <c r="L71" t="str">
        <f t="shared" si="1"/>
        <v>to dignose</v>
      </c>
      <c r="M71" s="1"/>
      <c r="N71" s="1" t="s">
        <v>264</v>
      </c>
    </row>
    <row r="72" spans="1:14" ht="19" hidden="1">
      <c r="A72">
        <v>71</v>
      </c>
      <c r="B72" s="1" t="s">
        <v>38</v>
      </c>
      <c r="C72" s="2" t="s">
        <v>271</v>
      </c>
      <c r="D72" t="s">
        <v>1201</v>
      </c>
      <c r="E72" t="s">
        <v>391</v>
      </c>
      <c r="F72" t="s">
        <v>192</v>
      </c>
      <c r="G72" t="s">
        <v>2556</v>
      </c>
      <c r="H72" t="s">
        <v>192</v>
      </c>
      <c r="I72" t="s">
        <v>2720</v>
      </c>
      <c r="J72" t="s">
        <v>192</v>
      </c>
      <c r="K72" t="s">
        <v>1949</v>
      </c>
      <c r="L72" t="str">
        <f t="shared" si="1"/>
        <v>to dignose</v>
      </c>
      <c r="M72" s="1"/>
      <c r="N72" s="1" t="s">
        <v>59</v>
      </c>
    </row>
    <row r="73" spans="1:14" ht="19">
      <c r="A73">
        <v>72</v>
      </c>
      <c r="B73" s="1" t="s">
        <v>39</v>
      </c>
      <c r="C73" s="2" t="s">
        <v>271</v>
      </c>
      <c r="D73" t="s">
        <v>84</v>
      </c>
      <c r="E73" t="s">
        <v>391</v>
      </c>
      <c r="F73" t="s">
        <v>192</v>
      </c>
      <c r="G73" t="s">
        <v>2546</v>
      </c>
      <c r="H73" t="s">
        <v>192</v>
      </c>
      <c r="I73" t="s">
        <v>2710</v>
      </c>
      <c r="J73" t="s">
        <v>192</v>
      </c>
      <c r="K73" t="s">
        <v>1942</v>
      </c>
      <c r="L73" t="str">
        <f t="shared" si="1"/>
        <v>segmented videos list</v>
      </c>
      <c r="M73" s="1"/>
      <c r="N73" s="1" t="s">
        <v>60</v>
      </c>
    </row>
    <row r="74" spans="1:14" ht="19">
      <c r="A74">
        <v>73</v>
      </c>
      <c r="B74" s="1" t="s">
        <v>242</v>
      </c>
      <c r="C74" s="2" t="s">
        <v>267</v>
      </c>
      <c r="D74" t="s">
        <v>84</v>
      </c>
      <c r="E74" t="s">
        <v>391</v>
      </c>
      <c r="F74" t="s">
        <v>192</v>
      </c>
      <c r="G74" t="s">
        <v>2523</v>
      </c>
      <c r="H74" t="s">
        <v>192</v>
      </c>
      <c r="I74" t="s">
        <v>2687</v>
      </c>
      <c r="J74" t="s">
        <v>192</v>
      </c>
      <c r="K74" t="s">
        <v>1918</v>
      </c>
      <c r="L74" t="str">
        <f t="shared" si="1"/>
        <v>segmented videos list</v>
      </c>
      <c r="M74" s="1"/>
      <c r="N74" s="1" t="s">
        <v>265</v>
      </c>
    </row>
    <row r="75" spans="1:14" ht="19" hidden="1">
      <c r="A75">
        <v>74</v>
      </c>
      <c r="B75" s="1" t="s">
        <v>40</v>
      </c>
      <c r="C75" s="2" t="s">
        <v>271</v>
      </c>
      <c r="D75" t="s">
        <v>1203</v>
      </c>
      <c r="E75" t="s">
        <v>391</v>
      </c>
      <c r="F75" t="s">
        <v>192</v>
      </c>
      <c r="G75" t="s">
        <v>2544</v>
      </c>
      <c r="H75" t="s">
        <v>192</v>
      </c>
      <c r="I75" t="s">
        <v>2708</v>
      </c>
      <c r="J75" t="s">
        <v>192</v>
      </c>
      <c r="K75" t="s">
        <v>1960</v>
      </c>
      <c r="L75" t="str">
        <f t="shared" si="1"/>
        <v>to dignose</v>
      </c>
      <c r="M75" s="1"/>
      <c r="N75" s="1" t="s">
        <v>61</v>
      </c>
    </row>
    <row r="76" spans="1:14" ht="19" hidden="1">
      <c r="A76">
        <v>75</v>
      </c>
      <c r="B76" s="1" t="s">
        <v>243</v>
      </c>
      <c r="C76" s="2" t="s">
        <v>269</v>
      </c>
      <c r="D76" t="s">
        <v>84</v>
      </c>
      <c r="E76" t="s">
        <v>391</v>
      </c>
      <c r="F76" t="s">
        <v>1717</v>
      </c>
      <c r="G76" t="e">
        <v>#N/A</v>
      </c>
      <c r="H76" t="s">
        <v>1717</v>
      </c>
      <c r="I76" t="e">
        <v>#N/A</v>
      </c>
      <c r="J76" t="s">
        <v>1717</v>
      </c>
      <c r="K76" t="e">
        <v>#N/A</v>
      </c>
      <c r="L76" t="str">
        <f t="shared" si="1"/>
        <v>no</v>
      </c>
      <c r="M76" s="1"/>
      <c r="N76" s="1" t="s">
        <v>266</v>
      </c>
    </row>
    <row r="77" spans="1:14" ht="19" hidden="1">
      <c r="A77">
        <v>76</v>
      </c>
      <c r="B77" s="1" t="s">
        <v>41</v>
      </c>
      <c r="C77" s="2" t="s">
        <v>271</v>
      </c>
      <c r="D77" t="s">
        <v>84</v>
      </c>
      <c r="E77" t="s">
        <v>391</v>
      </c>
      <c r="F77" t="s">
        <v>1717</v>
      </c>
      <c r="G77" t="e">
        <v>#N/A</v>
      </c>
      <c r="H77" t="s">
        <v>1717</v>
      </c>
      <c r="I77" t="e">
        <v>#N/A</v>
      </c>
      <c r="J77" t="s">
        <v>1717</v>
      </c>
      <c r="K77" t="e">
        <v>#N/A</v>
      </c>
      <c r="L77" t="str">
        <f t="shared" si="1"/>
        <v>no</v>
      </c>
      <c r="M77" s="1"/>
      <c r="N77" s="1" t="s">
        <v>62</v>
      </c>
    </row>
    <row r="78" spans="1:14" ht="19" hidden="1">
      <c r="A78">
        <v>77</v>
      </c>
      <c r="B78" s="1" t="s">
        <v>244</v>
      </c>
      <c r="C78" s="2" t="s">
        <v>274</v>
      </c>
      <c r="D78" t="s">
        <v>84</v>
      </c>
      <c r="E78" t="s">
        <v>391</v>
      </c>
      <c r="F78" t="s">
        <v>1717</v>
      </c>
      <c r="G78" t="e">
        <v>#N/A</v>
      </c>
      <c r="H78" t="s">
        <v>1717</v>
      </c>
      <c r="I78" t="e">
        <v>#N/A</v>
      </c>
      <c r="J78" t="s">
        <v>1717</v>
      </c>
      <c r="K78" t="e">
        <v>#N/A</v>
      </c>
      <c r="L78" t="str">
        <f t="shared" si="1"/>
        <v>no</v>
      </c>
      <c r="M78" s="1"/>
      <c r="N78" s="1" t="s">
        <v>63</v>
      </c>
    </row>
    <row r="79" spans="1:14" ht="19" hidden="1">
      <c r="A79">
        <v>78</v>
      </c>
      <c r="B79" s="1" t="s">
        <v>245</v>
      </c>
      <c r="C79" s="2" t="s">
        <v>269</v>
      </c>
      <c r="D79" t="s">
        <v>84</v>
      </c>
      <c r="E79" t="s">
        <v>391</v>
      </c>
      <c r="F79" t="s">
        <v>1717</v>
      </c>
      <c r="G79" t="e">
        <v>#N/A</v>
      </c>
      <c r="H79" t="s">
        <v>1717</v>
      </c>
      <c r="I79" t="e">
        <v>#N/A</v>
      </c>
      <c r="J79" t="s">
        <v>1717</v>
      </c>
      <c r="K79" t="e">
        <v>#N/A</v>
      </c>
      <c r="L79" t="str">
        <f t="shared" si="1"/>
        <v>no</v>
      </c>
      <c r="M79" s="1"/>
      <c r="N79" s="1"/>
    </row>
    <row r="80" spans="1:14" ht="19" hidden="1">
      <c r="A80">
        <v>79</v>
      </c>
      <c r="B80" s="1" t="s">
        <v>42</v>
      </c>
      <c r="C80" s="2" t="s">
        <v>271</v>
      </c>
      <c r="D80" t="s">
        <v>87</v>
      </c>
      <c r="E80" t="s">
        <v>391</v>
      </c>
      <c r="F80" t="s">
        <v>1717</v>
      </c>
      <c r="G80" t="e">
        <v>#N/A</v>
      </c>
      <c r="H80" t="s">
        <v>1717</v>
      </c>
      <c r="I80" t="e">
        <v>#N/A</v>
      </c>
      <c r="J80" t="s">
        <v>1717</v>
      </c>
      <c r="K80" t="e">
        <v>#N/A</v>
      </c>
      <c r="L80" t="str">
        <f t="shared" si="1"/>
        <v>no</v>
      </c>
      <c r="M80" s="1"/>
      <c r="N80" s="1"/>
    </row>
    <row r="81" spans="1:12" ht="19" hidden="1">
      <c r="A81">
        <v>80</v>
      </c>
      <c r="B81" s="1" t="s">
        <v>43</v>
      </c>
      <c r="C81" s="2" t="s">
        <v>271</v>
      </c>
      <c r="D81" t="s">
        <v>87</v>
      </c>
      <c r="E81" t="s">
        <v>391</v>
      </c>
      <c r="F81" t="s">
        <v>1717</v>
      </c>
      <c r="G81" t="e">
        <v>#N/A</v>
      </c>
      <c r="H81" t="s">
        <v>1717</v>
      </c>
      <c r="I81" t="e">
        <v>#N/A</v>
      </c>
      <c r="J81" t="s">
        <v>1717</v>
      </c>
      <c r="K81" t="e">
        <v>#N/A</v>
      </c>
      <c r="L81" t="str">
        <f t="shared" si="1"/>
        <v>no</v>
      </c>
    </row>
    <row r="82" spans="1:12" ht="19" hidden="1">
      <c r="A82">
        <v>81</v>
      </c>
      <c r="B82" s="1" t="s">
        <v>246</v>
      </c>
      <c r="C82" s="2" t="s">
        <v>273</v>
      </c>
      <c r="D82" t="s">
        <v>84</v>
      </c>
      <c r="E82" t="s">
        <v>391</v>
      </c>
      <c r="F82" t="s">
        <v>1717</v>
      </c>
      <c r="G82" t="e">
        <v>#N/A</v>
      </c>
      <c r="H82" t="s">
        <v>1717</v>
      </c>
      <c r="I82" t="e">
        <v>#N/A</v>
      </c>
      <c r="J82" t="s">
        <v>1717</v>
      </c>
      <c r="K82" t="e">
        <v>#N/A</v>
      </c>
      <c r="L82" t="str">
        <f t="shared" si="1"/>
        <v>no</v>
      </c>
    </row>
    <row r="83" spans="1:12" ht="19" hidden="1">
      <c r="A83">
        <v>82</v>
      </c>
      <c r="B83" s="1" t="s">
        <v>247</v>
      </c>
      <c r="C83" s="2" t="s">
        <v>269</v>
      </c>
      <c r="D83" t="s">
        <v>84</v>
      </c>
      <c r="E83" t="s">
        <v>391</v>
      </c>
      <c r="F83" t="s">
        <v>1717</v>
      </c>
      <c r="G83" t="e">
        <v>#N/A</v>
      </c>
      <c r="H83" t="s">
        <v>1717</v>
      </c>
      <c r="I83" t="e">
        <v>#N/A</v>
      </c>
      <c r="J83" t="s">
        <v>1717</v>
      </c>
      <c r="K83" t="e">
        <v>#N/A</v>
      </c>
      <c r="L83" t="str">
        <f t="shared" si="1"/>
        <v>no</v>
      </c>
    </row>
    <row r="84" spans="1:12" ht="19" hidden="1">
      <c r="A84">
        <v>83</v>
      </c>
      <c r="B84" s="1" t="s">
        <v>248</v>
      </c>
      <c r="C84" s="2" t="s">
        <v>269</v>
      </c>
      <c r="D84" t="s">
        <v>84</v>
      </c>
      <c r="E84" t="s">
        <v>391</v>
      </c>
      <c r="F84" t="s">
        <v>1717</v>
      </c>
      <c r="G84" t="e">
        <v>#N/A</v>
      </c>
      <c r="H84" t="s">
        <v>1717</v>
      </c>
      <c r="I84" t="e">
        <v>#N/A</v>
      </c>
      <c r="J84" t="s">
        <v>1717</v>
      </c>
      <c r="K84" t="e">
        <v>#N/A</v>
      </c>
      <c r="L84" t="str">
        <f t="shared" si="1"/>
        <v>no</v>
      </c>
    </row>
    <row r="85" spans="1:12" ht="19" hidden="1">
      <c r="A85">
        <v>84</v>
      </c>
      <c r="B85" s="1" t="s">
        <v>44</v>
      </c>
      <c r="C85" s="2" t="s">
        <v>271</v>
      </c>
      <c r="D85" t="s">
        <v>87</v>
      </c>
      <c r="E85" t="s">
        <v>391</v>
      </c>
      <c r="F85" t="s">
        <v>1717</v>
      </c>
      <c r="G85" t="e">
        <v>#N/A</v>
      </c>
      <c r="H85" t="s">
        <v>1717</v>
      </c>
      <c r="I85" t="e">
        <v>#N/A</v>
      </c>
      <c r="J85" t="s">
        <v>1717</v>
      </c>
      <c r="K85" t="e">
        <v>#N/A</v>
      </c>
      <c r="L85" t="str">
        <f t="shared" si="1"/>
        <v>no</v>
      </c>
    </row>
    <row r="86" spans="1:12" ht="19" hidden="1">
      <c r="A86">
        <v>85</v>
      </c>
      <c r="B86" s="1" t="s">
        <v>249</v>
      </c>
      <c r="C86" s="2" t="s">
        <v>274</v>
      </c>
      <c r="D86" t="s">
        <v>84</v>
      </c>
      <c r="E86" t="s">
        <v>391</v>
      </c>
      <c r="F86" t="s">
        <v>1717</v>
      </c>
      <c r="G86" t="e">
        <v>#N/A</v>
      </c>
      <c r="H86" t="s">
        <v>1717</v>
      </c>
      <c r="I86" t="e">
        <v>#N/A</v>
      </c>
      <c r="J86" t="s">
        <v>1717</v>
      </c>
      <c r="K86" t="e">
        <v>#N/A</v>
      </c>
      <c r="L86" t="str">
        <f t="shared" si="1"/>
        <v>no</v>
      </c>
    </row>
    <row r="87" spans="1:12" ht="19" hidden="1">
      <c r="A87">
        <v>86</v>
      </c>
      <c r="B87" s="1" t="s">
        <v>45</v>
      </c>
      <c r="C87" s="2" t="s">
        <v>271</v>
      </c>
      <c r="D87" t="s">
        <v>84</v>
      </c>
      <c r="E87" t="s">
        <v>391</v>
      </c>
      <c r="F87" t="s">
        <v>1717</v>
      </c>
      <c r="G87" t="e">
        <v>#N/A</v>
      </c>
      <c r="H87" t="s">
        <v>1717</v>
      </c>
      <c r="I87" t="e">
        <v>#N/A</v>
      </c>
      <c r="J87" t="s">
        <v>1717</v>
      </c>
      <c r="K87" t="e">
        <v>#N/A</v>
      </c>
      <c r="L87" t="str">
        <f t="shared" si="1"/>
        <v>no</v>
      </c>
    </row>
    <row r="88" spans="1:12" ht="19" hidden="1">
      <c r="A88">
        <v>87</v>
      </c>
      <c r="B88" s="1" t="s">
        <v>250</v>
      </c>
      <c r="C88" s="2" t="s">
        <v>268</v>
      </c>
      <c r="D88" t="s">
        <v>84</v>
      </c>
      <c r="E88" t="s">
        <v>391</v>
      </c>
      <c r="F88" t="s">
        <v>1717</v>
      </c>
      <c r="G88" t="e">
        <v>#N/A</v>
      </c>
      <c r="H88" t="s">
        <v>1717</v>
      </c>
      <c r="I88" t="e">
        <v>#N/A</v>
      </c>
      <c r="J88" t="s">
        <v>1717</v>
      </c>
      <c r="K88" t="e">
        <v>#N/A</v>
      </c>
      <c r="L88" t="str">
        <f t="shared" si="1"/>
        <v>no</v>
      </c>
    </row>
    <row r="89" spans="1:12" ht="19" hidden="1">
      <c r="A89">
        <v>88</v>
      </c>
      <c r="B89" s="1" t="s">
        <v>46</v>
      </c>
      <c r="C89" s="2" t="s">
        <v>271</v>
      </c>
      <c r="D89" t="s">
        <v>84</v>
      </c>
      <c r="E89" t="s">
        <v>391</v>
      </c>
      <c r="F89" t="s">
        <v>1717</v>
      </c>
      <c r="G89" t="e">
        <v>#N/A</v>
      </c>
      <c r="H89" t="s">
        <v>1717</v>
      </c>
      <c r="I89" t="e">
        <v>#N/A</v>
      </c>
      <c r="J89" t="s">
        <v>1717</v>
      </c>
      <c r="K89" t="e">
        <v>#N/A</v>
      </c>
      <c r="L89" t="str">
        <f t="shared" si="1"/>
        <v>no</v>
      </c>
    </row>
    <row r="90" spans="1:12" ht="19" hidden="1">
      <c r="A90">
        <v>89</v>
      </c>
      <c r="B90" s="1" t="s">
        <v>47</v>
      </c>
      <c r="C90" s="2" t="s">
        <v>271</v>
      </c>
      <c r="D90" t="s">
        <v>84</v>
      </c>
      <c r="E90" t="s">
        <v>391</v>
      </c>
      <c r="F90" t="s">
        <v>1717</v>
      </c>
      <c r="G90" t="e">
        <v>#N/A</v>
      </c>
      <c r="H90" t="s">
        <v>1717</v>
      </c>
      <c r="I90" t="e">
        <v>#N/A</v>
      </c>
      <c r="J90" t="s">
        <v>1717</v>
      </c>
      <c r="K90" t="e">
        <v>#N/A</v>
      </c>
      <c r="L90" t="str">
        <f t="shared" si="1"/>
        <v>no</v>
      </c>
    </row>
    <row r="91" spans="1:12" ht="19" hidden="1">
      <c r="A91">
        <v>90</v>
      </c>
      <c r="B91" s="1" t="s">
        <v>48</v>
      </c>
      <c r="C91" s="2" t="s">
        <v>271</v>
      </c>
      <c r="D91" t="s">
        <v>84</v>
      </c>
      <c r="E91" t="s">
        <v>391</v>
      </c>
      <c r="F91" t="s">
        <v>1717</v>
      </c>
      <c r="G91" t="e">
        <v>#N/A</v>
      </c>
      <c r="H91" t="s">
        <v>1717</v>
      </c>
      <c r="I91" t="e">
        <v>#N/A</v>
      </c>
      <c r="J91" t="s">
        <v>1717</v>
      </c>
      <c r="K91" t="e">
        <v>#N/A</v>
      </c>
      <c r="L91" t="str">
        <f t="shared" si="1"/>
        <v>no</v>
      </c>
    </row>
    <row r="92" spans="1:12" ht="19" hidden="1">
      <c r="A92">
        <v>91</v>
      </c>
      <c r="B92" s="1" t="s">
        <v>49</v>
      </c>
      <c r="C92" s="2" t="s">
        <v>271</v>
      </c>
      <c r="D92" t="s">
        <v>84</v>
      </c>
      <c r="E92" t="s">
        <v>391</v>
      </c>
      <c r="F92" t="s">
        <v>1717</v>
      </c>
      <c r="G92" t="e">
        <v>#N/A</v>
      </c>
      <c r="H92" t="s">
        <v>1717</v>
      </c>
      <c r="I92" t="e">
        <v>#N/A</v>
      </c>
      <c r="J92" t="s">
        <v>1717</v>
      </c>
      <c r="K92" t="e">
        <v>#N/A</v>
      </c>
      <c r="L92" t="str">
        <f t="shared" si="1"/>
        <v>no</v>
      </c>
    </row>
    <row r="93" spans="1:12" ht="19" hidden="1">
      <c r="A93">
        <v>92</v>
      </c>
      <c r="B93" s="1" t="s">
        <v>50</v>
      </c>
      <c r="C93" s="2" t="s">
        <v>271</v>
      </c>
      <c r="D93" t="s">
        <v>84</v>
      </c>
      <c r="E93" t="s">
        <v>391</v>
      </c>
      <c r="F93" t="s">
        <v>1717</v>
      </c>
      <c r="G93" t="e">
        <v>#N/A</v>
      </c>
      <c r="H93" t="s">
        <v>1717</v>
      </c>
      <c r="I93" t="e">
        <v>#N/A</v>
      </c>
      <c r="J93" t="s">
        <v>1717</v>
      </c>
      <c r="K93" t="e">
        <v>#N/A</v>
      </c>
      <c r="L93" t="str">
        <f t="shared" si="1"/>
        <v>no</v>
      </c>
    </row>
    <row r="94" spans="1:12" ht="19" hidden="1">
      <c r="A94">
        <v>93</v>
      </c>
      <c r="B94" s="1" t="s">
        <v>51</v>
      </c>
      <c r="C94" s="2" t="s">
        <v>271</v>
      </c>
      <c r="D94" t="s">
        <v>84</v>
      </c>
      <c r="E94" t="s">
        <v>391</v>
      </c>
      <c r="F94" t="s">
        <v>1717</v>
      </c>
      <c r="G94" t="e">
        <v>#N/A</v>
      </c>
      <c r="H94" t="s">
        <v>1717</v>
      </c>
      <c r="I94" t="e">
        <v>#N/A</v>
      </c>
      <c r="J94" t="s">
        <v>1717</v>
      </c>
      <c r="K94" t="e">
        <v>#N/A</v>
      </c>
      <c r="L94" t="str">
        <f t="shared" si="1"/>
        <v>no</v>
      </c>
    </row>
    <row r="95" spans="1:12" ht="19" hidden="1">
      <c r="A95">
        <v>94</v>
      </c>
      <c r="B95" s="1" t="s">
        <v>52</v>
      </c>
      <c r="C95" s="2" t="s">
        <v>271</v>
      </c>
      <c r="D95" t="s">
        <v>84</v>
      </c>
      <c r="E95" t="s">
        <v>391</v>
      </c>
      <c r="F95" t="s">
        <v>1717</v>
      </c>
      <c r="G95" t="e">
        <v>#N/A</v>
      </c>
      <c r="H95" t="s">
        <v>1717</v>
      </c>
      <c r="I95" t="e">
        <v>#N/A</v>
      </c>
      <c r="J95" t="s">
        <v>1717</v>
      </c>
      <c r="K95" t="e">
        <v>#N/A</v>
      </c>
      <c r="L95" t="str">
        <f t="shared" si="1"/>
        <v>no</v>
      </c>
    </row>
    <row r="96" spans="1:12" ht="19" hidden="1">
      <c r="A96">
        <v>95</v>
      </c>
      <c r="B96" s="1" t="s">
        <v>53</v>
      </c>
      <c r="C96" s="2" t="s">
        <v>271</v>
      </c>
      <c r="D96" t="s">
        <v>84</v>
      </c>
      <c r="E96" t="s">
        <v>391</v>
      </c>
      <c r="F96" t="s">
        <v>1717</v>
      </c>
      <c r="G96" t="e">
        <v>#N/A</v>
      </c>
      <c r="H96" t="s">
        <v>1717</v>
      </c>
      <c r="I96" t="e">
        <v>#N/A</v>
      </c>
      <c r="J96" t="s">
        <v>1717</v>
      </c>
      <c r="K96" t="e">
        <v>#N/A</v>
      </c>
      <c r="L96" t="str">
        <f t="shared" si="1"/>
        <v>no</v>
      </c>
    </row>
    <row r="97" spans="1:12" ht="19">
      <c r="A97">
        <v>96</v>
      </c>
      <c r="B97" s="1" t="s">
        <v>251</v>
      </c>
      <c r="C97" s="2" t="s">
        <v>267</v>
      </c>
      <c r="D97" t="s">
        <v>84</v>
      </c>
      <c r="E97" t="s">
        <v>391</v>
      </c>
      <c r="F97" t="s">
        <v>192</v>
      </c>
      <c r="G97" t="s">
        <v>2571</v>
      </c>
      <c r="H97" t="s">
        <v>192</v>
      </c>
      <c r="I97" t="s">
        <v>2734</v>
      </c>
      <c r="J97" t="s">
        <v>192</v>
      </c>
      <c r="K97" t="s">
        <v>1919</v>
      </c>
      <c r="L97" t="str">
        <f t="shared" si="1"/>
        <v>segmented videos list</v>
      </c>
    </row>
    <row r="98" spans="1:12" ht="19">
      <c r="A98">
        <v>97</v>
      </c>
      <c r="B98" s="1" t="s">
        <v>54</v>
      </c>
      <c r="C98" s="2" t="s">
        <v>271</v>
      </c>
      <c r="D98" t="s">
        <v>84</v>
      </c>
      <c r="E98" t="s">
        <v>391</v>
      </c>
      <c r="F98" t="s">
        <v>192</v>
      </c>
      <c r="G98" t="s">
        <v>2561</v>
      </c>
      <c r="H98" t="s">
        <v>192</v>
      </c>
      <c r="I98" t="s">
        <v>2725</v>
      </c>
      <c r="J98" t="s">
        <v>192</v>
      </c>
      <c r="K98" t="s">
        <v>1956</v>
      </c>
      <c r="L98" t="str">
        <f t="shared" si="1"/>
        <v>segmented videos list</v>
      </c>
    </row>
    <row r="99" spans="1:12" ht="19" hidden="1">
      <c r="A99">
        <v>98</v>
      </c>
      <c r="B99" s="1" t="s">
        <v>55</v>
      </c>
      <c r="C99" s="2" t="s">
        <v>271</v>
      </c>
      <c r="D99" t="s">
        <v>1201</v>
      </c>
      <c r="E99" t="s">
        <v>391</v>
      </c>
      <c r="F99" t="s">
        <v>192</v>
      </c>
      <c r="G99" t="s">
        <v>2573</v>
      </c>
      <c r="H99" t="s">
        <v>192</v>
      </c>
      <c r="I99" t="s">
        <v>2736</v>
      </c>
      <c r="J99" t="s">
        <v>192</v>
      </c>
      <c r="K99" t="s">
        <v>1931</v>
      </c>
      <c r="L99" t="str">
        <f t="shared" si="1"/>
        <v>to dignose</v>
      </c>
    </row>
    <row r="100" spans="1:12" ht="19">
      <c r="A100">
        <v>99</v>
      </c>
      <c r="B100" s="1" t="s">
        <v>252</v>
      </c>
      <c r="C100" s="2" t="s">
        <v>274</v>
      </c>
      <c r="D100" t="s">
        <v>84</v>
      </c>
      <c r="E100" t="s">
        <v>391</v>
      </c>
      <c r="F100" t="s">
        <v>192</v>
      </c>
      <c r="G100" t="s">
        <v>2539</v>
      </c>
      <c r="H100" t="s">
        <v>192</v>
      </c>
      <c r="I100" t="s">
        <v>2703</v>
      </c>
      <c r="J100" t="s">
        <v>192</v>
      </c>
      <c r="K100" t="s">
        <v>1940</v>
      </c>
      <c r="L100" t="str">
        <f t="shared" si="1"/>
        <v>segmented videos list</v>
      </c>
    </row>
    <row r="101" spans="1:12" ht="19">
      <c r="A101">
        <v>100</v>
      </c>
      <c r="B101" s="1" t="s">
        <v>56</v>
      </c>
      <c r="C101" s="2" t="s">
        <v>271</v>
      </c>
      <c r="D101" t="s">
        <v>84</v>
      </c>
      <c r="E101" t="s">
        <v>391</v>
      </c>
      <c r="F101" t="s">
        <v>192</v>
      </c>
      <c r="G101" t="s">
        <v>2591</v>
      </c>
      <c r="H101" t="s">
        <v>192</v>
      </c>
      <c r="I101" t="s">
        <v>2754</v>
      </c>
      <c r="J101" t="s">
        <v>192</v>
      </c>
      <c r="K101" t="s">
        <v>1935</v>
      </c>
      <c r="L101" t="str">
        <f t="shared" si="1"/>
        <v>segmented videos list</v>
      </c>
    </row>
    <row r="102" spans="1:12" ht="19">
      <c r="A102">
        <v>101</v>
      </c>
      <c r="B102" s="1" t="s">
        <v>253</v>
      </c>
      <c r="C102" s="2" t="s">
        <v>267</v>
      </c>
      <c r="D102" t="s">
        <v>84</v>
      </c>
      <c r="E102" t="s">
        <v>391</v>
      </c>
      <c r="F102" t="s">
        <v>192</v>
      </c>
      <c r="G102" t="s">
        <v>2522</v>
      </c>
      <c r="H102" t="s">
        <v>192</v>
      </c>
      <c r="I102" t="s">
        <v>2686</v>
      </c>
      <c r="J102" t="s">
        <v>192</v>
      </c>
      <c r="K102" t="s">
        <v>1969</v>
      </c>
      <c r="L102" t="str">
        <f t="shared" si="1"/>
        <v>segmented videos list</v>
      </c>
    </row>
    <row r="103" spans="1:12" ht="19">
      <c r="A103">
        <v>102</v>
      </c>
      <c r="B103" s="1" t="s">
        <v>57</v>
      </c>
      <c r="C103" s="2" t="s">
        <v>271</v>
      </c>
      <c r="D103" t="s">
        <v>84</v>
      </c>
      <c r="E103" t="s">
        <v>391</v>
      </c>
      <c r="F103" t="s">
        <v>192</v>
      </c>
      <c r="G103" t="s">
        <v>2528</v>
      </c>
      <c r="H103" t="s">
        <v>192</v>
      </c>
      <c r="I103" t="s">
        <v>2692</v>
      </c>
      <c r="J103" t="s">
        <v>192</v>
      </c>
      <c r="K103" t="s">
        <v>1966</v>
      </c>
      <c r="L103" t="str">
        <f t="shared" si="1"/>
        <v>segmented videos list</v>
      </c>
    </row>
    <row r="104" spans="1:12" ht="19" hidden="1">
      <c r="A104">
        <v>103</v>
      </c>
      <c r="B104" s="1" t="s">
        <v>58</v>
      </c>
      <c r="C104" s="2" t="s">
        <v>271</v>
      </c>
      <c r="D104" t="s">
        <v>1203</v>
      </c>
      <c r="E104" t="s">
        <v>391</v>
      </c>
      <c r="F104" t="s">
        <v>201</v>
      </c>
      <c r="G104" t="s">
        <v>2557</v>
      </c>
      <c r="H104" t="s">
        <v>201</v>
      </c>
      <c r="I104" t="s">
        <v>2721</v>
      </c>
      <c r="J104" t="s">
        <v>192</v>
      </c>
      <c r="K104" t="s">
        <v>1975</v>
      </c>
      <c r="L104" t="str">
        <f t="shared" si="1"/>
        <v>to dignose</v>
      </c>
    </row>
    <row r="105" spans="1:12" ht="19">
      <c r="A105">
        <v>104</v>
      </c>
      <c r="B105" s="1" t="s">
        <v>254</v>
      </c>
      <c r="C105" s="2" t="s">
        <v>269</v>
      </c>
      <c r="D105" t="s">
        <v>84</v>
      </c>
      <c r="E105" t="s">
        <v>391</v>
      </c>
      <c r="F105" t="s">
        <v>192</v>
      </c>
      <c r="G105" t="s">
        <v>2532</v>
      </c>
      <c r="H105" t="s">
        <v>192</v>
      </c>
      <c r="I105" t="s">
        <v>2696</v>
      </c>
      <c r="J105" t="s">
        <v>192</v>
      </c>
      <c r="K105" t="s">
        <v>1926</v>
      </c>
      <c r="L105" t="str">
        <f t="shared" si="1"/>
        <v>segmented videos list</v>
      </c>
    </row>
    <row r="106" spans="1:12" ht="19" hidden="1">
      <c r="A106">
        <v>105</v>
      </c>
      <c r="B106" s="1" t="s">
        <v>255</v>
      </c>
      <c r="C106" s="2" t="s">
        <v>269</v>
      </c>
      <c r="D106" t="s">
        <v>1201</v>
      </c>
      <c r="E106" t="s">
        <v>391</v>
      </c>
      <c r="F106" t="s">
        <v>192</v>
      </c>
      <c r="G106" t="s">
        <v>2585</v>
      </c>
      <c r="H106" t="s">
        <v>192</v>
      </c>
      <c r="I106" t="s">
        <v>2748</v>
      </c>
      <c r="J106" t="s">
        <v>192</v>
      </c>
      <c r="K106" t="s">
        <v>1937</v>
      </c>
      <c r="L106" t="str">
        <f t="shared" si="1"/>
        <v>to dignose</v>
      </c>
    </row>
    <row r="107" spans="1:12" ht="19" hidden="1">
      <c r="A107">
        <v>106</v>
      </c>
      <c r="B107" s="1" t="s">
        <v>256</v>
      </c>
      <c r="C107" s="2" t="s">
        <v>269</v>
      </c>
      <c r="D107" t="s">
        <v>84</v>
      </c>
      <c r="E107" t="s">
        <v>391</v>
      </c>
      <c r="F107" t="s">
        <v>1717</v>
      </c>
      <c r="G107" t="e">
        <v>#N/A</v>
      </c>
      <c r="H107" t="s">
        <v>1717</v>
      </c>
      <c r="I107" t="e">
        <v>#N/A</v>
      </c>
      <c r="J107" t="s">
        <v>1717</v>
      </c>
      <c r="K107" t="e">
        <v>#N/A</v>
      </c>
      <c r="L107" t="str">
        <f t="shared" si="1"/>
        <v>no</v>
      </c>
    </row>
    <row r="108" spans="1:12" ht="19">
      <c r="A108">
        <v>107</v>
      </c>
      <c r="B108" s="1" t="s">
        <v>257</v>
      </c>
      <c r="C108" s="2" t="s">
        <v>274</v>
      </c>
      <c r="D108" t="s">
        <v>84</v>
      </c>
      <c r="E108" t="s">
        <v>391</v>
      </c>
      <c r="F108" t="s">
        <v>192</v>
      </c>
      <c r="G108" t="s">
        <v>2559</v>
      </c>
      <c r="H108" t="s">
        <v>192</v>
      </c>
      <c r="I108" t="s">
        <v>2723</v>
      </c>
      <c r="J108" t="s">
        <v>192</v>
      </c>
      <c r="K108" t="s">
        <v>1920</v>
      </c>
      <c r="L108" t="str">
        <f t="shared" si="1"/>
        <v>segmented videos list</v>
      </c>
    </row>
    <row r="109" spans="1:12" ht="19" hidden="1">
      <c r="A109">
        <v>108</v>
      </c>
      <c r="B109" s="1" t="s">
        <v>258</v>
      </c>
      <c r="C109" s="2" t="s">
        <v>267</v>
      </c>
      <c r="D109" t="s">
        <v>84</v>
      </c>
      <c r="E109" t="s">
        <v>391</v>
      </c>
      <c r="F109" t="s">
        <v>1717</v>
      </c>
      <c r="G109" t="e">
        <v>#N/A</v>
      </c>
      <c r="H109" t="s">
        <v>1717</v>
      </c>
      <c r="I109" t="e">
        <v>#N/A</v>
      </c>
      <c r="J109" t="s">
        <v>1717</v>
      </c>
      <c r="K109" t="e">
        <v>#N/A</v>
      </c>
      <c r="L109" t="str">
        <f t="shared" si="1"/>
        <v>no</v>
      </c>
    </row>
    <row r="110" spans="1:12" ht="19" hidden="1">
      <c r="A110">
        <v>109</v>
      </c>
      <c r="B110" s="1" t="s">
        <v>259</v>
      </c>
      <c r="C110" s="2" t="s">
        <v>274</v>
      </c>
      <c r="D110" t="s">
        <v>84</v>
      </c>
      <c r="E110" t="s">
        <v>391</v>
      </c>
      <c r="F110" t="s">
        <v>1717</v>
      </c>
      <c r="G110" t="e">
        <v>#N/A</v>
      </c>
      <c r="H110" t="s">
        <v>1717</v>
      </c>
      <c r="I110" t="e">
        <v>#N/A</v>
      </c>
      <c r="J110" t="s">
        <v>1717</v>
      </c>
      <c r="K110" t="e">
        <v>#N/A</v>
      </c>
      <c r="L110" t="str">
        <f t="shared" si="1"/>
        <v>no</v>
      </c>
    </row>
    <row r="111" spans="1:12" ht="19" hidden="1">
      <c r="A111">
        <v>110</v>
      </c>
      <c r="B111" s="1" t="s">
        <v>260</v>
      </c>
      <c r="C111" s="2" t="s">
        <v>269</v>
      </c>
      <c r="D111" t="s">
        <v>84</v>
      </c>
      <c r="E111" t="s">
        <v>391</v>
      </c>
      <c r="F111" t="s">
        <v>1717</v>
      </c>
      <c r="G111" t="e">
        <v>#N/A</v>
      </c>
      <c r="H111" t="s">
        <v>1717</v>
      </c>
      <c r="I111" t="e">
        <v>#N/A</v>
      </c>
      <c r="J111" t="s">
        <v>1717</v>
      </c>
      <c r="K111" t="e">
        <v>#N/A</v>
      </c>
      <c r="L111" t="str">
        <f t="shared" si="1"/>
        <v>no</v>
      </c>
    </row>
    <row r="112" spans="1:12" ht="19" hidden="1">
      <c r="A112">
        <v>111</v>
      </c>
      <c r="B112" s="1" t="s">
        <v>261</v>
      </c>
      <c r="C112" s="2" t="s">
        <v>274</v>
      </c>
      <c r="D112" t="s">
        <v>84</v>
      </c>
      <c r="E112" t="s">
        <v>391</v>
      </c>
      <c r="F112" t="s">
        <v>1717</v>
      </c>
      <c r="G112" t="e">
        <v>#N/A</v>
      </c>
      <c r="H112" t="s">
        <v>1717</v>
      </c>
      <c r="I112" t="e">
        <v>#N/A</v>
      </c>
      <c r="J112" t="s">
        <v>1717</v>
      </c>
      <c r="K112" t="e">
        <v>#N/A</v>
      </c>
      <c r="L112" t="str">
        <f t="shared" si="1"/>
        <v>no</v>
      </c>
    </row>
    <row r="113" spans="1:12" ht="19" hidden="1">
      <c r="A113">
        <v>112</v>
      </c>
      <c r="B113" s="1" t="s">
        <v>262</v>
      </c>
      <c r="C113" s="2" t="s">
        <v>269</v>
      </c>
      <c r="D113" t="s">
        <v>84</v>
      </c>
      <c r="E113" t="s">
        <v>391</v>
      </c>
      <c r="F113" t="s">
        <v>1717</v>
      </c>
      <c r="G113" t="e">
        <v>#N/A</v>
      </c>
      <c r="H113" t="s">
        <v>1717</v>
      </c>
      <c r="I113" t="e">
        <v>#N/A</v>
      </c>
      <c r="J113" t="s">
        <v>1717</v>
      </c>
      <c r="K113" t="e">
        <v>#N/A</v>
      </c>
      <c r="L113" t="str">
        <f t="shared" si="1"/>
        <v>no</v>
      </c>
    </row>
    <row r="114" spans="1:12" ht="19" hidden="1">
      <c r="A114">
        <v>113</v>
      </c>
      <c r="B114" s="1" t="s">
        <v>263</v>
      </c>
      <c r="C114" s="2" t="s">
        <v>269</v>
      </c>
      <c r="D114" t="s">
        <v>84</v>
      </c>
      <c r="E114" t="s">
        <v>391</v>
      </c>
      <c r="F114" t="s">
        <v>1717</v>
      </c>
      <c r="G114" t="e">
        <v>#N/A</v>
      </c>
      <c r="H114" t="s">
        <v>1717</v>
      </c>
      <c r="I114" t="e">
        <v>#N/A</v>
      </c>
      <c r="J114" t="s">
        <v>1717</v>
      </c>
      <c r="K114" t="e">
        <v>#N/A</v>
      </c>
      <c r="L114" t="str">
        <f t="shared" si="1"/>
        <v>no</v>
      </c>
    </row>
    <row r="115" spans="1:12" ht="19">
      <c r="A115">
        <v>114</v>
      </c>
      <c r="B115" s="1" t="s">
        <v>264</v>
      </c>
      <c r="C115" s="2" t="s">
        <v>267</v>
      </c>
      <c r="D115" t="s">
        <v>85</v>
      </c>
      <c r="E115" t="s">
        <v>391</v>
      </c>
      <c r="F115" t="s">
        <v>192</v>
      </c>
      <c r="G115" t="s">
        <v>2543</v>
      </c>
      <c r="H115" t="s">
        <v>192</v>
      </c>
      <c r="I115" t="s">
        <v>2707</v>
      </c>
      <c r="J115" t="s">
        <v>192</v>
      </c>
      <c r="K115" t="s">
        <v>1925</v>
      </c>
      <c r="L115" t="str">
        <f t="shared" si="1"/>
        <v>segmented videos list</v>
      </c>
    </row>
    <row r="116" spans="1:12" ht="19" hidden="1">
      <c r="A116">
        <v>115</v>
      </c>
      <c r="B116" s="1" t="s">
        <v>59</v>
      </c>
      <c r="C116" s="2" t="s">
        <v>271</v>
      </c>
      <c r="D116" t="s">
        <v>1204</v>
      </c>
      <c r="E116" t="s">
        <v>391</v>
      </c>
      <c r="F116" t="s">
        <v>201</v>
      </c>
      <c r="G116" t="s">
        <v>2564</v>
      </c>
      <c r="H116" t="s">
        <v>201</v>
      </c>
      <c r="I116" t="s">
        <v>2728</v>
      </c>
      <c r="J116" t="s">
        <v>201</v>
      </c>
      <c r="K116" t="s">
        <v>1953</v>
      </c>
      <c r="L116" t="str">
        <f t="shared" si="1"/>
        <v>to dignose</v>
      </c>
    </row>
    <row r="117" spans="1:12" ht="19">
      <c r="A117">
        <v>116</v>
      </c>
      <c r="B117" s="1" t="s">
        <v>60</v>
      </c>
      <c r="C117" s="2" t="s">
        <v>271</v>
      </c>
      <c r="D117" t="s">
        <v>84</v>
      </c>
      <c r="E117" t="s">
        <v>391</v>
      </c>
      <c r="F117" t="s">
        <v>192</v>
      </c>
      <c r="G117" t="s">
        <v>2525</v>
      </c>
      <c r="H117" t="s">
        <v>192</v>
      </c>
      <c r="I117" t="s">
        <v>2689</v>
      </c>
      <c r="J117" t="s">
        <v>192</v>
      </c>
      <c r="K117" t="s">
        <v>1976</v>
      </c>
      <c r="L117" t="str">
        <f t="shared" si="1"/>
        <v>segmented videos list</v>
      </c>
    </row>
    <row r="118" spans="1:12" ht="19">
      <c r="A118">
        <v>117</v>
      </c>
      <c r="B118" s="1" t="s">
        <v>265</v>
      </c>
      <c r="C118" s="2" t="s">
        <v>267</v>
      </c>
      <c r="D118" t="s">
        <v>84</v>
      </c>
      <c r="E118" t="s">
        <v>391</v>
      </c>
      <c r="F118" t="s">
        <v>192</v>
      </c>
      <c r="G118" t="s">
        <v>2524</v>
      </c>
      <c r="H118" t="s">
        <v>192</v>
      </c>
      <c r="I118" t="s">
        <v>2688</v>
      </c>
      <c r="J118" t="s">
        <v>192</v>
      </c>
      <c r="K118" t="s">
        <v>1972</v>
      </c>
      <c r="L118" t="str">
        <f t="shared" si="1"/>
        <v>segmented videos list</v>
      </c>
    </row>
    <row r="119" spans="1:12" ht="19" hidden="1">
      <c r="A119">
        <v>118</v>
      </c>
      <c r="B119" s="1" t="s">
        <v>61</v>
      </c>
      <c r="C119" s="2" t="s">
        <v>271</v>
      </c>
      <c r="D119" t="s">
        <v>1203</v>
      </c>
      <c r="E119" t="s">
        <v>391</v>
      </c>
      <c r="F119" t="s">
        <v>201</v>
      </c>
      <c r="G119" t="s">
        <v>2538</v>
      </c>
      <c r="H119" t="s">
        <v>201</v>
      </c>
      <c r="I119" t="s">
        <v>2702</v>
      </c>
      <c r="J119" t="s">
        <v>201</v>
      </c>
      <c r="K119" t="s">
        <v>1923</v>
      </c>
      <c r="L119" t="str">
        <f t="shared" si="1"/>
        <v>to dignose</v>
      </c>
    </row>
    <row r="120" spans="1:12" ht="19">
      <c r="A120">
        <v>119</v>
      </c>
      <c r="B120" s="1" t="s">
        <v>266</v>
      </c>
      <c r="C120" s="2" t="s">
        <v>269</v>
      </c>
      <c r="D120" t="s">
        <v>84</v>
      </c>
      <c r="E120" t="s">
        <v>391</v>
      </c>
      <c r="F120" t="s">
        <v>192</v>
      </c>
      <c r="G120" t="s">
        <v>2583</v>
      </c>
      <c r="H120" t="s">
        <v>192</v>
      </c>
      <c r="I120" t="s">
        <v>2746</v>
      </c>
      <c r="J120" t="s">
        <v>192</v>
      </c>
      <c r="K120" t="s">
        <v>1922</v>
      </c>
      <c r="L120" t="str">
        <f t="shared" si="1"/>
        <v>segmented videos list</v>
      </c>
    </row>
    <row r="121" spans="1:12" ht="19">
      <c r="A121">
        <v>120</v>
      </c>
      <c r="B121" s="1" t="s">
        <v>62</v>
      </c>
      <c r="C121" s="2" t="s">
        <v>271</v>
      </c>
      <c r="D121" t="s">
        <v>84</v>
      </c>
      <c r="E121" t="s">
        <v>391</v>
      </c>
      <c r="F121" t="s">
        <v>192</v>
      </c>
      <c r="G121" t="s">
        <v>2581</v>
      </c>
      <c r="H121" t="s">
        <v>192</v>
      </c>
      <c r="I121" t="s">
        <v>2744</v>
      </c>
      <c r="J121" t="s">
        <v>192</v>
      </c>
      <c r="K121" t="s">
        <v>1916</v>
      </c>
      <c r="L121" t="str">
        <f t="shared" si="1"/>
        <v>segmented videos list</v>
      </c>
    </row>
    <row r="122" spans="1:12" ht="19">
      <c r="A122">
        <v>121</v>
      </c>
      <c r="B122" s="1" t="s">
        <v>63</v>
      </c>
      <c r="C122" s="2" t="s">
        <v>271</v>
      </c>
      <c r="D122" t="s">
        <v>84</v>
      </c>
      <c r="E122" t="s">
        <v>391</v>
      </c>
      <c r="F122" t="s">
        <v>192</v>
      </c>
      <c r="G122" t="s">
        <v>2584</v>
      </c>
      <c r="H122" t="s">
        <v>192</v>
      </c>
      <c r="I122" t="s">
        <v>2747</v>
      </c>
      <c r="J122" t="s">
        <v>192</v>
      </c>
      <c r="K122" t="s">
        <v>1945</v>
      </c>
      <c r="L122" t="str">
        <f t="shared" si="1"/>
        <v>segmented videos list</v>
      </c>
    </row>
    <row r="123" spans="1:12" ht="19" hidden="1">
      <c r="A123">
        <v>122</v>
      </c>
      <c r="B123" s="1" t="s">
        <v>64</v>
      </c>
      <c r="C123" s="2" t="s">
        <v>271</v>
      </c>
      <c r="D123" t="s">
        <v>84</v>
      </c>
      <c r="E123" t="s">
        <v>391</v>
      </c>
      <c r="F123" t="s">
        <v>1717</v>
      </c>
      <c r="G123" t="e">
        <v>#N/A</v>
      </c>
      <c r="H123" t="s">
        <v>1717</v>
      </c>
      <c r="I123" t="e">
        <v>#N/A</v>
      </c>
      <c r="J123" t="s">
        <v>1717</v>
      </c>
      <c r="K123" t="e">
        <v>#N/A</v>
      </c>
      <c r="L123" t="str">
        <f t="shared" si="1"/>
        <v>no</v>
      </c>
    </row>
    <row r="124" spans="1:12" ht="19" hidden="1">
      <c r="A124">
        <v>123</v>
      </c>
      <c r="B124" s="1" t="s">
        <v>65</v>
      </c>
      <c r="C124" s="2" t="s">
        <v>271</v>
      </c>
      <c r="D124" t="s">
        <v>84</v>
      </c>
      <c r="E124" t="s">
        <v>391</v>
      </c>
      <c r="F124" t="s">
        <v>1717</v>
      </c>
      <c r="G124" t="e">
        <v>#N/A</v>
      </c>
      <c r="H124" t="s">
        <v>1717</v>
      </c>
      <c r="I124" t="e">
        <v>#N/A</v>
      </c>
      <c r="J124" t="s">
        <v>1717</v>
      </c>
      <c r="K124" t="e">
        <v>#N/A</v>
      </c>
      <c r="L124" t="str">
        <f t="shared" si="1"/>
        <v>no</v>
      </c>
    </row>
    <row r="125" spans="1:12" ht="19" hidden="1">
      <c r="A125">
        <v>124</v>
      </c>
      <c r="B125" s="1" t="s">
        <v>66</v>
      </c>
      <c r="C125" s="2" t="s">
        <v>271</v>
      </c>
      <c r="D125" t="s">
        <v>84</v>
      </c>
      <c r="E125" t="s">
        <v>391</v>
      </c>
      <c r="F125" t="s">
        <v>1717</v>
      </c>
      <c r="G125" t="e">
        <v>#N/A</v>
      </c>
      <c r="H125" t="s">
        <v>1717</v>
      </c>
      <c r="I125" t="e">
        <v>#N/A</v>
      </c>
      <c r="J125" t="s">
        <v>1717</v>
      </c>
      <c r="K125" t="e">
        <v>#N/A</v>
      </c>
      <c r="L125" t="str">
        <f t="shared" si="1"/>
        <v>no</v>
      </c>
    </row>
    <row r="126" spans="1:12" ht="19" hidden="1">
      <c r="A126">
        <v>125</v>
      </c>
      <c r="B126" s="1" t="s">
        <v>67</v>
      </c>
      <c r="C126" s="2" t="s">
        <v>271</v>
      </c>
      <c r="D126" t="s">
        <v>84</v>
      </c>
      <c r="E126" t="s">
        <v>391</v>
      </c>
      <c r="F126" t="s">
        <v>1717</v>
      </c>
      <c r="G126" t="e">
        <v>#N/A</v>
      </c>
      <c r="H126" t="s">
        <v>1717</v>
      </c>
      <c r="I126" t="e">
        <v>#N/A</v>
      </c>
      <c r="J126" t="s">
        <v>1717</v>
      </c>
      <c r="K126" t="e">
        <v>#N/A</v>
      </c>
      <c r="L126" t="str">
        <f t="shared" si="1"/>
        <v>no</v>
      </c>
    </row>
    <row r="127" spans="1:12" ht="19" hidden="1">
      <c r="A127">
        <v>126</v>
      </c>
      <c r="B127" s="1" t="s">
        <v>68</v>
      </c>
      <c r="C127" s="2" t="s">
        <v>271</v>
      </c>
      <c r="D127" t="s">
        <v>84</v>
      </c>
      <c r="E127" t="s">
        <v>391</v>
      </c>
      <c r="F127" t="s">
        <v>1717</v>
      </c>
      <c r="G127" t="e">
        <v>#N/A</v>
      </c>
      <c r="H127" t="s">
        <v>1717</v>
      </c>
      <c r="I127" t="e">
        <v>#N/A</v>
      </c>
      <c r="J127" t="s">
        <v>1717</v>
      </c>
      <c r="K127" t="e">
        <v>#N/A</v>
      </c>
      <c r="L127" t="str">
        <f t="shared" si="1"/>
        <v>no</v>
      </c>
    </row>
    <row r="128" spans="1:12" ht="19" hidden="1">
      <c r="A128">
        <v>127</v>
      </c>
      <c r="B128" s="1" t="s">
        <v>69</v>
      </c>
      <c r="C128" s="2" t="s">
        <v>271</v>
      </c>
      <c r="D128" t="s">
        <v>84</v>
      </c>
      <c r="E128" t="s">
        <v>391</v>
      </c>
      <c r="F128" t="s">
        <v>1717</v>
      </c>
      <c r="G128" t="e">
        <v>#N/A</v>
      </c>
      <c r="H128" t="s">
        <v>1717</v>
      </c>
      <c r="I128" t="e">
        <v>#N/A</v>
      </c>
      <c r="J128" t="s">
        <v>1717</v>
      </c>
      <c r="K128" t="e">
        <v>#N/A</v>
      </c>
      <c r="L128" t="str">
        <f t="shared" si="1"/>
        <v>no</v>
      </c>
    </row>
    <row r="129" spans="1:12" ht="19" hidden="1">
      <c r="A129">
        <v>128</v>
      </c>
      <c r="B129" s="1" t="s">
        <v>70</v>
      </c>
      <c r="C129" s="2" t="s">
        <v>271</v>
      </c>
      <c r="D129" t="s">
        <v>84</v>
      </c>
      <c r="E129" t="s">
        <v>391</v>
      </c>
      <c r="F129" t="s">
        <v>1717</v>
      </c>
      <c r="G129" t="e">
        <v>#N/A</v>
      </c>
      <c r="H129" t="s">
        <v>1717</v>
      </c>
      <c r="I129" t="e">
        <v>#N/A</v>
      </c>
      <c r="J129" t="s">
        <v>1717</v>
      </c>
      <c r="K129" t="e">
        <v>#N/A</v>
      </c>
      <c r="L129" t="str">
        <f t="shared" si="1"/>
        <v>no</v>
      </c>
    </row>
    <row r="130" spans="1:12" ht="19" hidden="1">
      <c r="A130">
        <v>129</v>
      </c>
      <c r="B130" s="1" t="s">
        <v>71</v>
      </c>
      <c r="C130" s="2" t="s">
        <v>271</v>
      </c>
      <c r="D130" t="s">
        <v>84</v>
      </c>
      <c r="E130" t="s">
        <v>391</v>
      </c>
      <c r="F130" t="s">
        <v>1717</v>
      </c>
      <c r="G130" t="e">
        <v>#N/A</v>
      </c>
      <c r="H130" t="s">
        <v>1717</v>
      </c>
      <c r="I130" t="e">
        <v>#N/A</v>
      </c>
      <c r="J130" t="s">
        <v>1717</v>
      </c>
      <c r="K130" t="e">
        <v>#N/A</v>
      </c>
      <c r="L130" t="str">
        <f t="shared" ref="L130:L142" si="2">IF(COUNTIF(M:M, B130)&gt;0,$M$1,IF(COUNTIF(N:N, B130)&gt;0,$N$1,"no"))</f>
        <v>no</v>
      </c>
    </row>
    <row r="131" spans="1:12" ht="19" hidden="1">
      <c r="A131">
        <v>130</v>
      </c>
      <c r="B131" s="1" t="s">
        <v>72</v>
      </c>
      <c r="C131" s="2" t="s">
        <v>271</v>
      </c>
      <c r="D131" t="s">
        <v>84</v>
      </c>
      <c r="E131" t="s">
        <v>391</v>
      </c>
      <c r="F131" t="s">
        <v>1717</v>
      </c>
      <c r="G131" t="e">
        <v>#N/A</v>
      </c>
      <c r="H131" t="s">
        <v>1717</v>
      </c>
      <c r="I131" t="e">
        <v>#N/A</v>
      </c>
      <c r="J131" t="s">
        <v>1717</v>
      </c>
      <c r="K131" t="e">
        <v>#N/A</v>
      </c>
      <c r="L131" t="str">
        <f t="shared" si="2"/>
        <v>no</v>
      </c>
    </row>
    <row r="132" spans="1:12" ht="19" hidden="1">
      <c r="A132">
        <v>131</v>
      </c>
      <c r="B132" s="1" t="s">
        <v>73</v>
      </c>
      <c r="C132" s="2" t="s">
        <v>271</v>
      </c>
      <c r="D132" t="s">
        <v>84</v>
      </c>
      <c r="E132" t="s">
        <v>391</v>
      </c>
      <c r="F132" t="s">
        <v>1717</v>
      </c>
      <c r="G132" t="e">
        <v>#N/A</v>
      </c>
      <c r="H132" t="s">
        <v>1717</v>
      </c>
      <c r="I132" t="e">
        <v>#N/A</v>
      </c>
      <c r="J132" t="s">
        <v>1717</v>
      </c>
      <c r="K132" t="e">
        <v>#N/A</v>
      </c>
      <c r="L132" t="str">
        <f t="shared" si="2"/>
        <v>no</v>
      </c>
    </row>
    <row r="133" spans="1:12" ht="19" hidden="1">
      <c r="A133">
        <v>132</v>
      </c>
      <c r="B133" s="1" t="s">
        <v>74</v>
      </c>
      <c r="C133" s="2" t="s">
        <v>271</v>
      </c>
      <c r="D133" t="s">
        <v>84</v>
      </c>
      <c r="E133" t="s">
        <v>391</v>
      </c>
      <c r="F133" t="s">
        <v>1717</v>
      </c>
      <c r="G133" t="e">
        <v>#N/A</v>
      </c>
      <c r="H133" t="s">
        <v>1717</v>
      </c>
      <c r="I133" t="e">
        <v>#N/A</v>
      </c>
      <c r="J133" t="s">
        <v>1717</v>
      </c>
      <c r="K133" t="e">
        <v>#N/A</v>
      </c>
      <c r="L133" t="str">
        <f t="shared" si="2"/>
        <v>no</v>
      </c>
    </row>
    <row r="134" spans="1:12" ht="19" hidden="1">
      <c r="A134">
        <v>133</v>
      </c>
      <c r="B134" s="1" t="s">
        <v>75</v>
      </c>
      <c r="C134" s="2" t="s">
        <v>271</v>
      </c>
      <c r="D134" t="s">
        <v>84</v>
      </c>
      <c r="E134" t="s">
        <v>391</v>
      </c>
      <c r="F134" t="s">
        <v>1717</v>
      </c>
      <c r="G134" t="e">
        <v>#N/A</v>
      </c>
      <c r="H134" t="s">
        <v>1717</v>
      </c>
      <c r="I134" t="e">
        <v>#N/A</v>
      </c>
      <c r="J134" t="s">
        <v>1717</v>
      </c>
      <c r="K134" t="e">
        <v>#N/A</v>
      </c>
      <c r="L134" t="str">
        <f t="shared" si="2"/>
        <v>no</v>
      </c>
    </row>
    <row r="135" spans="1:12" ht="19" hidden="1">
      <c r="A135">
        <v>134</v>
      </c>
      <c r="B135" s="1" t="s">
        <v>76</v>
      </c>
      <c r="C135" s="2" t="s">
        <v>271</v>
      </c>
      <c r="D135" t="s">
        <v>84</v>
      </c>
      <c r="E135" t="s">
        <v>391</v>
      </c>
      <c r="F135" t="s">
        <v>1717</v>
      </c>
      <c r="G135" t="e">
        <v>#N/A</v>
      </c>
      <c r="H135" t="s">
        <v>1717</v>
      </c>
      <c r="I135" t="e">
        <v>#N/A</v>
      </c>
      <c r="J135" t="s">
        <v>1717</v>
      </c>
      <c r="K135" t="e">
        <v>#N/A</v>
      </c>
      <c r="L135" t="str">
        <f t="shared" si="2"/>
        <v>no</v>
      </c>
    </row>
    <row r="136" spans="1:12" ht="19" hidden="1">
      <c r="A136">
        <v>135</v>
      </c>
      <c r="B136" s="1" t="s">
        <v>77</v>
      </c>
      <c r="C136" s="2" t="s">
        <v>271</v>
      </c>
      <c r="D136" t="s">
        <v>84</v>
      </c>
      <c r="E136" t="s">
        <v>391</v>
      </c>
      <c r="F136" t="s">
        <v>1717</v>
      </c>
      <c r="G136" t="e">
        <v>#N/A</v>
      </c>
      <c r="H136" t="s">
        <v>1717</v>
      </c>
      <c r="I136" t="e">
        <v>#N/A</v>
      </c>
      <c r="J136" t="s">
        <v>1717</v>
      </c>
      <c r="K136" t="e">
        <v>#N/A</v>
      </c>
      <c r="L136" t="str">
        <f t="shared" si="2"/>
        <v>no</v>
      </c>
    </row>
    <row r="137" spans="1:12" ht="19" hidden="1">
      <c r="A137">
        <v>136</v>
      </c>
      <c r="B137" s="1" t="s">
        <v>78</v>
      </c>
      <c r="C137" s="2" t="s">
        <v>271</v>
      </c>
      <c r="D137" t="s">
        <v>84</v>
      </c>
      <c r="E137" t="s">
        <v>391</v>
      </c>
      <c r="F137" t="s">
        <v>1717</v>
      </c>
      <c r="G137" t="e">
        <v>#N/A</v>
      </c>
      <c r="H137" t="s">
        <v>1717</v>
      </c>
      <c r="I137" t="e">
        <v>#N/A</v>
      </c>
      <c r="J137" t="s">
        <v>1717</v>
      </c>
      <c r="K137" t="e">
        <v>#N/A</v>
      </c>
      <c r="L137" t="str">
        <f t="shared" si="2"/>
        <v>no</v>
      </c>
    </row>
    <row r="138" spans="1:12" ht="19" hidden="1">
      <c r="A138">
        <v>137</v>
      </c>
      <c r="B138" s="1" t="s">
        <v>79</v>
      </c>
      <c r="C138" s="2" t="s">
        <v>271</v>
      </c>
      <c r="D138" t="s">
        <v>84</v>
      </c>
      <c r="E138" t="s">
        <v>391</v>
      </c>
      <c r="F138" t="s">
        <v>1717</v>
      </c>
      <c r="G138" t="e">
        <v>#N/A</v>
      </c>
      <c r="H138" t="s">
        <v>1717</v>
      </c>
      <c r="I138" t="e">
        <v>#N/A</v>
      </c>
      <c r="J138" t="s">
        <v>1717</v>
      </c>
      <c r="K138" t="e">
        <v>#N/A</v>
      </c>
      <c r="L138" t="str">
        <f t="shared" si="2"/>
        <v>no</v>
      </c>
    </row>
    <row r="139" spans="1:12" ht="19" hidden="1">
      <c r="A139">
        <v>138</v>
      </c>
      <c r="B139" s="1" t="s">
        <v>80</v>
      </c>
      <c r="C139" s="2" t="s">
        <v>271</v>
      </c>
      <c r="D139" t="s">
        <v>84</v>
      </c>
      <c r="E139" t="s">
        <v>391</v>
      </c>
      <c r="F139" t="s">
        <v>1717</v>
      </c>
      <c r="G139" t="e">
        <v>#N/A</v>
      </c>
      <c r="H139" t="s">
        <v>1717</v>
      </c>
      <c r="I139" t="e">
        <v>#N/A</v>
      </c>
      <c r="J139" t="s">
        <v>1717</v>
      </c>
      <c r="K139" t="e">
        <v>#N/A</v>
      </c>
      <c r="L139" t="str">
        <f t="shared" si="2"/>
        <v>no</v>
      </c>
    </row>
    <row r="140" spans="1:12" ht="19" hidden="1">
      <c r="A140">
        <v>139</v>
      </c>
      <c r="B140" s="1" t="s">
        <v>81</v>
      </c>
      <c r="C140" s="2" t="s">
        <v>271</v>
      </c>
      <c r="D140" t="s">
        <v>84</v>
      </c>
      <c r="E140" t="s">
        <v>391</v>
      </c>
      <c r="F140" t="s">
        <v>1717</v>
      </c>
      <c r="G140" t="e">
        <v>#N/A</v>
      </c>
      <c r="H140" t="s">
        <v>1717</v>
      </c>
      <c r="I140" t="e">
        <v>#N/A</v>
      </c>
      <c r="J140" t="s">
        <v>1717</v>
      </c>
      <c r="K140" t="e">
        <v>#N/A</v>
      </c>
      <c r="L140" t="str">
        <f t="shared" si="2"/>
        <v>no</v>
      </c>
    </row>
    <row r="141" spans="1:12" ht="19" hidden="1">
      <c r="A141">
        <v>140</v>
      </c>
      <c r="B141" s="1" t="s">
        <v>82</v>
      </c>
      <c r="C141" s="2" t="s">
        <v>271</v>
      </c>
      <c r="D141" t="s">
        <v>84</v>
      </c>
      <c r="E141" t="s">
        <v>391</v>
      </c>
      <c r="F141" t="s">
        <v>1717</v>
      </c>
      <c r="G141" t="e">
        <v>#N/A</v>
      </c>
      <c r="H141" t="s">
        <v>1717</v>
      </c>
      <c r="I141" t="e">
        <v>#N/A</v>
      </c>
      <c r="J141" t="s">
        <v>1717</v>
      </c>
      <c r="K141" t="e">
        <v>#N/A</v>
      </c>
      <c r="L141" t="str">
        <f t="shared" si="2"/>
        <v>no</v>
      </c>
    </row>
    <row r="142" spans="1:12" ht="19" hidden="1">
      <c r="A142">
        <v>141</v>
      </c>
      <c r="B142" s="1" t="s">
        <v>83</v>
      </c>
      <c r="C142" s="2" t="s">
        <v>271</v>
      </c>
      <c r="D142" t="s">
        <v>84</v>
      </c>
      <c r="E142" t="s">
        <v>391</v>
      </c>
      <c r="F142" t="s">
        <v>1717</v>
      </c>
      <c r="G142" t="e">
        <v>#N/A</v>
      </c>
      <c r="H142" t="s">
        <v>1717</v>
      </c>
      <c r="I142" t="e">
        <v>#N/A</v>
      </c>
      <c r="J142" t="s">
        <v>1717</v>
      </c>
      <c r="K142" t="e">
        <v>#N/A</v>
      </c>
      <c r="L142" t="str">
        <f t="shared" si="2"/>
        <v>no</v>
      </c>
    </row>
    <row r="143" spans="1:12" ht="19" hidden="1">
      <c r="B143" s="1"/>
    </row>
    <row r="144" spans="1:12" ht="19" hidden="1">
      <c r="B144" s="1"/>
    </row>
  </sheetData>
  <autoFilter ref="A1:N144" xr:uid="{F81F59E8-BDA9-404E-A6EF-CB634F5DEC4D}">
    <filterColumn colId="3">
      <filters>
        <filter val="Quick"/>
        <filter val="Slow"/>
      </filters>
    </filterColumn>
    <filterColumn colId="11">
      <filters blank="1">
        <filter val="segmented videos list"/>
        <filter val="to dignose"/>
      </filters>
    </filterColumn>
  </autoFilter>
  <phoneticPr fontId="1" type="noConversion"/>
  <conditionalFormatting sqref="E1:E1048576">
    <cfRule type="cellIs" dxfId="122" priority="6" operator="equal">
      <formula>"no"</formula>
    </cfRule>
    <cfRule type="cellIs" dxfId="121" priority="7" operator="equal">
      <formula>"yes"</formula>
    </cfRule>
  </conditionalFormatting>
  <conditionalFormatting sqref="F2:F142">
    <cfRule type="expression" dxfId="120" priority="2">
      <formula>F2&lt;&gt;E2</formula>
    </cfRule>
  </conditionalFormatting>
  <conditionalFormatting sqref="H2:H142">
    <cfRule type="expression" dxfId="119" priority="1" stopIfTrue="1">
      <formula>H2&lt;&gt;E2</formula>
    </cfRule>
  </conditionalFormatting>
  <conditionalFormatting sqref="J2:J142">
    <cfRule type="expression" dxfId="118" priority="3">
      <formula>J2&lt;&gt;E2</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AFED-B0D4-AC41-8E56-2E04CE8F857D}">
  <sheetPr filterMode="1"/>
  <dimension ref="A1:N142"/>
  <sheetViews>
    <sheetView workbookViewId="0">
      <selection activeCell="J34" sqref="J34"/>
    </sheetView>
  </sheetViews>
  <sheetFormatPr baseColWidth="10" defaultRowHeight="15"/>
  <cols>
    <col min="2" max="2" width="12" style="5" customWidth="1"/>
    <col min="3" max="3" width="5.1640625" customWidth="1"/>
    <col min="5" max="5" width="11.33203125" customWidth="1"/>
    <col min="12" max="12" width="14.33203125" customWidth="1"/>
  </cols>
  <sheetData>
    <row r="1" spans="1:14">
      <c r="A1" t="s">
        <v>88</v>
      </c>
      <c r="B1" s="5" t="s">
        <v>0</v>
      </c>
      <c r="C1" s="2" t="s">
        <v>202</v>
      </c>
      <c r="D1" t="s">
        <v>6</v>
      </c>
      <c r="E1" t="s">
        <v>1</v>
      </c>
      <c r="F1" t="s">
        <v>1904</v>
      </c>
      <c r="G1" t="s">
        <v>2592</v>
      </c>
      <c r="H1" t="s">
        <v>2677</v>
      </c>
      <c r="I1" t="s">
        <v>2677</v>
      </c>
      <c r="J1" t="s">
        <v>2676</v>
      </c>
      <c r="K1" t="s">
        <v>2592</v>
      </c>
      <c r="L1" t="s">
        <v>1067</v>
      </c>
      <c r="M1" t="s">
        <v>1192</v>
      </c>
      <c r="N1" t="s">
        <v>1105</v>
      </c>
    </row>
    <row r="2" spans="1:14" ht="19">
      <c r="A2">
        <v>1</v>
      </c>
      <c r="B2" s="14" t="s">
        <v>299</v>
      </c>
      <c r="C2" t="s">
        <v>271</v>
      </c>
      <c r="E2" t="s">
        <v>390</v>
      </c>
      <c r="F2" t="s">
        <v>201</v>
      </c>
      <c r="G2" t="s">
        <v>2629</v>
      </c>
      <c r="H2" t="s">
        <v>201</v>
      </c>
      <c r="I2" t="s">
        <v>2791</v>
      </c>
      <c r="J2" t="s">
        <v>201</v>
      </c>
      <c r="K2" t="s">
        <v>2020</v>
      </c>
      <c r="L2" t="str">
        <f>IF(COUNTIF(M:M, B2)&gt;0,$M$1,IF(COUNTIF(N:N, B2)&gt;0,$N$1,"no"))</f>
        <v>segmented videos list</v>
      </c>
      <c r="M2" s="1"/>
      <c r="N2" s="1" t="s">
        <v>327</v>
      </c>
    </row>
    <row r="3" spans="1:14" ht="19">
      <c r="A3">
        <v>2</v>
      </c>
      <c r="B3" s="14" t="s">
        <v>300</v>
      </c>
      <c r="C3" t="s">
        <v>271</v>
      </c>
      <c r="E3" t="s">
        <v>390</v>
      </c>
      <c r="F3" t="s">
        <v>192</v>
      </c>
      <c r="G3" t="s">
        <v>2615</v>
      </c>
      <c r="H3" t="s">
        <v>192</v>
      </c>
      <c r="I3" t="s">
        <v>2777</v>
      </c>
      <c r="J3" t="s">
        <v>201</v>
      </c>
      <c r="K3" t="s">
        <v>1987</v>
      </c>
      <c r="L3" t="str">
        <f t="shared" ref="L3:L66" si="0">IF(COUNTIF(M:M, B3)&gt;0,$M$1,IF(COUNTIF(N:N, B3)&gt;0,$N$1,"no"))</f>
        <v>segmented videos list</v>
      </c>
      <c r="M3" s="1"/>
      <c r="N3" s="1" t="s">
        <v>348</v>
      </c>
    </row>
    <row r="4" spans="1:14" ht="19" hidden="1">
      <c r="A4">
        <v>3</v>
      </c>
      <c r="B4" s="14" t="s">
        <v>301</v>
      </c>
      <c r="C4" t="s">
        <v>295</v>
      </c>
      <c r="E4" t="s">
        <v>391</v>
      </c>
      <c r="F4" t="s">
        <v>201</v>
      </c>
      <c r="G4" t="s">
        <v>2632</v>
      </c>
      <c r="H4" t="s">
        <v>201</v>
      </c>
      <c r="I4" t="s">
        <v>2794</v>
      </c>
      <c r="J4" t="s">
        <v>201</v>
      </c>
      <c r="K4" t="s">
        <v>2008</v>
      </c>
      <c r="L4" t="str">
        <f t="shared" si="0"/>
        <v>segmented videos list</v>
      </c>
      <c r="M4" s="1"/>
      <c r="N4" s="1" t="s">
        <v>311</v>
      </c>
    </row>
    <row r="5" spans="1:14" ht="19">
      <c r="A5">
        <v>4</v>
      </c>
      <c r="B5" s="14" t="s">
        <v>302</v>
      </c>
      <c r="C5" t="s">
        <v>271</v>
      </c>
      <c r="E5" t="s">
        <v>390</v>
      </c>
      <c r="F5" t="s">
        <v>201</v>
      </c>
      <c r="G5" t="s">
        <v>2618</v>
      </c>
      <c r="H5" t="s">
        <v>201</v>
      </c>
      <c r="I5" t="s">
        <v>2780</v>
      </c>
      <c r="J5" t="s">
        <v>201</v>
      </c>
      <c r="K5" t="s">
        <v>2003</v>
      </c>
      <c r="L5" t="str">
        <f t="shared" si="0"/>
        <v>segmented videos list</v>
      </c>
      <c r="M5" s="1"/>
      <c r="N5" s="1" t="s">
        <v>328</v>
      </c>
    </row>
    <row r="6" spans="1:14" ht="19" hidden="1">
      <c r="A6">
        <v>5</v>
      </c>
      <c r="B6" s="14" t="s">
        <v>303</v>
      </c>
      <c r="C6" t="s">
        <v>271</v>
      </c>
      <c r="E6" t="s">
        <v>390</v>
      </c>
      <c r="F6" t="s">
        <v>1717</v>
      </c>
      <c r="G6" t="e">
        <v>#N/A</v>
      </c>
      <c r="H6" t="s">
        <v>1717</v>
      </c>
      <c r="I6" t="e">
        <v>#N/A</v>
      </c>
      <c r="J6" t="s">
        <v>1717</v>
      </c>
      <c r="K6" t="e">
        <v>#N/A</v>
      </c>
      <c r="L6" t="str">
        <f t="shared" si="0"/>
        <v>no</v>
      </c>
      <c r="M6" s="1"/>
      <c r="N6" s="1" t="s">
        <v>349</v>
      </c>
    </row>
    <row r="7" spans="1:14" ht="19">
      <c r="A7">
        <v>6</v>
      </c>
      <c r="B7" s="14" t="s">
        <v>304</v>
      </c>
      <c r="C7" t="s">
        <v>268</v>
      </c>
      <c r="E7" t="s">
        <v>390</v>
      </c>
      <c r="F7" t="s">
        <v>201</v>
      </c>
      <c r="G7" t="s">
        <v>2624</v>
      </c>
      <c r="H7" t="s">
        <v>201</v>
      </c>
      <c r="I7" t="s">
        <v>2786</v>
      </c>
      <c r="J7" t="s">
        <v>192</v>
      </c>
      <c r="K7" t="s">
        <v>2019</v>
      </c>
      <c r="L7" t="str">
        <f t="shared" si="0"/>
        <v>segmented videos list</v>
      </c>
      <c r="M7" s="1"/>
      <c r="N7" s="1" t="s">
        <v>312</v>
      </c>
    </row>
    <row r="8" spans="1:14" ht="19">
      <c r="A8">
        <v>7</v>
      </c>
      <c r="B8" s="14" t="s">
        <v>305</v>
      </c>
      <c r="C8" t="s">
        <v>269</v>
      </c>
      <c r="E8" t="s">
        <v>390</v>
      </c>
      <c r="F8" t="s">
        <v>201</v>
      </c>
      <c r="G8" t="s">
        <v>2606</v>
      </c>
      <c r="H8" t="s">
        <v>201</v>
      </c>
      <c r="I8" t="s">
        <v>2768</v>
      </c>
      <c r="J8" t="s">
        <v>201</v>
      </c>
      <c r="K8" t="s">
        <v>2016</v>
      </c>
      <c r="L8" t="str">
        <f t="shared" si="0"/>
        <v>segmented videos list</v>
      </c>
      <c r="M8" s="1"/>
      <c r="N8" s="1" t="s">
        <v>329</v>
      </c>
    </row>
    <row r="9" spans="1:14" ht="19" hidden="1">
      <c r="A9">
        <v>8</v>
      </c>
      <c r="B9" s="14" t="s">
        <v>306</v>
      </c>
      <c r="C9" t="s">
        <v>295</v>
      </c>
      <c r="E9" t="s">
        <v>391</v>
      </c>
      <c r="F9" t="s">
        <v>1717</v>
      </c>
      <c r="G9" t="e">
        <v>#N/A</v>
      </c>
      <c r="H9" t="s">
        <v>1717</v>
      </c>
      <c r="I9" t="e">
        <v>#N/A</v>
      </c>
      <c r="J9" t="s">
        <v>1717</v>
      </c>
      <c r="K9" t="e">
        <v>#N/A</v>
      </c>
      <c r="L9" t="str">
        <f t="shared" si="0"/>
        <v>no</v>
      </c>
      <c r="M9" s="1"/>
      <c r="N9" s="1" t="s">
        <v>350</v>
      </c>
    </row>
    <row r="10" spans="1:14" ht="19" hidden="1">
      <c r="A10">
        <v>9</v>
      </c>
      <c r="B10" s="14" t="s">
        <v>307</v>
      </c>
      <c r="C10" t="s">
        <v>295</v>
      </c>
      <c r="E10" t="s">
        <v>391</v>
      </c>
      <c r="F10" t="s">
        <v>1717</v>
      </c>
      <c r="G10" t="e">
        <v>#N/A</v>
      </c>
      <c r="H10" t="s">
        <v>1717</v>
      </c>
      <c r="I10" t="e">
        <v>#N/A</v>
      </c>
      <c r="J10" t="s">
        <v>1717</v>
      </c>
      <c r="K10" t="e">
        <v>#N/A</v>
      </c>
      <c r="L10" t="str">
        <f t="shared" si="0"/>
        <v>no</v>
      </c>
      <c r="M10" s="1"/>
      <c r="N10" s="1" t="s">
        <v>313</v>
      </c>
    </row>
    <row r="11" spans="1:14" ht="19" hidden="1">
      <c r="A11">
        <v>10</v>
      </c>
      <c r="B11" s="14" t="s">
        <v>308</v>
      </c>
      <c r="C11" t="s">
        <v>295</v>
      </c>
      <c r="E11" t="s">
        <v>391</v>
      </c>
      <c r="F11" t="s">
        <v>192</v>
      </c>
      <c r="G11" t="s">
        <v>2605</v>
      </c>
      <c r="H11" t="s">
        <v>192</v>
      </c>
      <c r="I11" t="s">
        <v>2767</v>
      </c>
      <c r="J11" t="s">
        <v>192</v>
      </c>
      <c r="K11" t="s">
        <v>2009</v>
      </c>
      <c r="L11" t="str">
        <f t="shared" si="0"/>
        <v>segmented videos list</v>
      </c>
      <c r="M11" s="1"/>
      <c r="N11" s="1" t="s">
        <v>330</v>
      </c>
    </row>
    <row r="12" spans="1:14" ht="19" hidden="1">
      <c r="A12">
        <v>11</v>
      </c>
      <c r="B12" s="14" t="s">
        <v>309</v>
      </c>
      <c r="C12" t="s">
        <v>354</v>
      </c>
      <c r="E12" t="s">
        <v>391</v>
      </c>
      <c r="F12" t="s">
        <v>192</v>
      </c>
      <c r="G12" t="s">
        <v>2604</v>
      </c>
      <c r="H12" t="s">
        <v>192</v>
      </c>
      <c r="I12" t="s">
        <v>2766</v>
      </c>
      <c r="J12" t="s">
        <v>192</v>
      </c>
      <c r="K12" t="s">
        <v>1984</v>
      </c>
      <c r="L12" t="str">
        <f t="shared" si="0"/>
        <v>segmented videos list</v>
      </c>
      <c r="M12" s="1"/>
      <c r="N12" s="1" t="s">
        <v>351</v>
      </c>
    </row>
    <row r="13" spans="1:14" ht="19" hidden="1">
      <c r="A13">
        <v>12</v>
      </c>
      <c r="B13" s="14" t="s">
        <v>310</v>
      </c>
      <c r="C13" t="s">
        <v>295</v>
      </c>
      <c r="E13" t="s">
        <v>391</v>
      </c>
      <c r="F13" t="s">
        <v>192</v>
      </c>
      <c r="G13" t="s">
        <v>2612</v>
      </c>
      <c r="H13" t="s">
        <v>192</v>
      </c>
      <c r="I13" t="s">
        <v>2774</v>
      </c>
      <c r="J13" t="s">
        <v>192</v>
      </c>
      <c r="K13" t="s">
        <v>1996</v>
      </c>
      <c r="L13" t="str">
        <f t="shared" si="0"/>
        <v>segmented videos list</v>
      </c>
      <c r="M13" s="1"/>
      <c r="N13" s="1" t="s">
        <v>314</v>
      </c>
    </row>
    <row r="14" spans="1:14" ht="19" hidden="1">
      <c r="A14">
        <v>13</v>
      </c>
      <c r="B14" s="14" t="s">
        <v>311</v>
      </c>
      <c r="C14" t="s">
        <v>355</v>
      </c>
      <c r="E14" t="s">
        <v>391</v>
      </c>
      <c r="F14" t="s">
        <v>201</v>
      </c>
      <c r="G14" t="s">
        <v>2626</v>
      </c>
      <c r="H14" t="s">
        <v>201</v>
      </c>
      <c r="I14" t="s">
        <v>2788</v>
      </c>
      <c r="J14" t="s">
        <v>201</v>
      </c>
      <c r="K14" t="s">
        <v>2010</v>
      </c>
      <c r="L14" t="str">
        <f t="shared" si="0"/>
        <v>segmented videos list</v>
      </c>
      <c r="M14" s="1"/>
      <c r="N14" s="1" t="s">
        <v>331</v>
      </c>
    </row>
    <row r="15" spans="1:14" ht="19">
      <c r="A15">
        <v>14</v>
      </c>
      <c r="B15" s="14" t="s">
        <v>312</v>
      </c>
      <c r="C15" t="s">
        <v>271</v>
      </c>
      <c r="E15" t="s">
        <v>390</v>
      </c>
      <c r="F15" t="s">
        <v>201</v>
      </c>
      <c r="G15" t="s">
        <v>2599</v>
      </c>
      <c r="H15" t="s">
        <v>201</v>
      </c>
      <c r="I15" t="s">
        <v>2761</v>
      </c>
      <c r="J15" t="s">
        <v>201</v>
      </c>
      <c r="K15" t="s">
        <v>2017</v>
      </c>
      <c r="L15" t="str">
        <f t="shared" si="0"/>
        <v>segmented videos list</v>
      </c>
      <c r="M15" s="1"/>
      <c r="N15" s="1" t="s">
        <v>352</v>
      </c>
    </row>
    <row r="16" spans="1:14" ht="19" hidden="1">
      <c r="A16">
        <v>15</v>
      </c>
      <c r="B16" s="14" t="s">
        <v>313</v>
      </c>
      <c r="C16" t="s">
        <v>355</v>
      </c>
      <c r="E16" t="s">
        <v>391</v>
      </c>
      <c r="F16" t="s">
        <v>192</v>
      </c>
      <c r="G16" t="s">
        <v>2598</v>
      </c>
      <c r="H16" t="s">
        <v>192</v>
      </c>
      <c r="I16" t="s">
        <v>2760</v>
      </c>
      <c r="J16" t="s">
        <v>192</v>
      </c>
      <c r="K16" t="s">
        <v>1986</v>
      </c>
      <c r="L16" t="str">
        <f t="shared" si="0"/>
        <v>segmented videos list</v>
      </c>
      <c r="M16" s="1"/>
      <c r="N16" s="1" t="s">
        <v>318</v>
      </c>
    </row>
    <row r="17" spans="1:14" ht="19">
      <c r="A17">
        <v>16</v>
      </c>
      <c r="B17" s="14" t="s">
        <v>314</v>
      </c>
      <c r="C17" t="s">
        <v>270</v>
      </c>
      <c r="E17" t="s">
        <v>390</v>
      </c>
      <c r="F17" t="s">
        <v>192</v>
      </c>
      <c r="G17" t="s">
        <v>2610</v>
      </c>
      <c r="H17" t="s">
        <v>192</v>
      </c>
      <c r="I17" t="s">
        <v>2772</v>
      </c>
      <c r="J17" t="s">
        <v>192</v>
      </c>
      <c r="K17" t="s">
        <v>2002</v>
      </c>
      <c r="L17" t="str">
        <f t="shared" si="0"/>
        <v>segmented videos list</v>
      </c>
      <c r="M17" s="1"/>
      <c r="N17" s="1" t="s">
        <v>332</v>
      </c>
    </row>
    <row r="18" spans="1:14" ht="19" hidden="1">
      <c r="A18">
        <v>17</v>
      </c>
      <c r="B18" s="14" t="s">
        <v>315</v>
      </c>
      <c r="C18" t="s">
        <v>271</v>
      </c>
      <c r="E18" t="s">
        <v>390</v>
      </c>
      <c r="F18" t="s">
        <v>1717</v>
      </c>
      <c r="G18" t="e">
        <v>#N/A</v>
      </c>
      <c r="H18" t="s">
        <v>1717</v>
      </c>
      <c r="I18" t="e">
        <v>#N/A</v>
      </c>
      <c r="J18" t="s">
        <v>1717</v>
      </c>
      <c r="K18" t="e">
        <v>#N/A</v>
      </c>
      <c r="L18" t="str">
        <f t="shared" si="0"/>
        <v>no</v>
      </c>
      <c r="M18" s="1"/>
      <c r="N18" s="1" t="s">
        <v>299</v>
      </c>
    </row>
    <row r="19" spans="1:14" ht="19" hidden="1">
      <c r="A19">
        <v>18</v>
      </c>
      <c r="B19" s="14" t="s">
        <v>316</v>
      </c>
      <c r="C19" t="s">
        <v>271</v>
      </c>
      <c r="E19" t="s">
        <v>390</v>
      </c>
      <c r="F19" t="s">
        <v>1717</v>
      </c>
      <c r="G19" t="e">
        <v>#N/A</v>
      </c>
      <c r="H19" t="s">
        <v>1717</v>
      </c>
      <c r="I19" t="e">
        <v>#N/A</v>
      </c>
      <c r="J19" t="s">
        <v>1717</v>
      </c>
      <c r="K19" t="e">
        <v>#N/A</v>
      </c>
      <c r="L19" t="str">
        <f t="shared" si="0"/>
        <v>no</v>
      </c>
      <c r="M19" s="1"/>
      <c r="N19" s="1" t="s">
        <v>319</v>
      </c>
    </row>
    <row r="20" spans="1:14" ht="19" hidden="1">
      <c r="A20">
        <v>19</v>
      </c>
      <c r="B20" s="14" t="s">
        <v>317</v>
      </c>
      <c r="C20" t="s">
        <v>271</v>
      </c>
      <c r="E20" t="s">
        <v>390</v>
      </c>
      <c r="F20" t="s">
        <v>1717</v>
      </c>
      <c r="G20" t="e">
        <v>#N/A</v>
      </c>
      <c r="H20" t="s">
        <v>1717</v>
      </c>
      <c r="I20" t="e">
        <v>#N/A</v>
      </c>
      <c r="J20" t="s">
        <v>1717</v>
      </c>
      <c r="K20" t="e">
        <v>#N/A</v>
      </c>
      <c r="L20" t="str">
        <f t="shared" si="0"/>
        <v>no</v>
      </c>
      <c r="M20" s="1"/>
      <c r="N20" s="1" t="s">
        <v>333</v>
      </c>
    </row>
    <row r="21" spans="1:14" ht="19" hidden="1">
      <c r="A21">
        <v>20</v>
      </c>
      <c r="B21" s="14" t="s">
        <v>318</v>
      </c>
      <c r="C21" t="s">
        <v>295</v>
      </c>
      <c r="E21" t="s">
        <v>391</v>
      </c>
      <c r="F21" t="s">
        <v>192</v>
      </c>
      <c r="G21" t="s">
        <v>2616</v>
      </c>
      <c r="H21" t="s">
        <v>192</v>
      </c>
      <c r="I21" t="s">
        <v>2778</v>
      </c>
      <c r="J21" t="s">
        <v>192</v>
      </c>
      <c r="K21" t="s">
        <v>1993</v>
      </c>
      <c r="L21" t="str">
        <f t="shared" si="0"/>
        <v>segmented videos list</v>
      </c>
      <c r="M21" s="1"/>
      <c r="N21" s="1" t="s">
        <v>300</v>
      </c>
    </row>
    <row r="22" spans="1:14" ht="19" hidden="1">
      <c r="A22">
        <v>21</v>
      </c>
      <c r="B22" s="14" t="s">
        <v>319</v>
      </c>
      <c r="C22" t="s">
        <v>295</v>
      </c>
      <c r="E22" t="s">
        <v>391</v>
      </c>
      <c r="F22" t="s">
        <v>192</v>
      </c>
      <c r="G22" t="s">
        <v>2620</v>
      </c>
      <c r="H22" t="s">
        <v>192</v>
      </c>
      <c r="I22" t="s">
        <v>2782</v>
      </c>
      <c r="J22" t="s">
        <v>192</v>
      </c>
      <c r="K22" t="s">
        <v>1998</v>
      </c>
      <c r="L22" t="str">
        <f t="shared" si="0"/>
        <v>segmented videos list</v>
      </c>
      <c r="M22" s="1"/>
      <c r="N22" s="1" t="s">
        <v>320</v>
      </c>
    </row>
    <row r="23" spans="1:14" ht="19" hidden="1">
      <c r="A23">
        <v>22</v>
      </c>
      <c r="B23" s="14" t="s">
        <v>320</v>
      </c>
      <c r="C23" t="s">
        <v>295</v>
      </c>
      <c r="E23" t="s">
        <v>391</v>
      </c>
      <c r="F23" t="s">
        <v>192</v>
      </c>
      <c r="G23" t="s">
        <v>2619</v>
      </c>
      <c r="H23" t="s">
        <v>192</v>
      </c>
      <c r="I23" t="s">
        <v>2781</v>
      </c>
      <c r="J23" t="s">
        <v>192</v>
      </c>
      <c r="K23" t="s">
        <v>2011</v>
      </c>
      <c r="L23" t="str">
        <f t="shared" si="0"/>
        <v>segmented videos list</v>
      </c>
      <c r="M23" s="1"/>
      <c r="N23" s="1" t="s">
        <v>338</v>
      </c>
    </row>
    <row r="24" spans="1:14" ht="19" hidden="1">
      <c r="A24">
        <v>23</v>
      </c>
      <c r="B24" s="14" t="s">
        <v>321</v>
      </c>
      <c r="C24" t="s">
        <v>296</v>
      </c>
      <c r="E24" t="s">
        <v>391</v>
      </c>
      <c r="F24" t="s">
        <v>192</v>
      </c>
      <c r="G24" t="s">
        <v>2603</v>
      </c>
      <c r="H24" t="s">
        <v>192</v>
      </c>
      <c r="I24" t="s">
        <v>2765</v>
      </c>
      <c r="J24" t="s">
        <v>192</v>
      </c>
      <c r="K24" t="s">
        <v>2021</v>
      </c>
      <c r="L24" t="str">
        <f t="shared" si="0"/>
        <v>segmented videos list</v>
      </c>
      <c r="M24" s="1"/>
      <c r="N24" s="1" t="s">
        <v>301</v>
      </c>
    </row>
    <row r="25" spans="1:14" ht="19" hidden="1">
      <c r="A25">
        <v>24</v>
      </c>
      <c r="B25" s="14" t="s">
        <v>322</v>
      </c>
      <c r="C25" t="s">
        <v>296</v>
      </c>
      <c r="E25" t="s">
        <v>391</v>
      </c>
      <c r="F25" t="s">
        <v>192</v>
      </c>
      <c r="G25" t="s">
        <v>2607</v>
      </c>
      <c r="H25" t="s">
        <v>192</v>
      </c>
      <c r="I25" t="s">
        <v>2769</v>
      </c>
      <c r="J25" t="s">
        <v>192</v>
      </c>
      <c r="K25" t="s">
        <v>2012</v>
      </c>
      <c r="L25" t="str">
        <f t="shared" si="0"/>
        <v>segmented videos list</v>
      </c>
      <c r="M25" s="1"/>
      <c r="N25" s="1" t="s">
        <v>321</v>
      </c>
    </row>
    <row r="26" spans="1:14" ht="19" hidden="1">
      <c r="A26">
        <v>25</v>
      </c>
      <c r="B26" s="14" t="s">
        <v>323</v>
      </c>
      <c r="C26" t="s">
        <v>296</v>
      </c>
      <c r="E26" t="s">
        <v>391</v>
      </c>
      <c r="F26" t="s">
        <v>192</v>
      </c>
      <c r="G26" t="s">
        <v>2597</v>
      </c>
      <c r="H26" t="s">
        <v>192</v>
      </c>
      <c r="I26" t="s">
        <v>2759</v>
      </c>
      <c r="J26" t="s">
        <v>192</v>
      </c>
      <c r="K26" t="s">
        <v>1990</v>
      </c>
      <c r="L26" t="str">
        <f t="shared" si="0"/>
        <v>segmented videos list</v>
      </c>
      <c r="M26" s="1"/>
      <c r="N26" s="1" t="s">
        <v>339</v>
      </c>
    </row>
    <row r="27" spans="1:14" ht="19" hidden="1">
      <c r="A27">
        <v>26</v>
      </c>
      <c r="B27" s="14" t="s">
        <v>324</v>
      </c>
      <c r="C27" t="s">
        <v>296</v>
      </c>
      <c r="E27" t="s">
        <v>391</v>
      </c>
      <c r="F27" t="s">
        <v>192</v>
      </c>
      <c r="G27" t="s">
        <v>2614</v>
      </c>
      <c r="H27" t="s">
        <v>192</v>
      </c>
      <c r="I27" t="s">
        <v>2776</v>
      </c>
      <c r="J27" t="s">
        <v>192</v>
      </c>
      <c r="K27" t="s">
        <v>1997</v>
      </c>
      <c r="L27" t="str">
        <f t="shared" si="0"/>
        <v>segmented videos list</v>
      </c>
      <c r="M27" s="1"/>
      <c r="N27" s="1" t="s">
        <v>302</v>
      </c>
    </row>
    <row r="28" spans="1:14" ht="19" hidden="1">
      <c r="A28">
        <v>27</v>
      </c>
      <c r="B28" s="14" t="s">
        <v>325</v>
      </c>
      <c r="C28" t="s">
        <v>296</v>
      </c>
      <c r="E28" t="s">
        <v>391</v>
      </c>
      <c r="F28" t="s">
        <v>192</v>
      </c>
      <c r="G28" t="s">
        <v>2594</v>
      </c>
      <c r="H28" t="s">
        <v>192</v>
      </c>
      <c r="I28" t="s">
        <v>2756</v>
      </c>
      <c r="J28" t="s">
        <v>192</v>
      </c>
      <c r="K28" t="s">
        <v>2013</v>
      </c>
      <c r="L28" t="str">
        <f t="shared" si="0"/>
        <v>segmented videos list</v>
      </c>
      <c r="M28" s="1"/>
      <c r="N28" s="1" t="s">
        <v>322</v>
      </c>
    </row>
    <row r="29" spans="1:14" ht="19" hidden="1">
      <c r="A29">
        <v>28</v>
      </c>
      <c r="B29" s="14" t="s">
        <v>326</v>
      </c>
      <c r="C29" t="s">
        <v>296</v>
      </c>
      <c r="E29" t="s">
        <v>391</v>
      </c>
      <c r="F29" t="s">
        <v>192</v>
      </c>
      <c r="G29" t="s">
        <v>2609</v>
      </c>
      <c r="H29" t="s">
        <v>192</v>
      </c>
      <c r="I29" t="s">
        <v>2771</v>
      </c>
      <c r="J29" t="s">
        <v>192</v>
      </c>
      <c r="K29" t="s">
        <v>2006</v>
      </c>
      <c r="L29" t="str">
        <f t="shared" si="0"/>
        <v>segmented videos list</v>
      </c>
      <c r="M29" s="1"/>
      <c r="N29" s="1" t="s">
        <v>340</v>
      </c>
    </row>
    <row r="30" spans="1:14" ht="19">
      <c r="A30">
        <v>29</v>
      </c>
      <c r="B30" s="14" t="s">
        <v>327</v>
      </c>
      <c r="C30" t="s">
        <v>271</v>
      </c>
      <c r="E30" t="s">
        <v>390</v>
      </c>
      <c r="F30" t="s">
        <v>192</v>
      </c>
      <c r="G30" t="s">
        <v>2623</v>
      </c>
      <c r="H30" t="s">
        <v>192</v>
      </c>
      <c r="I30" t="s">
        <v>2785</v>
      </c>
      <c r="J30" t="s">
        <v>192</v>
      </c>
      <c r="K30" t="s">
        <v>1991</v>
      </c>
      <c r="L30" t="str">
        <f t="shared" si="0"/>
        <v>segmented videos list</v>
      </c>
      <c r="M30" s="1"/>
      <c r="N30" s="1" t="s">
        <v>304</v>
      </c>
    </row>
    <row r="31" spans="1:14" ht="19">
      <c r="A31">
        <v>30</v>
      </c>
      <c r="B31" s="14" t="s">
        <v>328</v>
      </c>
      <c r="C31" t="s">
        <v>270</v>
      </c>
      <c r="E31" t="s">
        <v>390</v>
      </c>
      <c r="F31" t="s">
        <v>192</v>
      </c>
      <c r="G31" t="s">
        <v>2613</v>
      </c>
      <c r="H31" t="s">
        <v>192</v>
      </c>
      <c r="I31" t="s">
        <v>2775</v>
      </c>
      <c r="J31" t="s">
        <v>192</v>
      </c>
      <c r="K31" t="s">
        <v>2007</v>
      </c>
      <c r="L31" t="str">
        <f t="shared" si="0"/>
        <v>segmented videos list</v>
      </c>
      <c r="M31" s="1"/>
      <c r="N31" s="1" t="s">
        <v>323</v>
      </c>
    </row>
    <row r="32" spans="1:14" ht="19">
      <c r="A32">
        <v>31</v>
      </c>
      <c r="B32" s="14" t="s">
        <v>329</v>
      </c>
      <c r="C32" t="s">
        <v>269</v>
      </c>
      <c r="E32" t="s">
        <v>390</v>
      </c>
      <c r="F32" t="s">
        <v>192</v>
      </c>
      <c r="G32" t="s">
        <v>2593</v>
      </c>
      <c r="H32" t="s">
        <v>201</v>
      </c>
      <c r="I32" t="s">
        <v>2755</v>
      </c>
      <c r="J32" t="s">
        <v>201</v>
      </c>
      <c r="K32" t="s">
        <v>2014</v>
      </c>
      <c r="L32" t="str">
        <f t="shared" si="0"/>
        <v>segmented videos list</v>
      </c>
      <c r="M32" s="1"/>
      <c r="N32" s="1" t="s">
        <v>341</v>
      </c>
    </row>
    <row r="33" spans="1:14" ht="19">
      <c r="A33">
        <v>32</v>
      </c>
      <c r="B33" s="14" t="s">
        <v>330</v>
      </c>
      <c r="C33" t="s">
        <v>269</v>
      </c>
      <c r="E33" t="s">
        <v>390</v>
      </c>
      <c r="F33" t="s">
        <v>192</v>
      </c>
      <c r="G33" t="s">
        <v>2600</v>
      </c>
      <c r="H33" t="s">
        <v>192</v>
      </c>
      <c r="I33" t="s">
        <v>2762</v>
      </c>
      <c r="J33" t="s">
        <v>192</v>
      </c>
      <c r="K33" t="s">
        <v>1988</v>
      </c>
      <c r="L33" t="str">
        <f t="shared" si="0"/>
        <v>segmented videos list</v>
      </c>
      <c r="M33" s="1"/>
      <c r="N33" s="1" t="s">
        <v>305</v>
      </c>
    </row>
    <row r="34" spans="1:14" ht="19">
      <c r="A34">
        <v>33</v>
      </c>
      <c r="B34" s="14" t="s">
        <v>331</v>
      </c>
      <c r="C34" t="s">
        <v>271</v>
      </c>
      <c r="E34" t="s">
        <v>390</v>
      </c>
      <c r="F34" t="s">
        <v>201</v>
      </c>
      <c r="G34" t="s">
        <v>2622</v>
      </c>
      <c r="H34" t="s">
        <v>201</v>
      </c>
      <c r="I34" t="s">
        <v>2784</v>
      </c>
      <c r="J34" t="s">
        <v>201</v>
      </c>
      <c r="K34" t="s">
        <v>2004</v>
      </c>
      <c r="L34" t="str">
        <f t="shared" si="0"/>
        <v>segmented videos list</v>
      </c>
      <c r="M34" s="1"/>
      <c r="N34" s="1" t="s">
        <v>324</v>
      </c>
    </row>
    <row r="35" spans="1:14" ht="19" hidden="1">
      <c r="A35">
        <v>34</v>
      </c>
      <c r="B35" s="14" t="s">
        <v>332</v>
      </c>
      <c r="C35" t="s">
        <v>295</v>
      </c>
      <c r="E35" t="s">
        <v>391</v>
      </c>
      <c r="F35" t="s">
        <v>192</v>
      </c>
      <c r="G35" t="s">
        <v>2628</v>
      </c>
      <c r="H35" t="s">
        <v>192</v>
      </c>
      <c r="I35" t="s">
        <v>2790</v>
      </c>
      <c r="J35" t="s">
        <v>192</v>
      </c>
      <c r="K35" t="s">
        <v>1994</v>
      </c>
      <c r="L35" t="str">
        <f t="shared" si="0"/>
        <v>segmented videos list</v>
      </c>
      <c r="M35" s="1"/>
      <c r="N35" s="1" t="s">
        <v>342</v>
      </c>
    </row>
    <row r="36" spans="1:14" ht="19">
      <c r="A36">
        <v>35</v>
      </c>
      <c r="B36" s="14" t="s">
        <v>333</v>
      </c>
      <c r="C36" t="s">
        <v>269</v>
      </c>
      <c r="E36" t="s">
        <v>390</v>
      </c>
      <c r="F36" t="s">
        <v>192</v>
      </c>
      <c r="G36" t="s">
        <v>2608</v>
      </c>
      <c r="H36" t="s">
        <v>192</v>
      </c>
      <c r="I36" t="s">
        <v>2770</v>
      </c>
      <c r="J36" t="s">
        <v>192</v>
      </c>
      <c r="K36" t="s">
        <v>1985</v>
      </c>
      <c r="L36" t="str">
        <f t="shared" si="0"/>
        <v>segmented videos list</v>
      </c>
      <c r="M36" s="1"/>
      <c r="N36" s="1" t="s">
        <v>308</v>
      </c>
    </row>
    <row r="37" spans="1:14" ht="19" hidden="1">
      <c r="A37">
        <v>36</v>
      </c>
      <c r="B37" s="14" t="s">
        <v>334</v>
      </c>
      <c r="C37" t="s">
        <v>296</v>
      </c>
      <c r="E37" t="s">
        <v>391</v>
      </c>
      <c r="F37" t="s">
        <v>1717</v>
      </c>
      <c r="G37" t="e">
        <v>#N/A</v>
      </c>
      <c r="H37" t="s">
        <v>1717</v>
      </c>
      <c r="I37" t="e">
        <v>#N/A</v>
      </c>
      <c r="J37" t="s">
        <v>1717</v>
      </c>
      <c r="K37" t="e">
        <v>#N/A</v>
      </c>
      <c r="L37" t="str">
        <f t="shared" si="0"/>
        <v>no</v>
      </c>
      <c r="M37" s="1"/>
      <c r="N37" s="1" t="s">
        <v>325</v>
      </c>
    </row>
    <row r="38" spans="1:14" ht="19" hidden="1">
      <c r="A38">
        <v>37</v>
      </c>
      <c r="B38" s="14" t="s">
        <v>335</v>
      </c>
      <c r="C38" t="s">
        <v>355</v>
      </c>
      <c r="E38" t="s">
        <v>391</v>
      </c>
      <c r="F38" t="s">
        <v>1717</v>
      </c>
      <c r="G38" t="e">
        <v>#N/A</v>
      </c>
      <c r="H38" t="s">
        <v>1717</v>
      </c>
      <c r="I38" t="e">
        <v>#N/A</v>
      </c>
      <c r="J38" t="s">
        <v>1717</v>
      </c>
      <c r="K38" t="e">
        <v>#N/A</v>
      </c>
      <c r="L38" t="str">
        <f t="shared" si="0"/>
        <v>no</v>
      </c>
      <c r="M38" s="1"/>
      <c r="N38" s="1" t="s">
        <v>343</v>
      </c>
    </row>
    <row r="39" spans="1:14" ht="19" hidden="1">
      <c r="A39">
        <v>38</v>
      </c>
      <c r="B39" s="14" t="s">
        <v>336</v>
      </c>
      <c r="C39" t="s">
        <v>268</v>
      </c>
      <c r="E39" t="s">
        <v>390</v>
      </c>
      <c r="F39" t="s">
        <v>1717</v>
      </c>
      <c r="G39" t="e">
        <v>#N/A</v>
      </c>
      <c r="H39" t="s">
        <v>1717</v>
      </c>
      <c r="I39" t="e">
        <v>#N/A</v>
      </c>
      <c r="J39" t="s">
        <v>1717</v>
      </c>
      <c r="K39" t="e">
        <v>#N/A</v>
      </c>
      <c r="L39" t="str">
        <f t="shared" si="0"/>
        <v>no</v>
      </c>
      <c r="M39" s="1"/>
      <c r="N39" s="1" t="s">
        <v>309</v>
      </c>
    </row>
    <row r="40" spans="1:14" ht="19" hidden="1">
      <c r="A40">
        <v>39</v>
      </c>
      <c r="B40" s="14" t="s">
        <v>337</v>
      </c>
      <c r="C40" t="s">
        <v>296</v>
      </c>
      <c r="E40" t="s">
        <v>391</v>
      </c>
      <c r="F40" t="s">
        <v>1717</v>
      </c>
      <c r="G40" t="e">
        <v>#N/A</v>
      </c>
      <c r="H40" t="s">
        <v>1717</v>
      </c>
      <c r="I40" t="e">
        <v>#N/A</v>
      </c>
      <c r="J40" t="s">
        <v>1717</v>
      </c>
      <c r="K40" t="e">
        <v>#N/A</v>
      </c>
      <c r="L40" t="str">
        <f t="shared" si="0"/>
        <v>no</v>
      </c>
      <c r="M40" s="1"/>
      <c r="N40" s="1" t="s">
        <v>326</v>
      </c>
    </row>
    <row r="41" spans="1:14" ht="19" hidden="1">
      <c r="A41">
        <v>40</v>
      </c>
      <c r="B41" s="14" t="s">
        <v>338</v>
      </c>
      <c r="C41" t="s">
        <v>296</v>
      </c>
      <c r="E41" t="s">
        <v>391</v>
      </c>
      <c r="F41" t="s">
        <v>192</v>
      </c>
      <c r="G41" t="s">
        <v>2611</v>
      </c>
      <c r="H41" t="s">
        <v>192</v>
      </c>
      <c r="I41" t="s">
        <v>2773</v>
      </c>
      <c r="J41" t="s">
        <v>192</v>
      </c>
      <c r="K41" t="s">
        <v>1982</v>
      </c>
      <c r="L41" t="str">
        <f t="shared" si="0"/>
        <v>segmented videos list</v>
      </c>
      <c r="M41" s="1"/>
      <c r="N41" s="1" t="s">
        <v>347</v>
      </c>
    </row>
    <row r="42" spans="1:14" ht="19">
      <c r="A42">
        <v>41</v>
      </c>
      <c r="B42" s="14" t="s">
        <v>339</v>
      </c>
      <c r="C42" t="s">
        <v>271</v>
      </c>
      <c r="E42" t="s">
        <v>390</v>
      </c>
      <c r="F42" t="s">
        <v>201</v>
      </c>
      <c r="G42" t="s">
        <v>2602</v>
      </c>
      <c r="H42" t="s">
        <v>201</v>
      </c>
      <c r="I42" t="s">
        <v>2764</v>
      </c>
      <c r="J42" t="s">
        <v>201</v>
      </c>
      <c r="K42" t="s">
        <v>2000</v>
      </c>
      <c r="L42" t="str">
        <f t="shared" si="0"/>
        <v>segmented videos list</v>
      </c>
      <c r="M42" s="1"/>
      <c r="N42" s="1" t="s">
        <v>310</v>
      </c>
    </row>
    <row r="43" spans="1:14" ht="19" hidden="1">
      <c r="A43">
        <v>42</v>
      </c>
      <c r="B43" s="14" t="s">
        <v>340</v>
      </c>
      <c r="C43" t="s">
        <v>296</v>
      </c>
      <c r="E43" t="s">
        <v>391</v>
      </c>
      <c r="F43" t="s">
        <v>192</v>
      </c>
      <c r="G43" t="s">
        <v>2601</v>
      </c>
      <c r="H43" t="s">
        <v>192</v>
      </c>
      <c r="I43" t="s">
        <v>2763</v>
      </c>
      <c r="J43" t="s">
        <v>192</v>
      </c>
      <c r="K43" t="s">
        <v>1983</v>
      </c>
      <c r="L43" t="str">
        <f t="shared" si="0"/>
        <v>segmented videos list</v>
      </c>
      <c r="M43" s="1"/>
      <c r="N43" s="1"/>
    </row>
    <row r="44" spans="1:14" ht="19" hidden="1">
      <c r="A44">
        <v>43</v>
      </c>
      <c r="B44" s="14" t="s">
        <v>341</v>
      </c>
      <c r="C44" t="s">
        <v>295</v>
      </c>
      <c r="E44" t="s">
        <v>391</v>
      </c>
      <c r="F44" t="s">
        <v>192</v>
      </c>
      <c r="G44" t="s">
        <v>2621</v>
      </c>
      <c r="H44" t="s">
        <v>192</v>
      </c>
      <c r="I44" t="s">
        <v>2783</v>
      </c>
      <c r="J44" t="s">
        <v>192</v>
      </c>
      <c r="K44" t="s">
        <v>2015</v>
      </c>
      <c r="L44" t="str">
        <f t="shared" si="0"/>
        <v>segmented videos list</v>
      </c>
      <c r="M44" s="1"/>
      <c r="N44" s="1"/>
    </row>
    <row r="45" spans="1:14" ht="19">
      <c r="A45">
        <v>44</v>
      </c>
      <c r="B45" s="14" t="s">
        <v>342</v>
      </c>
      <c r="C45" t="s">
        <v>269</v>
      </c>
      <c r="E45" t="s">
        <v>390</v>
      </c>
      <c r="F45" t="s">
        <v>192</v>
      </c>
      <c r="G45" t="s">
        <v>2627</v>
      </c>
      <c r="H45" t="s">
        <v>192</v>
      </c>
      <c r="I45" t="s">
        <v>2789</v>
      </c>
      <c r="J45" s="5" t="s">
        <v>192</v>
      </c>
      <c r="K45" s="5" t="s">
        <v>1995</v>
      </c>
      <c r="L45" t="str">
        <f t="shared" si="0"/>
        <v>segmented videos list</v>
      </c>
      <c r="M45" s="1"/>
      <c r="N45" s="1"/>
    </row>
    <row r="46" spans="1:14" ht="19" hidden="1">
      <c r="A46">
        <v>45</v>
      </c>
      <c r="B46" s="14" t="s">
        <v>343</v>
      </c>
      <c r="C46" t="s">
        <v>296</v>
      </c>
      <c r="E46" t="s">
        <v>391</v>
      </c>
      <c r="F46" t="s">
        <v>192</v>
      </c>
      <c r="G46" t="s">
        <v>2631</v>
      </c>
      <c r="H46" t="s">
        <v>192</v>
      </c>
      <c r="I46" t="s">
        <v>2793</v>
      </c>
      <c r="J46" t="s">
        <v>192</v>
      </c>
      <c r="K46" t="s">
        <v>2001</v>
      </c>
      <c r="L46" t="str">
        <f t="shared" si="0"/>
        <v>segmented videos list</v>
      </c>
      <c r="M46" s="1"/>
      <c r="N46" s="1"/>
    </row>
    <row r="47" spans="1:14" ht="19" hidden="1">
      <c r="A47">
        <v>46</v>
      </c>
      <c r="B47" s="14" t="s">
        <v>344</v>
      </c>
      <c r="C47" t="s">
        <v>295</v>
      </c>
      <c r="E47" t="s">
        <v>391</v>
      </c>
      <c r="F47" t="s">
        <v>1717</v>
      </c>
      <c r="G47" t="e">
        <v>#N/A</v>
      </c>
      <c r="H47" t="s">
        <v>1717</v>
      </c>
      <c r="I47" t="e">
        <v>#N/A</v>
      </c>
      <c r="J47" t="s">
        <v>1717</v>
      </c>
      <c r="K47" t="e">
        <v>#N/A</v>
      </c>
      <c r="L47" t="str">
        <f t="shared" si="0"/>
        <v>no</v>
      </c>
      <c r="M47" s="1"/>
      <c r="N47" s="1"/>
    </row>
    <row r="48" spans="1:14" ht="19" hidden="1">
      <c r="A48">
        <v>47</v>
      </c>
      <c r="B48" s="14" t="s">
        <v>345</v>
      </c>
      <c r="C48" t="s">
        <v>296</v>
      </c>
      <c r="E48" t="s">
        <v>391</v>
      </c>
      <c r="F48" t="s">
        <v>1717</v>
      </c>
      <c r="G48" t="e">
        <v>#N/A</v>
      </c>
      <c r="H48" t="s">
        <v>1717</v>
      </c>
      <c r="I48" t="e">
        <v>#N/A</v>
      </c>
      <c r="J48" t="s">
        <v>1717</v>
      </c>
      <c r="K48" t="e">
        <v>#N/A</v>
      </c>
      <c r="L48" t="str">
        <f t="shared" si="0"/>
        <v>no</v>
      </c>
      <c r="M48" s="1"/>
      <c r="N48" s="1"/>
    </row>
    <row r="49" spans="1:14" ht="19" hidden="1">
      <c r="A49">
        <v>48</v>
      </c>
      <c r="B49" s="14" t="s">
        <v>346</v>
      </c>
      <c r="C49" t="s">
        <v>296</v>
      </c>
      <c r="E49" t="s">
        <v>391</v>
      </c>
      <c r="F49" t="s">
        <v>1717</v>
      </c>
      <c r="G49" t="e">
        <v>#N/A</v>
      </c>
      <c r="H49" t="s">
        <v>1717</v>
      </c>
      <c r="I49" t="e">
        <v>#N/A</v>
      </c>
      <c r="J49" t="s">
        <v>1717</v>
      </c>
      <c r="K49" t="e">
        <v>#N/A</v>
      </c>
      <c r="L49" t="str">
        <f t="shared" si="0"/>
        <v>no</v>
      </c>
      <c r="M49" s="1"/>
      <c r="N49" s="1"/>
    </row>
    <row r="50" spans="1:14" ht="19" hidden="1">
      <c r="A50">
        <v>49</v>
      </c>
      <c r="B50" s="14" t="s">
        <v>347</v>
      </c>
      <c r="C50" t="s">
        <v>295</v>
      </c>
      <c r="E50" t="s">
        <v>391</v>
      </c>
      <c r="F50" t="s">
        <v>192</v>
      </c>
      <c r="G50" t="s">
        <v>2596</v>
      </c>
      <c r="H50" t="s">
        <v>192</v>
      </c>
      <c r="I50" t="s">
        <v>2758</v>
      </c>
      <c r="J50" t="s">
        <v>192</v>
      </c>
      <c r="K50" t="s">
        <v>2005</v>
      </c>
      <c r="L50" t="str">
        <f t="shared" si="0"/>
        <v>segmented videos list</v>
      </c>
      <c r="M50" s="1"/>
      <c r="N50" s="1"/>
    </row>
    <row r="51" spans="1:14" ht="19">
      <c r="A51">
        <v>50</v>
      </c>
      <c r="B51" s="14" t="s">
        <v>348</v>
      </c>
      <c r="C51" t="s">
        <v>268</v>
      </c>
      <c r="E51" t="s">
        <v>390</v>
      </c>
      <c r="F51" t="s">
        <v>201</v>
      </c>
      <c r="G51" t="s">
        <v>2630</v>
      </c>
      <c r="H51" t="s">
        <v>201</v>
      </c>
      <c r="I51" t="s">
        <v>2792</v>
      </c>
      <c r="J51" t="s">
        <v>201</v>
      </c>
      <c r="K51" t="s">
        <v>1999</v>
      </c>
      <c r="L51" t="str">
        <f t="shared" si="0"/>
        <v>segmented videos list</v>
      </c>
      <c r="M51" s="1"/>
      <c r="N51" s="1"/>
    </row>
    <row r="52" spans="1:14" ht="19">
      <c r="A52">
        <v>51</v>
      </c>
      <c r="B52" s="14" t="s">
        <v>349</v>
      </c>
      <c r="C52" t="s">
        <v>271</v>
      </c>
      <c r="E52" t="s">
        <v>390</v>
      </c>
      <c r="F52" t="s">
        <v>201</v>
      </c>
      <c r="G52" t="s">
        <v>2625</v>
      </c>
      <c r="H52" t="s">
        <v>201</v>
      </c>
      <c r="I52" t="s">
        <v>2787</v>
      </c>
      <c r="J52" t="s">
        <v>201</v>
      </c>
      <c r="K52" t="s">
        <v>1992</v>
      </c>
      <c r="L52" t="str">
        <f t="shared" si="0"/>
        <v>segmented videos list</v>
      </c>
      <c r="M52" s="1"/>
      <c r="N52" s="1"/>
    </row>
    <row r="53" spans="1:14" ht="19">
      <c r="A53">
        <v>52</v>
      </c>
      <c r="B53" s="14" t="s">
        <v>350</v>
      </c>
      <c r="C53" t="s">
        <v>271</v>
      </c>
      <c r="E53" t="s">
        <v>390</v>
      </c>
      <c r="F53" t="s">
        <v>201</v>
      </c>
      <c r="G53" t="s">
        <v>2595</v>
      </c>
      <c r="H53" t="s">
        <v>201</v>
      </c>
      <c r="I53" t="s">
        <v>2757</v>
      </c>
      <c r="J53" t="s">
        <v>201</v>
      </c>
      <c r="K53" t="s">
        <v>1989</v>
      </c>
      <c r="L53" t="str">
        <f t="shared" si="0"/>
        <v>segmented videos list</v>
      </c>
      <c r="M53" s="1"/>
      <c r="N53" s="1"/>
    </row>
    <row r="54" spans="1:14" ht="19">
      <c r="A54">
        <v>53</v>
      </c>
      <c r="B54" s="14" t="s">
        <v>351</v>
      </c>
      <c r="E54" t="s">
        <v>390</v>
      </c>
      <c r="F54" t="s">
        <v>192</v>
      </c>
      <c r="G54" t="s">
        <v>2617</v>
      </c>
      <c r="H54" t="s">
        <v>192</v>
      </c>
      <c r="I54" t="s">
        <v>2779</v>
      </c>
      <c r="J54" t="s">
        <v>192</v>
      </c>
      <c r="K54" t="s">
        <v>2018</v>
      </c>
      <c r="L54" t="str">
        <f t="shared" si="0"/>
        <v>segmented videos list</v>
      </c>
      <c r="M54" s="1"/>
      <c r="N54" s="1"/>
    </row>
    <row r="55" spans="1:14" ht="19">
      <c r="A55">
        <v>54</v>
      </c>
      <c r="B55" s="14" t="s">
        <v>352</v>
      </c>
      <c r="E55" t="s">
        <v>390</v>
      </c>
      <c r="F55" t="s">
        <v>201</v>
      </c>
      <c r="G55" t="s">
        <v>2633</v>
      </c>
      <c r="H55" t="s">
        <v>201</v>
      </c>
      <c r="I55" t="s">
        <v>2795</v>
      </c>
      <c r="J55" t="s">
        <v>201</v>
      </c>
      <c r="K55" t="s">
        <v>2022</v>
      </c>
      <c r="L55" t="str">
        <f t="shared" si="0"/>
        <v>segmented videos list</v>
      </c>
      <c r="M55" s="1"/>
      <c r="N55" s="1"/>
    </row>
    <row r="56" spans="1:14" ht="19" hidden="1">
      <c r="A56">
        <v>55</v>
      </c>
      <c r="B56" s="14" t="s">
        <v>353</v>
      </c>
      <c r="E56" t="s">
        <v>390</v>
      </c>
      <c r="F56" t="s">
        <v>1717</v>
      </c>
      <c r="G56" t="e">
        <v>#N/A</v>
      </c>
      <c r="H56" t="s">
        <v>1717</v>
      </c>
      <c r="I56" t="e">
        <v>#N/A</v>
      </c>
      <c r="J56" t="s">
        <v>1717</v>
      </c>
      <c r="K56" t="e">
        <v>#N/A</v>
      </c>
      <c r="L56" t="str">
        <f t="shared" si="0"/>
        <v>no</v>
      </c>
      <c r="M56" s="1"/>
      <c r="N56" s="1"/>
    </row>
    <row r="57" spans="1:14" ht="19" hidden="1">
      <c r="F57" t="s">
        <v>1717</v>
      </c>
      <c r="G57" t="e">
        <v>#N/A</v>
      </c>
      <c r="H57" t="s">
        <v>1717</v>
      </c>
      <c r="I57" t="e">
        <v>#N/A</v>
      </c>
      <c r="L57" t="str">
        <f t="shared" si="0"/>
        <v>no</v>
      </c>
      <c r="M57" s="1"/>
      <c r="N57" s="1"/>
    </row>
    <row r="58" spans="1:14" ht="19" hidden="1">
      <c r="F58" t="s">
        <v>1717</v>
      </c>
      <c r="G58" t="e">
        <v>#N/A</v>
      </c>
      <c r="H58" t="s">
        <v>1717</v>
      </c>
      <c r="I58" t="e">
        <v>#N/A</v>
      </c>
      <c r="L58" t="str">
        <f t="shared" si="0"/>
        <v>no</v>
      </c>
      <c r="M58" s="1"/>
      <c r="N58" s="1"/>
    </row>
    <row r="59" spans="1:14" ht="19" hidden="1">
      <c r="F59" t="s">
        <v>1717</v>
      </c>
      <c r="G59" t="e">
        <v>#N/A</v>
      </c>
      <c r="H59" t="s">
        <v>1717</v>
      </c>
      <c r="I59" t="e">
        <v>#N/A</v>
      </c>
      <c r="L59" t="str">
        <f t="shared" si="0"/>
        <v>no</v>
      </c>
      <c r="M59" s="1"/>
      <c r="N59" s="1"/>
    </row>
    <row r="60" spans="1:14" ht="19" hidden="1">
      <c r="F60" t="s">
        <v>1717</v>
      </c>
      <c r="G60" t="e">
        <v>#N/A</v>
      </c>
      <c r="H60" t="s">
        <v>1717</v>
      </c>
      <c r="I60" t="e">
        <v>#N/A</v>
      </c>
      <c r="L60" t="str">
        <f t="shared" si="0"/>
        <v>no</v>
      </c>
      <c r="M60" s="1"/>
      <c r="N60" s="1"/>
    </row>
    <row r="61" spans="1:14" ht="19" hidden="1">
      <c r="F61" t="s">
        <v>1717</v>
      </c>
      <c r="G61" t="e">
        <v>#N/A</v>
      </c>
      <c r="H61" t="s">
        <v>1717</v>
      </c>
      <c r="I61" t="e">
        <v>#N/A</v>
      </c>
      <c r="L61" t="str">
        <f t="shared" si="0"/>
        <v>no</v>
      </c>
      <c r="M61" s="1"/>
      <c r="N61" s="1"/>
    </row>
    <row r="62" spans="1:14" ht="19" hidden="1">
      <c r="F62" t="s">
        <v>1717</v>
      </c>
      <c r="G62" t="e">
        <v>#N/A</v>
      </c>
      <c r="H62" t="s">
        <v>1717</v>
      </c>
      <c r="I62" t="e">
        <v>#N/A</v>
      </c>
      <c r="L62" t="str">
        <f t="shared" si="0"/>
        <v>no</v>
      </c>
      <c r="M62" s="1"/>
      <c r="N62" s="1"/>
    </row>
    <row r="63" spans="1:14" ht="19" hidden="1">
      <c r="F63" t="s">
        <v>1717</v>
      </c>
      <c r="G63" t="e">
        <v>#N/A</v>
      </c>
      <c r="H63" t="s">
        <v>1717</v>
      </c>
      <c r="I63" t="e">
        <v>#N/A</v>
      </c>
      <c r="L63" t="str">
        <f t="shared" si="0"/>
        <v>no</v>
      </c>
      <c r="M63" s="1"/>
      <c r="N63" s="1"/>
    </row>
    <row r="64" spans="1:14" ht="19" hidden="1">
      <c r="F64" t="s">
        <v>1717</v>
      </c>
      <c r="G64" t="e">
        <v>#N/A</v>
      </c>
      <c r="H64" t="s">
        <v>1717</v>
      </c>
      <c r="I64" t="e">
        <v>#N/A</v>
      </c>
      <c r="L64" t="str">
        <f t="shared" si="0"/>
        <v>no</v>
      </c>
      <c r="M64" s="1"/>
      <c r="N64" s="1"/>
    </row>
    <row r="65" spans="6:14" ht="19" hidden="1">
      <c r="F65" t="s">
        <v>1717</v>
      </c>
      <c r="G65" t="e">
        <v>#N/A</v>
      </c>
      <c r="H65" t="s">
        <v>1717</v>
      </c>
      <c r="I65" t="e">
        <v>#N/A</v>
      </c>
      <c r="L65" t="str">
        <f t="shared" si="0"/>
        <v>no</v>
      </c>
      <c r="M65" s="1"/>
      <c r="N65" s="1"/>
    </row>
    <row r="66" spans="6:14" ht="19" hidden="1">
      <c r="F66" t="s">
        <v>1717</v>
      </c>
      <c r="G66" t="e">
        <v>#N/A</v>
      </c>
      <c r="H66" t="s">
        <v>1717</v>
      </c>
      <c r="I66" t="e">
        <v>#N/A</v>
      </c>
      <c r="L66" t="str">
        <f t="shared" si="0"/>
        <v>no</v>
      </c>
      <c r="M66" s="1"/>
      <c r="N66" s="1"/>
    </row>
    <row r="67" spans="6:14" ht="19" hidden="1">
      <c r="F67" t="s">
        <v>1717</v>
      </c>
      <c r="G67" t="e">
        <v>#N/A</v>
      </c>
      <c r="H67" t="s">
        <v>1717</v>
      </c>
      <c r="I67" t="e">
        <v>#N/A</v>
      </c>
      <c r="L67" t="str">
        <f t="shared" ref="L67:L130" si="1">IF(COUNTIF(M:M, B67)&gt;0,$M$1,IF(COUNTIF(N:N, B67)&gt;0,$N$1,"no"))</f>
        <v>no</v>
      </c>
      <c r="M67" s="1"/>
      <c r="N67" s="1"/>
    </row>
    <row r="68" spans="6:14" ht="19" hidden="1">
      <c r="F68" t="s">
        <v>1717</v>
      </c>
      <c r="G68" t="e">
        <v>#N/A</v>
      </c>
      <c r="H68" t="s">
        <v>1717</v>
      </c>
      <c r="I68" t="e">
        <v>#N/A</v>
      </c>
      <c r="L68" t="str">
        <f t="shared" si="1"/>
        <v>no</v>
      </c>
      <c r="M68" s="1"/>
      <c r="N68" s="1"/>
    </row>
    <row r="69" spans="6:14" ht="19" hidden="1">
      <c r="F69" t="s">
        <v>1717</v>
      </c>
      <c r="G69" t="e">
        <v>#N/A</v>
      </c>
      <c r="H69" t="s">
        <v>1717</v>
      </c>
      <c r="I69" t="e">
        <v>#N/A</v>
      </c>
      <c r="L69" t="str">
        <f t="shared" si="1"/>
        <v>no</v>
      </c>
      <c r="M69" s="1"/>
      <c r="N69" s="1"/>
    </row>
    <row r="70" spans="6:14" ht="19" hidden="1">
      <c r="F70" t="s">
        <v>1717</v>
      </c>
      <c r="G70" t="e">
        <v>#N/A</v>
      </c>
      <c r="H70" t="s">
        <v>1717</v>
      </c>
      <c r="I70" t="e">
        <v>#N/A</v>
      </c>
      <c r="L70" t="str">
        <f t="shared" si="1"/>
        <v>no</v>
      </c>
      <c r="M70" s="1"/>
      <c r="N70" s="1"/>
    </row>
    <row r="71" spans="6:14" ht="19" hidden="1">
      <c r="F71" t="s">
        <v>1717</v>
      </c>
      <c r="G71" t="e">
        <v>#N/A</v>
      </c>
      <c r="H71" t="s">
        <v>1717</v>
      </c>
      <c r="I71" t="e">
        <v>#N/A</v>
      </c>
      <c r="L71" t="str">
        <f t="shared" si="1"/>
        <v>no</v>
      </c>
      <c r="M71" s="1"/>
      <c r="N71" s="1"/>
    </row>
    <row r="72" spans="6:14" ht="19" hidden="1">
      <c r="F72" t="s">
        <v>1717</v>
      </c>
      <c r="G72" t="e">
        <v>#N/A</v>
      </c>
      <c r="H72" t="s">
        <v>1717</v>
      </c>
      <c r="I72" t="e">
        <v>#N/A</v>
      </c>
      <c r="L72" t="str">
        <f t="shared" si="1"/>
        <v>no</v>
      </c>
      <c r="M72" s="1"/>
      <c r="N72" s="1"/>
    </row>
    <row r="73" spans="6:14" ht="19" hidden="1">
      <c r="F73" t="s">
        <v>1717</v>
      </c>
      <c r="G73" t="e">
        <v>#N/A</v>
      </c>
      <c r="H73" t="s">
        <v>1717</v>
      </c>
      <c r="I73" t="e">
        <v>#N/A</v>
      </c>
      <c r="L73" t="str">
        <f t="shared" si="1"/>
        <v>no</v>
      </c>
      <c r="M73" s="1"/>
      <c r="N73" s="1"/>
    </row>
    <row r="74" spans="6:14" ht="19" hidden="1">
      <c r="F74" t="s">
        <v>1717</v>
      </c>
      <c r="G74" t="e">
        <v>#N/A</v>
      </c>
      <c r="H74" t="s">
        <v>1717</v>
      </c>
      <c r="I74" t="e">
        <v>#N/A</v>
      </c>
      <c r="L74" t="str">
        <f t="shared" si="1"/>
        <v>no</v>
      </c>
      <c r="M74" s="1"/>
      <c r="N74" s="1"/>
    </row>
    <row r="75" spans="6:14" ht="19" hidden="1">
      <c r="F75" t="s">
        <v>1717</v>
      </c>
      <c r="G75" t="e">
        <v>#N/A</v>
      </c>
      <c r="H75" t="s">
        <v>1717</v>
      </c>
      <c r="I75" t="e">
        <v>#N/A</v>
      </c>
      <c r="L75" t="str">
        <f t="shared" si="1"/>
        <v>no</v>
      </c>
      <c r="M75" s="1"/>
      <c r="N75" s="1"/>
    </row>
    <row r="76" spans="6:14" ht="19" hidden="1">
      <c r="F76" t="s">
        <v>1717</v>
      </c>
      <c r="G76" t="e">
        <v>#N/A</v>
      </c>
      <c r="H76" t="s">
        <v>1717</v>
      </c>
      <c r="I76" t="e">
        <v>#N/A</v>
      </c>
      <c r="L76" t="str">
        <f t="shared" si="1"/>
        <v>no</v>
      </c>
      <c r="M76" s="1"/>
      <c r="N76" s="1"/>
    </row>
    <row r="77" spans="6:14" ht="19" hidden="1">
      <c r="F77" t="s">
        <v>1717</v>
      </c>
      <c r="G77" t="e">
        <v>#N/A</v>
      </c>
      <c r="H77" t="s">
        <v>1717</v>
      </c>
      <c r="I77" t="e">
        <v>#N/A</v>
      </c>
      <c r="L77" t="str">
        <f t="shared" si="1"/>
        <v>no</v>
      </c>
      <c r="M77" s="1"/>
      <c r="N77" s="1"/>
    </row>
    <row r="78" spans="6:14" ht="19" hidden="1">
      <c r="F78" t="s">
        <v>1717</v>
      </c>
      <c r="G78" t="e">
        <v>#N/A</v>
      </c>
      <c r="H78" t="s">
        <v>1717</v>
      </c>
      <c r="I78" t="e">
        <v>#N/A</v>
      </c>
      <c r="L78" t="str">
        <f t="shared" si="1"/>
        <v>no</v>
      </c>
      <c r="M78" s="1"/>
      <c r="N78" s="1"/>
    </row>
    <row r="79" spans="6:14" ht="19" hidden="1">
      <c r="F79" t="s">
        <v>1717</v>
      </c>
      <c r="G79" t="e">
        <v>#N/A</v>
      </c>
      <c r="H79" t="s">
        <v>1717</v>
      </c>
      <c r="I79" t="e">
        <v>#N/A</v>
      </c>
      <c r="L79" t="str">
        <f t="shared" si="1"/>
        <v>no</v>
      </c>
      <c r="M79" s="1"/>
      <c r="N79" s="1"/>
    </row>
    <row r="80" spans="6:14" ht="19" hidden="1">
      <c r="F80" t="s">
        <v>1717</v>
      </c>
      <c r="G80" t="e">
        <v>#N/A</v>
      </c>
      <c r="H80" t="s">
        <v>1717</v>
      </c>
      <c r="I80" t="e">
        <v>#N/A</v>
      </c>
      <c r="L80" t="str">
        <f t="shared" si="1"/>
        <v>no</v>
      </c>
      <c r="M80" s="1"/>
      <c r="N80" s="1"/>
    </row>
    <row r="81" spans="6:12" hidden="1">
      <c r="F81" t="s">
        <v>1717</v>
      </c>
      <c r="G81" t="e">
        <v>#N/A</v>
      </c>
      <c r="H81" t="s">
        <v>1717</v>
      </c>
      <c r="I81" t="e">
        <v>#N/A</v>
      </c>
      <c r="L81" t="str">
        <f t="shared" si="1"/>
        <v>no</v>
      </c>
    </row>
    <row r="82" spans="6:12" hidden="1">
      <c r="F82" t="s">
        <v>1717</v>
      </c>
      <c r="G82" t="e">
        <v>#N/A</v>
      </c>
      <c r="H82" t="s">
        <v>1717</v>
      </c>
      <c r="I82" t="e">
        <v>#N/A</v>
      </c>
      <c r="L82" t="str">
        <f t="shared" si="1"/>
        <v>no</v>
      </c>
    </row>
    <row r="83" spans="6:12" hidden="1">
      <c r="F83" t="s">
        <v>1717</v>
      </c>
      <c r="G83" t="e">
        <v>#N/A</v>
      </c>
      <c r="H83" t="s">
        <v>1717</v>
      </c>
      <c r="I83" t="e">
        <v>#N/A</v>
      </c>
      <c r="L83" t="str">
        <f t="shared" si="1"/>
        <v>no</v>
      </c>
    </row>
    <row r="84" spans="6:12" hidden="1">
      <c r="F84" t="s">
        <v>1717</v>
      </c>
      <c r="G84" t="e">
        <v>#N/A</v>
      </c>
      <c r="H84" t="s">
        <v>1717</v>
      </c>
      <c r="I84" t="e">
        <v>#N/A</v>
      </c>
      <c r="L84" t="str">
        <f t="shared" si="1"/>
        <v>no</v>
      </c>
    </row>
    <row r="85" spans="6:12" hidden="1">
      <c r="F85" t="s">
        <v>1717</v>
      </c>
      <c r="G85" t="e">
        <v>#N/A</v>
      </c>
      <c r="H85" t="s">
        <v>1717</v>
      </c>
      <c r="I85" t="e">
        <v>#N/A</v>
      </c>
      <c r="L85" t="str">
        <f t="shared" si="1"/>
        <v>no</v>
      </c>
    </row>
    <row r="86" spans="6:12" hidden="1">
      <c r="F86" t="s">
        <v>1717</v>
      </c>
      <c r="G86" t="e">
        <v>#N/A</v>
      </c>
      <c r="H86" t="s">
        <v>1717</v>
      </c>
      <c r="I86" t="e">
        <v>#N/A</v>
      </c>
      <c r="L86" t="str">
        <f t="shared" si="1"/>
        <v>no</v>
      </c>
    </row>
    <row r="87" spans="6:12" hidden="1">
      <c r="F87" t="s">
        <v>1717</v>
      </c>
      <c r="G87" t="e">
        <v>#N/A</v>
      </c>
      <c r="H87" t="s">
        <v>1717</v>
      </c>
      <c r="I87" t="e">
        <v>#N/A</v>
      </c>
      <c r="L87" t="str">
        <f t="shared" si="1"/>
        <v>no</v>
      </c>
    </row>
    <row r="88" spans="6:12" hidden="1">
      <c r="F88" t="s">
        <v>1717</v>
      </c>
      <c r="G88" t="e">
        <v>#N/A</v>
      </c>
      <c r="H88" t="s">
        <v>1717</v>
      </c>
      <c r="I88" t="e">
        <v>#N/A</v>
      </c>
      <c r="L88" t="str">
        <f t="shared" si="1"/>
        <v>no</v>
      </c>
    </row>
    <row r="89" spans="6:12" hidden="1">
      <c r="F89" t="s">
        <v>1717</v>
      </c>
      <c r="G89" t="e">
        <v>#N/A</v>
      </c>
      <c r="H89" t="s">
        <v>1717</v>
      </c>
      <c r="I89" t="e">
        <v>#N/A</v>
      </c>
      <c r="L89" t="str">
        <f t="shared" si="1"/>
        <v>no</v>
      </c>
    </row>
    <row r="90" spans="6:12" hidden="1">
      <c r="F90" t="s">
        <v>1717</v>
      </c>
      <c r="G90" t="e">
        <v>#N/A</v>
      </c>
      <c r="H90" t="s">
        <v>1717</v>
      </c>
      <c r="I90" t="e">
        <v>#N/A</v>
      </c>
      <c r="L90" t="str">
        <f t="shared" si="1"/>
        <v>no</v>
      </c>
    </row>
    <row r="91" spans="6:12" hidden="1">
      <c r="F91" t="s">
        <v>1717</v>
      </c>
      <c r="G91" t="e">
        <v>#N/A</v>
      </c>
      <c r="H91" t="s">
        <v>1717</v>
      </c>
      <c r="I91" t="e">
        <v>#N/A</v>
      </c>
      <c r="L91" t="str">
        <f t="shared" si="1"/>
        <v>no</v>
      </c>
    </row>
    <row r="92" spans="6:12" hidden="1">
      <c r="F92" t="s">
        <v>1717</v>
      </c>
      <c r="G92" t="e">
        <v>#N/A</v>
      </c>
      <c r="H92" t="s">
        <v>1717</v>
      </c>
      <c r="I92" t="e">
        <v>#N/A</v>
      </c>
      <c r="L92" t="str">
        <f t="shared" si="1"/>
        <v>no</v>
      </c>
    </row>
    <row r="93" spans="6:12" hidden="1">
      <c r="F93" t="s">
        <v>1717</v>
      </c>
      <c r="G93" t="e">
        <v>#N/A</v>
      </c>
      <c r="H93" t="s">
        <v>1717</v>
      </c>
      <c r="I93" t="e">
        <v>#N/A</v>
      </c>
      <c r="L93" t="str">
        <f t="shared" si="1"/>
        <v>no</v>
      </c>
    </row>
    <row r="94" spans="6:12" hidden="1">
      <c r="F94" t="s">
        <v>1717</v>
      </c>
      <c r="G94" t="e">
        <v>#N/A</v>
      </c>
      <c r="H94" t="s">
        <v>1717</v>
      </c>
      <c r="I94" t="e">
        <v>#N/A</v>
      </c>
      <c r="L94" t="str">
        <f t="shared" si="1"/>
        <v>no</v>
      </c>
    </row>
    <row r="95" spans="6:12" hidden="1">
      <c r="F95" t="s">
        <v>1717</v>
      </c>
      <c r="G95" t="e">
        <v>#N/A</v>
      </c>
      <c r="H95" t="s">
        <v>1717</v>
      </c>
      <c r="I95" t="e">
        <v>#N/A</v>
      </c>
      <c r="L95" t="str">
        <f t="shared" si="1"/>
        <v>no</v>
      </c>
    </row>
    <row r="96" spans="6:12" hidden="1">
      <c r="F96" t="s">
        <v>1717</v>
      </c>
      <c r="G96" t="e">
        <v>#N/A</v>
      </c>
      <c r="H96" t="s">
        <v>1717</v>
      </c>
      <c r="I96" t="e">
        <v>#N/A</v>
      </c>
      <c r="L96" t="str">
        <f t="shared" si="1"/>
        <v>no</v>
      </c>
    </row>
    <row r="97" spans="6:12" hidden="1">
      <c r="F97" t="s">
        <v>1717</v>
      </c>
      <c r="G97" t="e">
        <v>#N/A</v>
      </c>
      <c r="H97" t="s">
        <v>1717</v>
      </c>
      <c r="I97" t="e">
        <v>#N/A</v>
      </c>
      <c r="L97" t="str">
        <f t="shared" si="1"/>
        <v>no</v>
      </c>
    </row>
    <row r="98" spans="6:12" hidden="1">
      <c r="F98" t="s">
        <v>1717</v>
      </c>
      <c r="G98" t="e">
        <v>#N/A</v>
      </c>
      <c r="H98" t="s">
        <v>1717</v>
      </c>
      <c r="I98" t="e">
        <v>#N/A</v>
      </c>
      <c r="L98" t="str">
        <f t="shared" si="1"/>
        <v>no</v>
      </c>
    </row>
    <row r="99" spans="6:12" hidden="1">
      <c r="F99" t="s">
        <v>1717</v>
      </c>
      <c r="G99" t="e">
        <v>#N/A</v>
      </c>
      <c r="H99" t="s">
        <v>1717</v>
      </c>
      <c r="I99" t="e">
        <v>#N/A</v>
      </c>
      <c r="L99" t="str">
        <f t="shared" si="1"/>
        <v>no</v>
      </c>
    </row>
    <row r="100" spans="6:12" hidden="1">
      <c r="F100" t="s">
        <v>1717</v>
      </c>
      <c r="G100" t="e">
        <v>#N/A</v>
      </c>
      <c r="H100" t="s">
        <v>1717</v>
      </c>
      <c r="I100" t="e">
        <v>#N/A</v>
      </c>
      <c r="L100" t="str">
        <f t="shared" si="1"/>
        <v>no</v>
      </c>
    </row>
    <row r="101" spans="6:12" hidden="1">
      <c r="F101" t="s">
        <v>1717</v>
      </c>
      <c r="G101" t="e">
        <v>#N/A</v>
      </c>
      <c r="H101" t="s">
        <v>1717</v>
      </c>
      <c r="I101" t="e">
        <v>#N/A</v>
      </c>
      <c r="L101" t="str">
        <f t="shared" si="1"/>
        <v>no</v>
      </c>
    </row>
    <row r="102" spans="6:12" hidden="1">
      <c r="F102" t="s">
        <v>1717</v>
      </c>
      <c r="G102" t="e">
        <v>#N/A</v>
      </c>
      <c r="H102" t="s">
        <v>1717</v>
      </c>
      <c r="I102" t="e">
        <v>#N/A</v>
      </c>
      <c r="L102" t="str">
        <f t="shared" si="1"/>
        <v>no</v>
      </c>
    </row>
    <row r="103" spans="6:12" hidden="1">
      <c r="F103" t="s">
        <v>1717</v>
      </c>
      <c r="G103" t="e">
        <v>#N/A</v>
      </c>
      <c r="H103" t="s">
        <v>1717</v>
      </c>
      <c r="I103" t="e">
        <v>#N/A</v>
      </c>
      <c r="L103" t="str">
        <f t="shared" si="1"/>
        <v>no</v>
      </c>
    </row>
    <row r="104" spans="6:12" hidden="1">
      <c r="F104" t="s">
        <v>1717</v>
      </c>
      <c r="G104" t="e">
        <v>#N/A</v>
      </c>
      <c r="H104" t="s">
        <v>1717</v>
      </c>
      <c r="I104" t="e">
        <v>#N/A</v>
      </c>
      <c r="L104" t="str">
        <f t="shared" si="1"/>
        <v>no</v>
      </c>
    </row>
    <row r="105" spans="6:12" hidden="1">
      <c r="F105" t="s">
        <v>1717</v>
      </c>
      <c r="G105" t="e">
        <v>#N/A</v>
      </c>
      <c r="H105" t="s">
        <v>1717</v>
      </c>
      <c r="I105" t="e">
        <v>#N/A</v>
      </c>
      <c r="L105" t="str">
        <f t="shared" si="1"/>
        <v>no</v>
      </c>
    </row>
    <row r="106" spans="6:12" hidden="1">
      <c r="F106" t="s">
        <v>1717</v>
      </c>
      <c r="G106" t="e">
        <v>#N/A</v>
      </c>
      <c r="H106" t="s">
        <v>1717</v>
      </c>
      <c r="I106" t="e">
        <v>#N/A</v>
      </c>
      <c r="L106" t="str">
        <f t="shared" si="1"/>
        <v>no</v>
      </c>
    </row>
    <row r="107" spans="6:12" hidden="1">
      <c r="F107" t="s">
        <v>1717</v>
      </c>
      <c r="G107" t="e">
        <v>#N/A</v>
      </c>
      <c r="H107" t="s">
        <v>1717</v>
      </c>
      <c r="I107" t="e">
        <v>#N/A</v>
      </c>
      <c r="L107" t="str">
        <f t="shared" si="1"/>
        <v>no</v>
      </c>
    </row>
    <row r="108" spans="6:12" hidden="1">
      <c r="F108" t="s">
        <v>1717</v>
      </c>
      <c r="G108" t="e">
        <v>#N/A</v>
      </c>
      <c r="H108" t="s">
        <v>1717</v>
      </c>
      <c r="I108" t="e">
        <v>#N/A</v>
      </c>
      <c r="L108" t="str">
        <f t="shared" si="1"/>
        <v>no</v>
      </c>
    </row>
    <row r="109" spans="6:12" hidden="1">
      <c r="F109" t="s">
        <v>1717</v>
      </c>
      <c r="G109" t="e">
        <v>#N/A</v>
      </c>
      <c r="H109" t="s">
        <v>1717</v>
      </c>
      <c r="I109" t="e">
        <v>#N/A</v>
      </c>
      <c r="L109" t="str">
        <f t="shared" si="1"/>
        <v>no</v>
      </c>
    </row>
    <row r="110" spans="6:12" hidden="1">
      <c r="F110" t="s">
        <v>1717</v>
      </c>
      <c r="G110" t="e">
        <v>#N/A</v>
      </c>
      <c r="H110" t="s">
        <v>1717</v>
      </c>
      <c r="I110" t="e">
        <v>#N/A</v>
      </c>
      <c r="L110" t="str">
        <f t="shared" si="1"/>
        <v>no</v>
      </c>
    </row>
    <row r="111" spans="6:12" hidden="1">
      <c r="F111" t="s">
        <v>1717</v>
      </c>
      <c r="G111" t="e">
        <v>#N/A</v>
      </c>
      <c r="H111" t="s">
        <v>1717</v>
      </c>
      <c r="I111" t="e">
        <v>#N/A</v>
      </c>
      <c r="L111" t="str">
        <f t="shared" si="1"/>
        <v>no</v>
      </c>
    </row>
    <row r="112" spans="6:12" hidden="1">
      <c r="F112" t="s">
        <v>1717</v>
      </c>
      <c r="G112" t="e">
        <v>#N/A</v>
      </c>
      <c r="H112" t="s">
        <v>1717</v>
      </c>
      <c r="I112" t="e">
        <v>#N/A</v>
      </c>
      <c r="L112" t="str">
        <f t="shared" si="1"/>
        <v>no</v>
      </c>
    </row>
    <row r="113" spans="6:12" hidden="1">
      <c r="F113" t="s">
        <v>1717</v>
      </c>
      <c r="G113" t="e">
        <v>#N/A</v>
      </c>
      <c r="H113" t="s">
        <v>1717</v>
      </c>
      <c r="I113" t="e">
        <v>#N/A</v>
      </c>
      <c r="L113" t="str">
        <f t="shared" si="1"/>
        <v>no</v>
      </c>
    </row>
    <row r="114" spans="6:12" hidden="1">
      <c r="F114" t="s">
        <v>1717</v>
      </c>
      <c r="G114" t="e">
        <v>#N/A</v>
      </c>
      <c r="H114" t="s">
        <v>1717</v>
      </c>
      <c r="I114" t="e">
        <v>#N/A</v>
      </c>
      <c r="L114" t="str">
        <f t="shared" si="1"/>
        <v>no</v>
      </c>
    </row>
    <row r="115" spans="6:12" hidden="1">
      <c r="F115" t="s">
        <v>1717</v>
      </c>
      <c r="G115" t="e">
        <v>#N/A</v>
      </c>
      <c r="H115" t="s">
        <v>1717</v>
      </c>
      <c r="I115" t="e">
        <v>#N/A</v>
      </c>
      <c r="L115" t="str">
        <f t="shared" si="1"/>
        <v>no</v>
      </c>
    </row>
    <row r="116" spans="6:12" hidden="1">
      <c r="F116" t="s">
        <v>1717</v>
      </c>
      <c r="G116" t="e">
        <v>#N/A</v>
      </c>
      <c r="H116" t="s">
        <v>1717</v>
      </c>
      <c r="I116" t="e">
        <v>#N/A</v>
      </c>
      <c r="L116" t="str">
        <f t="shared" si="1"/>
        <v>no</v>
      </c>
    </row>
    <row r="117" spans="6:12" hidden="1">
      <c r="F117" t="s">
        <v>1717</v>
      </c>
      <c r="G117" t="e">
        <v>#N/A</v>
      </c>
      <c r="H117" t="s">
        <v>1717</v>
      </c>
      <c r="I117" t="e">
        <v>#N/A</v>
      </c>
      <c r="L117" t="str">
        <f t="shared" si="1"/>
        <v>no</v>
      </c>
    </row>
    <row r="118" spans="6:12" hidden="1">
      <c r="F118" t="s">
        <v>1717</v>
      </c>
      <c r="G118" t="e">
        <v>#N/A</v>
      </c>
      <c r="H118" t="s">
        <v>1717</v>
      </c>
      <c r="I118" t="e">
        <v>#N/A</v>
      </c>
      <c r="L118" t="str">
        <f t="shared" si="1"/>
        <v>no</v>
      </c>
    </row>
    <row r="119" spans="6:12" hidden="1">
      <c r="F119" t="s">
        <v>1717</v>
      </c>
      <c r="G119" t="e">
        <v>#N/A</v>
      </c>
      <c r="H119" t="s">
        <v>1717</v>
      </c>
      <c r="I119" t="e">
        <v>#N/A</v>
      </c>
      <c r="L119" t="str">
        <f t="shared" si="1"/>
        <v>no</v>
      </c>
    </row>
    <row r="120" spans="6:12" hidden="1">
      <c r="F120" t="s">
        <v>1717</v>
      </c>
      <c r="G120" t="e">
        <v>#N/A</v>
      </c>
      <c r="H120" t="s">
        <v>1717</v>
      </c>
      <c r="I120" t="e">
        <v>#N/A</v>
      </c>
      <c r="L120" t="str">
        <f t="shared" si="1"/>
        <v>no</v>
      </c>
    </row>
    <row r="121" spans="6:12" hidden="1">
      <c r="F121" t="s">
        <v>1717</v>
      </c>
      <c r="G121" t="e">
        <v>#N/A</v>
      </c>
      <c r="H121" t="s">
        <v>1717</v>
      </c>
      <c r="I121" t="e">
        <v>#N/A</v>
      </c>
      <c r="L121" t="str">
        <f t="shared" si="1"/>
        <v>no</v>
      </c>
    </row>
    <row r="122" spans="6:12" hidden="1">
      <c r="F122" t="s">
        <v>1717</v>
      </c>
      <c r="G122" t="e">
        <v>#N/A</v>
      </c>
      <c r="H122" t="s">
        <v>1717</v>
      </c>
      <c r="I122" t="e">
        <v>#N/A</v>
      </c>
      <c r="L122" t="str">
        <f t="shared" si="1"/>
        <v>no</v>
      </c>
    </row>
    <row r="123" spans="6:12" hidden="1">
      <c r="F123" t="s">
        <v>1717</v>
      </c>
      <c r="G123" t="e">
        <v>#N/A</v>
      </c>
      <c r="H123" t="s">
        <v>1717</v>
      </c>
      <c r="I123" t="e">
        <v>#N/A</v>
      </c>
      <c r="L123" t="str">
        <f t="shared" si="1"/>
        <v>no</v>
      </c>
    </row>
    <row r="124" spans="6:12" hidden="1">
      <c r="F124" t="s">
        <v>1717</v>
      </c>
      <c r="G124" t="e">
        <v>#N/A</v>
      </c>
      <c r="H124" t="s">
        <v>1717</v>
      </c>
      <c r="I124" t="e">
        <v>#N/A</v>
      </c>
      <c r="L124" t="str">
        <f t="shared" si="1"/>
        <v>no</v>
      </c>
    </row>
    <row r="125" spans="6:12" hidden="1">
      <c r="F125" t="s">
        <v>1717</v>
      </c>
      <c r="G125" t="e">
        <v>#N/A</v>
      </c>
      <c r="H125" t="s">
        <v>1717</v>
      </c>
      <c r="I125" t="e">
        <v>#N/A</v>
      </c>
      <c r="L125" t="str">
        <f t="shared" si="1"/>
        <v>no</v>
      </c>
    </row>
    <row r="126" spans="6:12" hidden="1">
      <c r="F126" t="s">
        <v>1717</v>
      </c>
      <c r="G126" t="e">
        <v>#N/A</v>
      </c>
      <c r="H126" t="s">
        <v>1717</v>
      </c>
      <c r="I126" t="e">
        <v>#N/A</v>
      </c>
      <c r="L126" t="str">
        <f t="shared" si="1"/>
        <v>no</v>
      </c>
    </row>
    <row r="127" spans="6:12" hidden="1">
      <c r="F127" t="s">
        <v>1717</v>
      </c>
      <c r="G127" t="e">
        <v>#N/A</v>
      </c>
      <c r="H127" t="s">
        <v>1717</v>
      </c>
      <c r="I127" t="e">
        <v>#N/A</v>
      </c>
      <c r="L127" t="str">
        <f t="shared" si="1"/>
        <v>no</v>
      </c>
    </row>
    <row r="128" spans="6:12" hidden="1">
      <c r="F128" t="s">
        <v>1717</v>
      </c>
      <c r="G128" t="e">
        <v>#N/A</v>
      </c>
      <c r="H128" t="s">
        <v>1717</v>
      </c>
      <c r="I128" t="e">
        <v>#N/A</v>
      </c>
      <c r="L128" t="str">
        <f t="shared" si="1"/>
        <v>no</v>
      </c>
    </row>
    <row r="129" spans="6:12" hidden="1">
      <c r="F129" t="s">
        <v>1717</v>
      </c>
      <c r="G129" t="e">
        <v>#N/A</v>
      </c>
      <c r="H129" t="s">
        <v>1717</v>
      </c>
      <c r="I129" t="e">
        <v>#N/A</v>
      </c>
      <c r="L129" t="str">
        <f t="shared" si="1"/>
        <v>no</v>
      </c>
    </row>
    <row r="130" spans="6:12" hidden="1">
      <c r="F130" t="s">
        <v>1717</v>
      </c>
      <c r="G130" t="e">
        <v>#N/A</v>
      </c>
      <c r="H130" t="s">
        <v>1717</v>
      </c>
      <c r="I130" t="e">
        <v>#N/A</v>
      </c>
      <c r="L130" t="str">
        <f t="shared" si="1"/>
        <v>no</v>
      </c>
    </row>
    <row r="131" spans="6:12" hidden="1">
      <c r="F131" t="s">
        <v>1717</v>
      </c>
      <c r="G131" t="e">
        <v>#N/A</v>
      </c>
      <c r="H131" t="s">
        <v>1717</v>
      </c>
      <c r="I131" t="e">
        <v>#N/A</v>
      </c>
      <c r="L131" t="str">
        <f t="shared" ref="L131:L142" si="2">IF(COUNTIF(M:M, B131)&gt;0,$M$1,IF(COUNTIF(N:N, B131)&gt;0,$N$1,"no"))</f>
        <v>no</v>
      </c>
    </row>
    <row r="132" spans="6:12" hidden="1">
      <c r="F132" t="s">
        <v>1717</v>
      </c>
      <c r="G132" t="e">
        <v>#N/A</v>
      </c>
      <c r="H132" t="s">
        <v>1717</v>
      </c>
      <c r="I132" t="e">
        <v>#N/A</v>
      </c>
      <c r="L132" t="str">
        <f t="shared" si="2"/>
        <v>no</v>
      </c>
    </row>
    <row r="133" spans="6:12" hidden="1">
      <c r="F133" t="s">
        <v>1717</v>
      </c>
      <c r="G133" t="e">
        <v>#N/A</v>
      </c>
      <c r="H133" t="s">
        <v>1717</v>
      </c>
      <c r="I133" t="e">
        <v>#N/A</v>
      </c>
      <c r="L133" t="str">
        <f t="shared" si="2"/>
        <v>no</v>
      </c>
    </row>
    <row r="134" spans="6:12" hidden="1">
      <c r="F134" t="s">
        <v>1717</v>
      </c>
      <c r="G134" t="e">
        <v>#N/A</v>
      </c>
      <c r="H134" t="s">
        <v>1717</v>
      </c>
      <c r="I134" t="e">
        <v>#N/A</v>
      </c>
      <c r="L134" t="str">
        <f t="shared" si="2"/>
        <v>no</v>
      </c>
    </row>
    <row r="135" spans="6:12" hidden="1">
      <c r="F135" t="s">
        <v>1717</v>
      </c>
      <c r="G135" t="e">
        <v>#N/A</v>
      </c>
      <c r="H135" t="s">
        <v>1717</v>
      </c>
      <c r="I135" t="e">
        <v>#N/A</v>
      </c>
      <c r="L135" t="str">
        <f t="shared" si="2"/>
        <v>no</v>
      </c>
    </row>
    <row r="136" spans="6:12" hidden="1">
      <c r="F136" t="s">
        <v>1717</v>
      </c>
      <c r="G136" t="e">
        <v>#N/A</v>
      </c>
      <c r="H136" t="s">
        <v>1717</v>
      </c>
      <c r="I136" t="e">
        <v>#N/A</v>
      </c>
      <c r="L136" t="str">
        <f t="shared" si="2"/>
        <v>no</v>
      </c>
    </row>
    <row r="137" spans="6:12" hidden="1">
      <c r="F137" t="s">
        <v>1717</v>
      </c>
      <c r="G137" t="e">
        <v>#N/A</v>
      </c>
      <c r="H137" t="s">
        <v>1717</v>
      </c>
      <c r="I137" t="e">
        <v>#N/A</v>
      </c>
      <c r="L137" t="str">
        <f t="shared" si="2"/>
        <v>no</v>
      </c>
    </row>
    <row r="138" spans="6:12" hidden="1">
      <c r="F138" t="s">
        <v>1717</v>
      </c>
      <c r="G138" t="e">
        <v>#N/A</v>
      </c>
      <c r="H138" t="s">
        <v>1717</v>
      </c>
      <c r="I138" t="e">
        <v>#N/A</v>
      </c>
      <c r="L138" t="str">
        <f t="shared" si="2"/>
        <v>no</v>
      </c>
    </row>
    <row r="139" spans="6:12" hidden="1">
      <c r="F139" t="s">
        <v>1717</v>
      </c>
      <c r="G139" t="e">
        <v>#N/A</v>
      </c>
      <c r="H139" t="s">
        <v>1717</v>
      </c>
      <c r="I139" t="e">
        <v>#N/A</v>
      </c>
      <c r="L139" t="str">
        <f t="shared" si="2"/>
        <v>no</v>
      </c>
    </row>
    <row r="140" spans="6:12" hidden="1">
      <c r="F140" t="s">
        <v>1717</v>
      </c>
      <c r="G140" t="e">
        <v>#N/A</v>
      </c>
      <c r="H140" t="s">
        <v>1717</v>
      </c>
      <c r="I140" t="e">
        <v>#N/A</v>
      </c>
      <c r="L140" t="str">
        <f t="shared" si="2"/>
        <v>no</v>
      </c>
    </row>
    <row r="141" spans="6:12" hidden="1">
      <c r="F141" t="s">
        <v>1717</v>
      </c>
      <c r="G141" t="e">
        <v>#N/A</v>
      </c>
      <c r="H141" t="s">
        <v>1717</v>
      </c>
      <c r="I141" t="e">
        <v>#N/A</v>
      </c>
      <c r="L141" t="str">
        <f t="shared" si="2"/>
        <v>no</v>
      </c>
    </row>
    <row r="142" spans="6:12" hidden="1">
      <c r="F142" t="s">
        <v>1717</v>
      </c>
      <c r="G142" t="e">
        <v>#N/A</v>
      </c>
      <c r="H142" t="s">
        <v>1717</v>
      </c>
      <c r="I142" t="e">
        <v>#N/A</v>
      </c>
      <c r="L142" t="str">
        <f t="shared" si="2"/>
        <v>no</v>
      </c>
    </row>
  </sheetData>
  <autoFilter ref="A1:N142" xr:uid="{A1ABAFED-B0D4-AC41-8E56-2E04CE8F857D}">
    <filterColumn colId="4">
      <filters>
        <filter val="no"/>
      </filters>
    </filterColumn>
    <filterColumn colId="11">
      <filters>
        <filter val="segmented videos list"/>
      </filters>
    </filterColumn>
  </autoFilter>
  <phoneticPr fontId="1" type="noConversion"/>
  <conditionalFormatting sqref="E1:E1048576">
    <cfRule type="cellIs" dxfId="117" priority="6" operator="equal">
      <formula>"no"</formula>
    </cfRule>
    <cfRule type="cellIs" dxfId="116" priority="7" operator="equal">
      <formula>"yes"</formula>
    </cfRule>
  </conditionalFormatting>
  <conditionalFormatting sqref="F2:F42">
    <cfRule type="expression" dxfId="115" priority="2">
      <formula>F2&lt;&gt;E2</formula>
    </cfRule>
  </conditionalFormatting>
  <conditionalFormatting sqref="H2:H42">
    <cfRule type="expression" dxfId="114" priority="1" stopIfTrue="1">
      <formula>H2&lt;&gt;E2</formula>
    </cfRule>
  </conditionalFormatting>
  <conditionalFormatting sqref="J2:J142">
    <cfRule type="expression" dxfId="113" priority="3">
      <formula>J2&lt;&gt;E2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0D452-3A81-804C-8686-5710E32816D9}">
  <sheetPr filterMode="1"/>
  <dimension ref="A1:N142"/>
  <sheetViews>
    <sheetView workbookViewId="0">
      <selection activeCell="L2" sqref="L2"/>
    </sheetView>
  </sheetViews>
  <sheetFormatPr baseColWidth="10" defaultRowHeight="15"/>
  <cols>
    <col min="3" max="3" width="4.83203125" customWidth="1"/>
    <col min="5" max="5" width="11.33203125" customWidth="1"/>
    <col min="12" max="12" width="14.33203125" customWidth="1"/>
  </cols>
  <sheetData>
    <row r="1" spans="1:14">
      <c r="A1" t="s">
        <v>88</v>
      </c>
      <c r="B1" t="s">
        <v>0</v>
      </c>
      <c r="C1" s="2" t="s">
        <v>202</v>
      </c>
      <c r="D1" t="s">
        <v>6</v>
      </c>
      <c r="E1" t="s">
        <v>1</v>
      </c>
      <c r="F1" t="s">
        <v>1904</v>
      </c>
      <c r="G1" t="s">
        <v>2592</v>
      </c>
      <c r="H1" t="s">
        <v>2677</v>
      </c>
      <c r="I1" t="s">
        <v>2677</v>
      </c>
      <c r="J1" t="s">
        <v>2676</v>
      </c>
      <c r="K1" t="s">
        <v>2592</v>
      </c>
      <c r="L1" t="s">
        <v>1067</v>
      </c>
      <c r="M1" t="s">
        <v>1192</v>
      </c>
      <c r="N1" t="s">
        <v>1105</v>
      </c>
    </row>
    <row r="2" spans="1:14" ht="19">
      <c r="A2">
        <v>1</v>
      </c>
      <c r="B2" s="1" t="s">
        <v>275</v>
      </c>
      <c r="C2" t="s">
        <v>271</v>
      </c>
      <c r="E2" t="s">
        <v>390</v>
      </c>
      <c r="F2" t="s">
        <v>192</v>
      </c>
      <c r="G2" t="s">
        <v>2645</v>
      </c>
      <c r="H2" t="s">
        <v>192</v>
      </c>
      <c r="I2" t="s">
        <v>2807</v>
      </c>
      <c r="J2" t="s">
        <v>192</v>
      </c>
      <c r="K2" t="s">
        <v>1806</v>
      </c>
      <c r="L2" t="str">
        <f>IF(COUNTIF(M:M, B2)&gt;0,$M$1,IF(COUNTIF(N:N, B2)&gt;0,$N$1,"no"))</f>
        <v>segmented videos list</v>
      </c>
      <c r="M2" s="1"/>
      <c r="N2" s="1" t="s">
        <v>285</v>
      </c>
    </row>
    <row r="3" spans="1:14" ht="19">
      <c r="A3">
        <v>2</v>
      </c>
      <c r="B3" s="1" t="s">
        <v>276</v>
      </c>
      <c r="C3" t="s">
        <v>269</v>
      </c>
      <c r="E3" t="s">
        <v>390</v>
      </c>
      <c r="F3" t="s">
        <v>192</v>
      </c>
      <c r="G3" t="s">
        <v>2646</v>
      </c>
      <c r="H3" t="s">
        <v>201</v>
      </c>
      <c r="I3" t="s">
        <v>2808</v>
      </c>
      <c r="J3" t="s">
        <v>201</v>
      </c>
      <c r="K3" t="s">
        <v>1810</v>
      </c>
      <c r="L3" t="str">
        <f t="shared" ref="L3:L66" si="0">IF(COUNTIF(M:M, B3)&gt;0,$M$1,IF(COUNTIF(N:N, B3)&gt;0,$N$1,"no"))</f>
        <v>segmented videos list</v>
      </c>
      <c r="M3" s="1"/>
      <c r="N3" s="1" t="s">
        <v>294</v>
      </c>
    </row>
    <row r="4" spans="1:14" ht="19">
      <c r="A4">
        <v>3</v>
      </c>
      <c r="B4" s="1" t="s">
        <v>277</v>
      </c>
      <c r="C4" t="s">
        <v>267</v>
      </c>
      <c r="E4" t="s">
        <v>390</v>
      </c>
      <c r="F4" t="s">
        <v>192</v>
      </c>
      <c r="G4" t="s">
        <v>2639</v>
      </c>
      <c r="H4" t="s">
        <v>201</v>
      </c>
      <c r="I4" t="s">
        <v>2801</v>
      </c>
      <c r="J4" t="s">
        <v>201</v>
      </c>
      <c r="K4" t="s">
        <v>1807</v>
      </c>
      <c r="L4" t="str">
        <f t="shared" si="0"/>
        <v>segmented videos list</v>
      </c>
      <c r="M4" s="1"/>
      <c r="N4" s="1" t="s">
        <v>280</v>
      </c>
    </row>
    <row r="5" spans="1:14" ht="19">
      <c r="A5">
        <v>4</v>
      </c>
      <c r="B5" s="1" t="s">
        <v>278</v>
      </c>
      <c r="C5" t="s">
        <v>271</v>
      </c>
      <c r="E5" t="s">
        <v>390</v>
      </c>
      <c r="F5" t="s">
        <v>201</v>
      </c>
      <c r="G5" t="s">
        <v>2640</v>
      </c>
      <c r="H5" t="s">
        <v>201</v>
      </c>
      <c r="I5" t="s">
        <v>2802</v>
      </c>
      <c r="J5" t="s">
        <v>201</v>
      </c>
      <c r="K5" t="s">
        <v>1811</v>
      </c>
      <c r="L5" t="str">
        <f t="shared" si="0"/>
        <v>segmented videos list</v>
      </c>
      <c r="M5" s="1"/>
      <c r="N5" s="1" t="s">
        <v>286</v>
      </c>
    </row>
    <row r="6" spans="1:14" ht="19">
      <c r="A6">
        <v>5</v>
      </c>
      <c r="B6" s="1" t="s">
        <v>279</v>
      </c>
      <c r="C6" t="s">
        <v>271</v>
      </c>
      <c r="E6" t="s">
        <v>390</v>
      </c>
      <c r="F6" t="s">
        <v>201</v>
      </c>
      <c r="G6" t="s">
        <v>2647</v>
      </c>
      <c r="H6" t="s">
        <v>201</v>
      </c>
      <c r="I6" t="s">
        <v>2809</v>
      </c>
      <c r="J6" t="s">
        <v>201</v>
      </c>
      <c r="K6" t="s">
        <v>1804</v>
      </c>
      <c r="L6" t="str">
        <f t="shared" si="0"/>
        <v>segmented videos list</v>
      </c>
      <c r="M6" s="1"/>
      <c r="N6" s="1" t="s">
        <v>275</v>
      </c>
    </row>
    <row r="7" spans="1:14" ht="19" hidden="1">
      <c r="A7">
        <v>6</v>
      </c>
      <c r="B7" s="1" t="s">
        <v>280</v>
      </c>
      <c r="C7" t="s">
        <v>297</v>
      </c>
      <c r="E7" t="s">
        <v>391</v>
      </c>
      <c r="F7" t="s">
        <v>192</v>
      </c>
      <c r="G7" t="s">
        <v>2644</v>
      </c>
      <c r="H7" t="s">
        <v>192</v>
      </c>
      <c r="I7" t="s">
        <v>2806</v>
      </c>
      <c r="J7" t="s">
        <v>192</v>
      </c>
      <c r="K7" t="s">
        <v>1802</v>
      </c>
      <c r="L7" t="str">
        <f t="shared" si="0"/>
        <v>segmented videos list</v>
      </c>
      <c r="M7" s="1"/>
      <c r="N7" s="1" t="s">
        <v>281</v>
      </c>
    </row>
    <row r="8" spans="1:14" ht="19" hidden="1">
      <c r="A8">
        <v>7</v>
      </c>
      <c r="B8" s="1" t="s">
        <v>281</v>
      </c>
      <c r="C8" t="s">
        <v>298</v>
      </c>
      <c r="E8" t="s">
        <v>391</v>
      </c>
      <c r="F8" t="s">
        <v>192</v>
      </c>
      <c r="G8" t="s">
        <v>2643</v>
      </c>
      <c r="H8" t="s">
        <v>192</v>
      </c>
      <c r="I8" t="s">
        <v>2805</v>
      </c>
      <c r="J8" t="s">
        <v>201</v>
      </c>
      <c r="K8" t="s">
        <v>1808</v>
      </c>
      <c r="L8" t="str">
        <f t="shared" si="0"/>
        <v>segmented videos list</v>
      </c>
      <c r="M8" s="1"/>
      <c r="N8" s="1" t="s">
        <v>290</v>
      </c>
    </row>
    <row r="9" spans="1:14" ht="19" hidden="1">
      <c r="A9">
        <v>8</v>
      </c>
      <c r="B9" s="1" t="s">
        <v>282</v>
      </c>
      <c r="C9" t="s">
        <v>298</v>
      </c>
      <c r="E9" t="s">
        <v>391</v>
      </c>
      <c r="F9" t="s">
        <v>192</v>
      </c>
      <c r="G9" t="s">
        <v>2637</v>
      </c>
      <c r="H9" t="s">
        <v>192</v>
      </c>
      <c r="I9" t="s">
        <v>2799</v>
      </c>
      <c r="J9" t="s">
        <v>192</v>
      </c>
      <c r="K9" t="s">
        <v>1816</v>
      </c>
      <c r="L9" t="str">
        <f t="shared" si="0"/>
        <v>segmented videos list</v>
      </c>
      <c r="M9" s="1"/>
      <c r="N9" s="1" t="s">
        <v>276</v>
      </c>
    </row>
    <row r="10" spans="1:14" ht="19">
      <c r="A10">
        <v>9</v>
      </c>
      <c r="B10" s="1" t="s">
        <v>283</v>
      </c>
      <c r="C10" t="s">
        <v>274</v>
      </c>
      <c r="E10" t="s">
        <v>390</v>
      </c>
      <c r="F10" t="s">
        <v>192</v>
      </c>
      <c r="G10" t="s">
        <v>2635</v>
      </c>
      <c r="H10" t="s">
        <v>192</v>
      </c>
      <c r="I10" t="s">
        <v>2797</v>
      </c>
      <c r="J10" t="s">
        <v>192</v>
      </c>
      <c r="K10" t="s">
        <v>1813</v>
      </c>
      <c r="L10" t="str">
        <f t="shared" si="0"/>
        <v>segmented videos list</v>
      </c>
      <c r="M10" s="1"/>
      <c r="N10" s="1" t="s">
        <v>282</v>
      </c>
    </row>
    <row r="11" spans="1:14" ht="19" hidden="1">
      <c r="A11">
        <v>10</v>
      </c>
      <c r="B11" s="1" t="s">
        <v>284</v>
      </c>
      <c r="C11" t="s">
        <v>271</v>
      </c>
      <c r="E11" t="s">
        <v>390</v>
      </c>
      <c r="F11" t="s">
        <v>1717</v>
      </c>
      <c r="G11" t="e">
        <v>#N/A</v>
      </c>
      <c r="H11" t="s">
        <v>1717</v>
      </c>
      <c r="I11" t="e">
        <v>#N/A</v>
      </c>
      <c r="J11" t="s">
        <v>1717</v>
      </c>
      <c r="K11" t="e">
        <v>#N/A</v>
      </c>
      <c r="L11" t="str">
        <f t="shared" si="0"/>
        <v>no</v>
      </c>
      <c r="M11" s="1"/>
      <c r="N11" s="1" t="s">
        <v>291</v>
      </c>
    </row>
    <row r="12" spans="1:14" ht="19">
      <c r="A12">
        <v>11</v>
      </c>
      <c r="B12" s="1" t="s">
        <v>285</v>
      </c>
      <c r="C12" t="s">
        <v>274</v>
      </c>
      <c r="E12" t="s">
        <v>390</v>
      </c>
      <c r="F12" t="s">
        <v>192</v>
      </c>
      <c r="G12" t="s">
        <v>2648</v>
      </c>
      <c r="H12" t="s">
        <v>192</v>
      </c>
      <c r="I12" t="s">
        <v>2810</v>
      </c>
      <c r="J12" t="s">
        <v>192</v>
      </c>
      <c r="K12" t="s">
        <v>1815</v>
      </c>
      <c r="L12" t="str">
        <f t="shared" si="0"/>
        <v>segmented videos list</v>
      </c>
      <c r="M12" s="1"/>
      <c r="N12" s="1" t="s">
        <v>277</v>
      </c>
    </row>
    <row r="13" spans="1:14" ht="19">
      <c r="A13">
        <v>12</v>
      </c>
      <c r="B13" s="1" t="s">
        <v>286</v>
      </c>
      <c r="C13" t="s">
        <v>271</v>
      </c>
      <c r="E13" t="s">
        <v>390</v>
      </c>
      <c r="F13" t="s">
        <v>192</v>
      </c>
      <c r="G13" t="s">
        <v>2636</v>
      </c>
      <c r="H13" t="s">
        <v>192</v>
      </c>
      <c r="I13" t="s">
        <v>2798</v>
      </c>
      <c r="J13" t="s">
        <v>201</v>
      </c>
      <c r="K13" t="s">
        <v>1809</v>
      </c>
      <c r="L13" t="str">
        <f t="shared" si="0"/>
        <v>segmented videos list</v>
      </c>
      <c r="M13" s="1"/>
      <c r="N13" s="1" t="s">
        <v>283</v>
      </c>
    </row>
    <row r="14" spans="1:14" ht="19" hidden="1">
      <c r="A14">
        <v>13</v>
      </c>
      <c r="B14" s="1" t="s">
        <v>287</v>
      </c>
      <c r="C14" t="s">
        <v>298</v>
      </c>
      <c r="E14" t="s">
        <v>391</v>
      </c>
      <c r="F14" t="s">
        <v>1717</v>
      </c>
      <c r="G14" t="e">
        <v>#N/A</v>
      </c>
      <c r="H14" t="s">
        <v>1717</v>
      </c>
      <c r="I14" t="e">
        <v>#N/A</v>
      </c>
      <c r="J14" t="s">
        <v>1717</v>
      </c>
      <c r="K14" t="e">
        <v>#N/A</v>
      </c>
      <c r="L14" t="str">
        <f t="shared" si="0"/>
        <v>no</v>
      </c>
      <c r="M14" s="1"/>
      <c r="N14" s="1" t="s">
        <v>292</v>
      </c>
    </row>
    <row r="15" spans="1:14" ht="19" hidden="1">
      <c r="A15">
        <v>14</v>
      </c>
      <c r="B15" s="1" t="s">
        <v>288</v>
      </c>
      <c r="C15" t="s">
        <v>274</v>
      </c>
      <c r="E15" t="s">
        <v>390</v>
      </c>
      <c r="F15" t="s">
        <v>1717</v>
      </c>
      <c r="G15" t="e">
        <v>#N/A</v>
      </c>
      <c r="H15" t="s">
        <v>1717</v>
      </c>
      <c r="I15" t="e">
        <v>#N/A</v>
      </c>
      <c r="J15" t="s">
        <v>1717</v>
      </c>
      <c r="K15" t="e">
        <v>#N/A</v>
      </c>
      <c r="L15" t="str">
        <f t="shared" si="0"/>
        <v>no</v>
      </c>
      <c r="M15" s="1"/>
      <c r="N15" s="1" t="s">
        <v>278</v>
      </c>
    </row>
    <row r="16" spans="1:14" ht="19" hidden="1">
      <c r="A16">
        <v>15</v>
      </c>
      <c r="B16" s="1" t="s">
        <v>289</v>
      </c>
      <c r="C16" t="s">
        <v>295</v>
      </c>
      <c r="E16" t="s">
        <v>391</v>
      </c>
      <c r="F16" t="s">
        <v>1717</v>
      </c>
      <c r="G16" t="e">
        <v>#N/A</v>
      </c>
      <c r="H16" t="s">
        <v>1717</v>
      </c>
      <c r="I16" t="e">
        <v>#N/A</v>
      </c>
      <c r="J16" t="s">
        <v>1717</v>
      </c>
      <c r="K16" t="e">
        <v>#N/A</v>
      </c>
      <c r="L16" t="str">
        <f t="shared" si="0"/>
        <v>no</v>
      </c>
      <c r="M16" s="1"/>
      <c r="N16" s="1" t="s">
        <v>293</v>
      </c>
    </row>
    <row r="17" spans="1:14" ht="19">
      <c r="A17">
        <v>16</v>
      </c>
      <c r="B17" s="1" t="s">
        <v>290</v>
      </c>
      <c r="C17" t="s">
        <v>271</v>
      </c>
      <c r="E17" t="s">
        <v>390</v>
      </c>
      <c r="F17" t="s">
        <v>201</v>
      </c>
      <c r="G17" t="s">
        <v>2638</v>
      </c>
      <c r="H17" t="s">
        <v>201</v>
      </c>
      <c r="I17" t="s">
        <v>2800</v>
      </c>
      <c r="J17" t="s">
        <v>201</v>
      </c>
      <c r="K17" t="s">
        <v>1814</v>
      </c>
      <c r="L17" t="str">
        <f t="shared" si="0"/>
        <v>segmented videos list</v>
      </c>
      <c r="M17" s="1"/>
      <c r="N17" s="1" t="s">
        <v>279</v>
      </c>
    </row>
    <row r="18" spans="1:14" ht="19">
      <c r="A18">
        <v>17</v>
      </c>
      <c r="B18" s="1" t="s">
        <v>291</v>
      </c>
      <c r="C18" t="s">
        <v>271</v>
      </c>
      <c r="E18" t="s">
        <v>390</v>
      </c>
      <c r="F18" t="s">
        <v>192</v>
      </c>
      <c r="G18" t="s">
        <v>2634</v>
      </c>
      <c r="H18" t="s">
        <v>192</v>
      </c>
      <c r="I18" t="s">
        <v>2796</v>
      </c>
      <c r="J18" t="s">
        <v>201</v>
      </c>
      <c r="K18" t="s">
        <v>1803</v>
      </c>
      <c r="L18" t="str">
        <f t="shared" si="0"/>
        <v>segmented videos list</v>
      </c>
      <c r="M18" s="1"/>
      <c r="N18" s="1"/>
    </row>
    <row r="19" spans="1:14" ht="19">
      <c r="A19">
        <v>18</v>
      </c>
      <c r="B19" s="1" t="s">
        <v>292</v>
      </c>
      <c r="C19" t="s">
        <v>267</v>
      </c>
      <c r="E19" t="s">
        <v>390</v>
      </c>
      <c r="F19" t="s">
        <v>201</v>
      </c>
      <c r="G19" t="s">
        <v>2642</v>
      </c>
      <c r="H19" t="s">
        <v>201</v>
      </c>
      <c r="I19" t="s">
        <v>2804</v>
      </c>
      <c r="J19" t="s">
        <v>201</v>
      </c>
      <c r="K19" t="s">
        <v>1805</v>
      </c>
      <c r="L19" t="str">
        <f t="shared" si="0"/>
        <v>segmented videos list</v>
      </c>
      <c r="M19" s="1"/>
      <c r="N19" s="1"/>
    </row>
    <row r="20" spans="1:14" ht="19">
      <c r="A20">
        <v>19</v>
      </c>
      <c r="B20" s="1" t="s">
        <v>293</v>
      </c>
      <c r="C20" t="s">
        <v>271</v>
      </c>
      <c r="E20" t="s">
        <v>390</v>
      </c>
      <c r="F20" t="s">
        <v>201</v>
      </c>
      <c r="G20" t="s">
        <v>2641</v>
      </c>
      <c r="H20" t="s">
        <v>201</v>
      </c>
      <c r="I20" t="s">
        <v>2803</v>
      </c>
      <c r="J20" t="s">
        <v>201</v>
      </c>
      <c r="K20" t="s">
        <v>1817</v>
      </c>
      <c r="L20" t="str">
        <f t="shared" si="0"/>
        <v>segmented videos list</v>
      </c>
      <c r="M20" s="1"/>
      <c r="N20" s="1"/>
    </row>
    <row r="21" spans="1:14" ht="19">
      <c r="A21">
        <v>20</v>
      </c>
      <c r="B21" s="1" t="s">
        <v>294</v>
      </c>
      <c r="C21" t="s">
        <v>271</v>
      </c>
      <c r="E21" t="s">
        <v>390</v>
      </c>
      <c r="F21" t="s">
        <v>201</v>
      </c>
      <c r="G21" t="s">
        <v>2649</v>
      </c>
      <c r="H21" t="s">
        <v>201</v>
      </c>
      <c r="I21" t="s">
        <v>2811</v>
      </c>
      <c r="J21" t="s">
        <v>201</v>
      </c>
      <c r="K21" t="s">
        <v>1812</v>
      </c>
      <c r="L21" t="str">
        <f t="shared" si="0"/>
        <v>segmented videos list</v>
      </c>
      <c r="M21" s="1"/>
      <c r="N21" s="1"/>
    </row>
    <row r="22" spans="1:14" ht="19" hidden="1">
      <c r="F22" t="s">
        <v>1717</v>
      </c>
      <c r="G22" t="e">
        <v>#N/A</v>
      </c>
      <c r="H22" t="s">
        <v>1717</v>
      </c>
      <c r="I22" t="e">
        <v>#N/A</v>
      </c>
      <c r="L22" t="str">
        <f t="shared" si="0"/>
        <v>no</v>
      </c>
      <c r="M22" s="1"/>
      <c r="N22" s="1"/>
    </row>
    <row r="23" spans="1:14" ht="19" hidden="1">
      <c r="F23" t="s">
        <v>1717</v>
      </c>
      <c r="G23" t="e">
        <v>#N/A</v>
      </c>
      <c r="H23" t="s">
        <v>1717</v>
      </c>
      <c r="I23" t="e">
        <v>#N/A</v>
      </c>
      <c r="L23" t="str">
        <f t="shared" si="0"/>
        <v>no</v>
      </c>
      <c r="M23" s="1"/>
      <c r="N23" s="1"/>
    </row>
    <row r="24" spans="1:14" ht="19" hidden="1">
      <c r="F24" t="s">
        <v>1717</v>
      </c>
      <c r="G24" t="e">
        <v>#N/A</v>
      </c>
      <c r="H24" t="s">
        <v>1717</v>
      </c>
      <c r="I24" t="e">
        <v>#N/A</v>
      </c>
      <c r="L24" t="str">
        <f t="shared" si="0"/>
        <v>no</v>
      </c>
      <c r="M24" s="1"/>
      <c r="N24" s="1"/>
    </row>
    <row r="25" spans="1:14" ht="19" hidden="1">
      <c r="F25" t="s">
        <v>1717</v>
      </c>
      <c r="G25" t="e">
        <v>#N/A</v>
      </c>
      <c r="H25" t="s">
        <v>1717</v>
      </c>
      <c r="I25" t="e">
        <v>#N/A</v>
      </c>
      <c r="L25" t="str">
        <f t="shared" si="0"/>
        <v>no</v>
      </c>
      <c r="M25" s="1"/>
      <c r="N25" s="1"/>
    </row>
    <row r="26" spans="1:14" ht="19" hidden="1">
      <c r="F26" t="s">
        <v>1717</v>
      </c>
      <c r="G26" t="e">
        <v>#N/A</v>
      </c>
      <c r="H26" t="s">
        <v>1717</v>
      </c>
      <c r="I26" t="e">
        <v>#N/A</v>
      </c>
      <c r="L26" t="str">
        <f t="shared" si="0"/>
        <v>no</v>
      </c>
      <c r="M26" s="1"/>
      <c r="N26" s="1"/>
    </row>
    <row r="27" spans="1:14" ht="19" hidden="1">
      <c r="F27" t="s">
        <v>1717</v>
      </c>
      <c r="G27" t="e">
        <v>#N/A</v>
      </c>
      <c r="H27" t="s">
        <v>1717</v>
      </c>
      <c r="I27" t="e">
        <v>#N/A</v>
      </c>
      <c r="L27" t="str">
        <f t="shared" si="0"/>
        <v>no</v>
      </c>
      <c r="M27" s="1"/>
      <c r="N27" s="1"/>
    </row>
    <row r="28" spans="1:14" ht="19" hidden="1">
      <c r="F28" t="s">
        <v>1717</v>
      </c>
      <c r="G28" t="e">
        <v>#N/A</v>
      </c>
      <c r="H28" t="s">
        <v>1717</v>
      </c>
      <c r="I28" t="e">
        <v>#N/A</v>
      </c>
      <c r="L28" t="str">
        <f t="shared" si="0"/>
        <v>no</v>
      </c>
      <c r="M28" s="1"/>
      <c r="N28" s="1"/>
    </row>
    <row r="29" spans="1:14" ht="19" hidden="1">
      <c r="F29" t="s">
        <v>1717</v>
      </c>
      <c r="G29" t="e">
        <v>#N/A</v>
      </c>
      <c r="H29" t="s">
        <v>1717</v>
      </c>
      <c r="I29" t="e">
        <v>#N/A</v>
      </c>
      <c r="L29" t="str">
        <f t="shared" si="0"/>
        <v>no</v>
      </c>
      <c r="M29" s="1"/>
      <c r="N29" s="1"/>
    </row>
    <row r="30" spans="1:14" ht="19" hidden="1">
      <c r="F30" t="s">
        <v>1717</v>
      </c>
      <c r="G30" t="e">
        <v>#N/A</v>
      </c>
      <c r="H30" t="s">
        <v>1717</v>
      </c>
      <c r="I30" t="e">
        <v>#N/A</v>
      </c>
      <c r="L30" t="str">
        <f t="shared" si="0"/>
        <v>no</v>
      </c>
      <c r="M30" s="1"/>
      <c r="N30" s="1"/>
    </row>
    <row r="31" spans="1:14" ht="19" hidden="1">
      <c r="F31" t="s">
        <v>1717</v>
      </c>
      <c r="G31" t="e">
        <v>#N/A</v>
      </c>
      <c r="H31" t="s">
        <v>1717</v>
      </c>
      <c r="I31" t="e">
        <v>#N/A</v>
      </c>
      <c r="L31" t="str">
        <f t="shared" si="0"/>
        <v>no</v>
      </c>
      <c r="M31" s="1"/>
      <c r="N31" s="1"/>
    </row>
    <row r="32" spans="1:14" ht="19" hidden="1">
      <c r="F32" t="s">
        <v>1717</v>
      </c>
      <c r="G32" t="e">
        <v>#N/A</v>
      </c>
      <c r="H32" t="s">
        <v>1717</v>
      </c>
      <c r="I32" t="e">
        <v>#N/A</v>
      </c>
      <c r="L32" t="str">
        <f t="shared" si="0"/>
        <v>no</v>
      </c>
      <c r="M32" s="1"/>
      <c r="N32" s="1"/>
    </row>
    <row r="33" spans="6:14" ht="19" hidden="1">
      <c r="F33" t="s">
        <v>1717</v>
      </c>
      <c r="G33" t="e">
        <v>#N/A</v>
      </c>
      <c r="H33" t="s">
        <v>1717</v>
      </c>
      <c r="I33" t="e">
        <v>#N/A</v>
      </c>
      <c r="L33" t="str">
        <f t="shared" si="0"/>
        <v>no</v>
      </c>
      <c r="M33" s="1"/>
      <c r="N33" s="1"/>
    </row>
    <row r="34" spans="6:14" ht="19" hidden="1">
      <c r="F34" t="s">
        <v>1717</v>
      </c>
      <c r="G34" t="e">
        <v>#N/A</v>
      </c>
      <c r="H34" t="s">
        <v>1717</v>
      </c>
      <c r="I34" t="e">
        <v>#N/A</v>
      </c>
      <c r="L34" t="str">
        <f t="shared" si="0"/>
        <v>no</v>
      </c>
      <c r="M34" s="1"/>
      <c r="N34" s="1"/>
    </row>
    <row r="35" spans="6:14" ht="19" hidden="1">
      <c r="F35" t="s">
        <v>1717</v>
      </c>
      <c r="G35" t="e">
        <v>#N/A</v>
      </c>
      <c r="H35" t="s">
        <v>1717</v>
      </c>
      <c r="I35" t="e">
        <v>#N/A</v>
      </c>
      <c r="L35" t="str">
        <f t="shared" si="0"/>
        <v>no</v>
      </c>
      <c r="M35" s="1"/>
      <c r="N35" s="1"/>
    </row>
    <row r="36" spans="6:14" ht="19" hidden="1">
      <c r="F36" t="s">
        <v>1717</v>
      </c>
      <c r="G36" t="e">
        <v>#N/A</v>
      </c>
      <c r="H36" t="s">
        <v>1717</v>
      </c>
      <c r="I36" t="e">
        <v>#N/A</v>
      </c>
      <c r="L36" t="str">
        <f t="shared" si="0"/>
        <v>no</v>
      </c>
      <c r="M36" s="1"/>
      <c r="N36" s="1"/>
    </row>
    <row r="37" spans="6:14" ht="19" hidden="1">
      <c r="F37" t="s">
        <v>1717</v>
      </c>
      <c r="G37" t="e">
        <v>#N/A</v>
      </c>
      <c r="H37" t="s">
        <v>1717</v>
      </c>
      <c r="I37" t="e">
        <v>#N/A</v>
      </c>
      <c r="L37" t="str">
        <f t="shared" si="0"/>
        <v>no</v>
      </c>
      <c r="M37" s="1"/>
      <c r="N37" s="1"/>
    </row>
    <row r="38" spans="6:14" ht="19" hidden="1">
      <c r="F38" t="s">
        <v>1717</v>
      </c>
      <c r="G38" t="e">
        <v>#N/A</v>
      </c>
      <c r="H38" t="s">
        <v>1717</v>
      </c>
      <c r="I38" t="e">
        <v>#N/A</v>
      </c>
      <c r="L38" t="str">
        <f t="shared" si="0"/>
        <v>no</v>
      </c>
      <c r="M38" s="1"/>
      <c r="N38" s="1"/>
    </row>
    <row r="39" spans="6:14" ht="19" hidden="1">
      <c r="F39" t="s">
        <v>1717</v>
      </c>
      <c r="G39" t="e">
        <v>#N/A</v>
      </c>
      <c r="H39" t="s">
        <v>1717</v>
      </c>
      <c r="I39" t="e">
        <v>#N/A</v>
      </c>
      <c r="L39" t="str">
        <f t="shared" si="0"/>
        <v>no</v>
      </c>
      <c r="M39" s="1"/>
      <c r="N39" s="1"/>
    </row>
    <row r="40" spans="6:14" ht="19" hidden="1">
      <c r="F40" t="s">
        <v>1717</v>
      </c>
      <c r="G40" t="e">
        <v>#N/A</v>
      </c>
      <c r="H40" t="s">
        <v>1717</v>
      </c>
      <c r="I40" t="e">
        <v>#N/A</v>
      </c>
      <c r="L40" t="str">
        <f t="shared" si="0"/>
        <v>no</v>
      </c>
      <c r="M40" s="1"/>
      <c r="N40" s="1"/>
    </row>
    <row r="41" spans="6:14" ht="19" hidden="1">
      <c r="F41" t="s">
        <v>1717</v>
      </c>
      <c r="G41" t="e">
        <v>#N/A</v>
      </c>
      <c r="H41" t="s">
        <v>1717</v>
      </c>
      <c r="I41" t="e">
        <v>#N/A</v>
      </c>
      <c r="L41" t="str">
        <f t="shared" si="0"/>
        <v>no</v>
      </c>
      <c r="M41" s="1"/>
      <c r="N41" s="1"/>
    </row>
    <row r="42" spans="6:14" ht="19" hidden="1">
      <c r="F42" t="s">
        <v>1717</v>
      </c>
      <c r="G42" t="e">
        <v>#N/A</v>
      </c>
      <c r="H42" t="s">
        <v>1717</v>
      </c>
      <c r="I42" t="e">
        <v>#N/A</v>
      </c>
      <c r="L42" t="str">
        <f t="shared" si="0"/>
        <v>no</v>
      </c>
      <c r="M42" s="1"/>
      <c r="N42" s="1"/>
    </row>
    <row r="43" spans="6:14" ht="19" hidden="1">
      <c r="F43" t="s">
        <v>1717</v>
      </c>
      <c r="G43" t="e">
        <v>#N/A</v>
      </c>
      <c r="H43" t="s">
        <v>1717</v>
      </c>
      <c r="I43" t="e">
        <v>#N/A</v>
      </c>
      <c r="L43" t="str">
        <f t="shared" si="0"/>
        <v>no</v>
      </c>
      <c r="M43" s="1"/>
      <c r="N43" s="1"/>
    </row>
    <row r="44" spans="6:14" ht="19" hidden="1">
      <c r="F44" t="s">
        <v>1717</v>
      </c>
      <c r="G44" t="e">
        <v>#N/A</v>
      </c>
      <c r="H44" t="s">
        <v>1717</v>
      </c>
      <c r="I44" t="e">
        <v>#N/A</v>
      </c>
      <c r="L44" t="str">
        <f t="shared" si="0"/>
        <v>no</v>
      </c>
      <c r="M44" s="1"/>
      <c r="N44" s="1"/>
    </row>
    <row r="45" spans="6:14" ht="19" hidden="1">
      <c r="F45" t="s">
        <v>1717</v>
      </c>
      <c r="G45" t="e">
        <v>#N/A</v>
      </c>
      <c r="H45" t="s">
        <v>1717</v>
      </c>
      <c r="I45" t="e">
        <v>#N/A</v>
      </c>
      <c r="L45" t="str">
        <f t="shared" si="0"/>
        <v>no</v>
      </c>
      <c r="M45" s="1"/>
      <c r="N45" s="1"/>
    </row>
    <row r="46" spans="6:14" ht="19" hidden="1">
      <c r="F46" t="s">
        <v>1717</v>
      </c>
      <c r="G46" t="e">
        <v>#N/A</v>
      </c>
      <c r="H46" t="s">
        <v>1717</v>
      </c>
      <c r="I46" t="e">
        <v>#N/A</v>
      </c>
      <c r="L46" t="str">
        <f t="shared" si="0"/>
        <v>no</v>
      </c>
      <c r="M46" s="1"/>
      <c r="N46" s="1"/>
    </row>
    <row r="47" spans="6:14" ht="19" hidden="1">
      <c r="F47" t="s">
        <v>1717</v>
      </c>
      <c r="G47" t="e">
        <v>#N/A</v>
      </c>
      <c r="H47" t="s">
        <v>1717</v>
      </c>
      <c r="I47" t="e">
        <v>#N/A</v>
      </c>
      <c r="L47" t="str">
        <f t="shared" si="0"/>
        <v>no</v>
      </c>
      <c r="M47" s="1"/>
      <c r="N47" s="1"/>
    </row>
    <row r="48" spans="6:14" ht="19" hidden="1">
      <c r="F48" t="s">
        <v>1717</v>
      </c>
      <c r="G48" t="e">
        <v>#N/A</v>
      </c>
      <c r="H48" t="s">
        <v>1717</v>
      </c>
      <c r="I48" t="e">
        <v>#N/A</v>
      </c>
      <c r="L48" t="str">
        <f t="shared" si="0"/>
        <v>no</v>
      </c>
      <c r="M48" s="1"/>
      <c r="N48" s="1"/>
    </row>
    <row r="49" spans="6:14" ht="19" hidden="1">
      <c r="F49" t="s">
        <v>1717</v>
      </c>
      <c r="G49" t="e">
        <v>#N/A</v>
      </c>
      <c r="H49" t="s">
        <v>1717</v>
      </c>
      <c r="I49" t="e">
        <v>#N/A</v>
      </c>
      <c r="L49" t="str">
        <f t="shared" si="0"/>
        <v>no</v>
      </c>
      <c r="M49" s="1"/>
      <c r="N49" s="1"/>
    </row>
    <row r="50" spans="6:14" ht="19" hidden="1">
      <c r="F50" t="s">
        <v>1717</v>
      </c>
      <c r="G50" t="e">
        <v>#N/A</v>
      </c>
      <c r="H50" t="s">
        <v>1717</v>
      </c>
      <c r="I50" t="e">
        <v>#N/A</v>
      </c>
      <c r="L50" t="str">
        <f t="shared" si="0"/>
        <v>no</v>
      </c>
      <c r="M50" s="1"/>
      <c r="N50" s="1"/>
    </row>
    <row r="51" spans="6:14" ht="19" hidden="1">
      <c r="F51" t="s">
        <v>1717</v>
      </c>
      <c r="G51" t="e">
        <v>#N/A</v>
      </c>
      <c r="H51" t="s">
        <v>1717</v>
      </c>
      <c r="I51" t="e">
        <v>#N/A</v>
      </c>
      <c r="L51" t="str">
        <f t="shared" si="0"/>
        <v>no</v>
      </c>
      <c r="M51" s="1"/>
      <c r="N51" s="1"/>
    </row>
    <row r="52" spans="6:14" ht="19" hidden="1">
      <c r="F52" t="s">
        <v>1717</v>
      </c>
      <c r="G52" t="e">
        <v>#N/A</v>
      </c>
      <c r="H52" t="s">
        <v>1717</v>
      </c>
      <c r="I52" t="e">
        <v>#N/A</v>
      </c>
      <c r="L52" t="str">
        <f t="shared" si="0"/>
        <v>no</v>
      </c>
      <c r="M52" s="1"/>
      <c r="N52" s="1"/>
    </row>
    <row r="53" spans="6:14" ht="19" hidden="1">
      <c r="F53" t="s">
        <v>1717</v>
      </c>
      <c r="G53" t="e">
        <v>#N/A</v>
      </c>
      <c r="H53" t="s">
        <v>1717</v>
      </c>
      <c r="I53" t="e">
        <v>#N/A</v>
      </c>
      <c r="L53" t="str">
        <f t="shared" si="0"/>
        <v>no</v>
      </c>
      <c r="M53" s="1"/>
      <c r="N53" s="1"/>
    </row>
    <row r="54" spans="6:14" ht="19" hidden="1">
      <c r="F54" t="s">
        <v>1717</v>
      </c>
      <c r="G54" t="e">
        <v>#N/A</v>
      </c>
      <c r="H54" t="s">
        <v>1717</v>
      </c>
      <c r="I54" t="e">
        <v>#N/A</v>
      </c>
      <c r="L54" t="str">
        <f t="shared" si="0"/>
        <v>no</v>
      </c>
      <c r="M54" s="1"/>
      <c r="N54" s="1"/>
    </row>
    <row r="55" spans="6:14" ht="19" hidden="1">
      <c r="F55" t="s">
        <v>1717</v>
      </c>
      <c r="G55" t="e">
        <v>#N/A</v>
      </c>
      <c r="H55" t="s">
        <v>1717</v>
      </c>
      <c r="I55" t="e">
        <v>#N/A</v>
      </c>
      <c r="L55" t="str">
        <f t="shared" si="0"/>
        <v>no</v>
      </c>
      <c r="M55" s="1"/>
      <c r="N55" s="1"/>
    </row>
    <row r="56" spans="6:14" ht="19" hidden="1">
      <c r="F56" t="s">
        <v>1717</v>
      </c>
      <c r="G56" t="e">
        <v>#N/A</v>
      </c>
      <c r="H56" t="s">
        <v>1717</v>
      </c>
      <c r="I56" t="e">
        <v>#N/A</v>
      </c>
      <c r="L56" t="str">
        <f t="shared" si="0"/>
        <v>no</v>
      </c>
      <c r="M56" s="1"/>
      <c r="N56" s="1"/>
    </row>
    <row r="57" spans="6:14" ht="19" hidden="1">
      <c r="F57" t="s">
        <v>1717</v>
      </c>
      <c r="G57" t="e">
        <v>#N/A</v>
      </c>
      <c r="H57" t="s">
        <v>1717</v>
      </c>
      <c r="I57" t="e">
        <v>#N/A</v>
      </c>
      <c r="L57" t="str">
        <f t="shared" si="0"/>
        <v>no</v>
      </c>
      <c r="M57" s="1"/>
      <c r="N57" s="1"/>
    </row>
    <row r="58" spans="6:14" ht="19" hidden="1">
      <c r="F58" t="s">
        <v>1717</v>
      </c>
      <c r="G58" t="e">
        <v>#N/A</v>
      </c>
      <c r="H58" t="s">
        <v>1717</v>
      </c>
      <c r="I58" t="e">
        <v>#N/A</v>
      </c>
      <c r="L58" t="str">
        <f t="shared" si="0"/>
        <v>no</v>
      </c>
      <c r="M58" s="1"/>
      <c r="N58" s="1"/>
    </row>
    <row r="59" spans="6:14" ht="19" hidden="1">
      <c r="F59" t="s">
        <v>1717</v>
      </c>
      <c r="G59" t="e">
        <v>#N/A</v>
      </c>
      <c r="H59" t="s">
        <v>1717</v>
      </c>
      <c r="I59" t="e">
        <v>#N/A</v>
      </c>
      <c r="L59" t="str">
        <f t="shared" si="0"/>
        <v>no</v>
      </c>
      <c r="M59" s="1"/>
      <c r="N59" s="1"/>
    </row>
    <row r="60" spans="6:14" ht="19" hidden="1">
      <c r="F60" t="s">
        <v>1717</v>
      </c>
      <c r="G60" t="e">
        <v>#N/A</v>
      </c>
      <c r="H60" t="s">
        <v>1717</v>
      </c>
      <c r="I60" t="e">
        <v>#N/A</v>
      </c>
      <c r="L60" t="str">
        <f t="shared" si="0"/>
        <v>no</v>
      </c>
      <c r="M60" s="1"/>
      <c r="N60" s="1"/>
    </row>
    <row r="61" spans="6:14" ht="19" hidden="1">
      <c r="F61" t="s">
        <v>1717</v>
      </c>
      <c r="G61" t="e">
        <v>#N/A</v>
      </c>
      <c r="H61" t="s">
        <v>1717</v>
      </c>
      <c r="I61" t="e">
        <v>#N/A</v>
      </c>
      <c r="L61" t="str">
        <f t="shared" si="0"/>
        <v>no</v>
      </c>
      <c r="M61" s="1"/>
      <c r="N61" s="1"/>
    </row>
    <row r="62" spans="6:14" ht="19" hidden="1">
      <c r="F62" t="s">
        <v>1717</v>
      </c>
      <c r="G62" t="e">
        <v>#N/A</v>
      </c>
      <c r="H62" t="s">
        <v>1717</v>
      </c>
      <c r="I62" t="e">
        <v>#N/A</v>
      </c>
      <c r="L62" t="str">
        <f t="shared" si="0"/>
        <v>no</v>
      </c>
      <c r="M62" s="1"/>
      <c r="N62" s="1"/>
    </row>
    <row r="63" spans="6:14" ht="19" hidden="1">
      <c r="F63" t="s">
        <v>1717</v>
      </c>
      <c r="G63" t="e">
        <v>#N/A</v>
      </c>
      <c r="H63" t="s">
        <v>1717</v>
      </c>
      <c r="I63" t="e">
        <v>#N/A</v>
      </c>
      <c r="L63" t="str">
        <f t="shared" si="0"/>
        <v>no</v>
      </c>
      <c r="M63" s="1"/>
      <c r="N63" s="1"/>
    </row>
    <row r="64" spans="6:14" ht="19" hidden="1">
      <c r="F64" t="s">
        <v>1717</v>
      </c>
      <c r="G64" t="e">
        <v>#N/A</v>
      </c>
      <c r="H64" t="s">
        <v>1717</v>
      </c>
      <c r="I64" t="e">
        <v>#N/A</v>
      </c>
      <c r="L64" t="str">
        <f t="shared" si="0"/>
        <v>no</v>
      </c>
      <c r="M64" s="1"/>
      <c r="N64" s="1"/>
    </row>
    <row r="65" spans="6:14" ht="19" hidden="1">
      <c r="F65" t="s">
        <v>1717</v>
      </c>
      <c r="G65" t="e">
        <v>#N/A</v>
      </c>
      <c r="H65" t="s">
        <v>1717</v>
      </c>
      <c r="I65" t="e">
        <v>#N/A</v>
      </c>
      <c r="L65" t="str">
        <f t="shared" si="0"/>
        <v>no</v>
      </c>
      <c r="M65" s="1"/>
      <c r="N65" s="1"/>
    </row>
    <row r="66" spans="6:14" ht="19" hidden="1">
      <c r="F66" t="s">
        <v>1717</v>
      </c>
      <c r="G66" t="e">
        <v>#N/A</v>
      </c>
      <c r="H66" t="s">
        <v>1717</v>
      </c>
      <c r="I66" t="e">
        <v>#N/A</v>
      </c>
      <c r="L66" t="str">
        <f t="shared" si="0"/>
        <v>no</v>
      </c>
      <c r="M66" s="1"/>
      <c r="N66" s="1"/>
    </row>
    <row r="67" spans="6:14" ht="19" hidden="1">
      <c r="F67" t="s">
        <v>1717</v>
      </c>
      <c r="G67" t="e">
        <v>#N/A</v>
      </c>
      <c r="H67" t="s">
        <v>1717</v>
      </c>
      <c r="I67" t="e">
        <v>#N/A</v>
      </c>
      <c r="L67" t="str">
        <f t="shared" ref="L67:L130" si="1">IF(COUNTIF(M:M, B67)&gt;0,$M$1,IF(COUNTIF(N:N, B67)&gt;0,$N$1,"no"))</f>
        <v>no</v>
      </c>
      <c r="M67" s="1"/>
      <c r="N67" s="1"/>
    </row>
    <row r="68" spans="6:14" ht="19" hidden="1">
      <c r="F68" t="s">
        <v>1717</v>
      </c>
      <c r="G68" t="e">
        <v>#N/A</v>
      </c>
      <c r="H68" t="s">
        <v>1717</v>
      </c>
      <c r="I68" t="e">
        <v>#N/A</v>
      </c>
      <c r="L68" t="str">
        <f t="shared" si="1"/>
        <v>no</v>
      </c>
      <c r="M68" s="1"/>
      <c r="N68" s="1"/>
    </row>
    <row r="69" spans="6:14" ht="19" hidden="1">
      <c r="F69" t="s">
        <v>1717</v>
      </c>
      <c r="G69" t="e">
        <v>#N/A</v>
      </c>
      <c r="H69" t="s">
        <v>1717</v>
      </c>
      <c r="I69" t="e">
        <v>#N/A</v>
      </c>
      <c r="L69" t="str">
        <f t="shared" si="1"/>
        <v>no</v>
      </c>
      <c r="M69" s="1"/>
      <c r="N69" s="1"/>
    </row>
    <row r="70" spans="6:14" ht="19" hidden="1">
      <c r="F70" t="s">
        <v>1717</v>
      </c>
      <c r="G70" t="e">
        <v>#N/A</v>
      </c>
      <c r="H70" t="s">
        <v>1717</v>
      </c>
      <c r="I70" t="e">
        <v>#N/A</v>
      </c>
      <c r="L70" t="str">
        <f t="shared" si="1"/>
        <v>no</v>
      </c>
      <c r="M70" s="1"/>
      <c r="N70" s="1"/>
    </row>
    <row r="71" spans="6:14" ht="19" hidden="1">
      <c r="F71" t="s">
        <v>1717</v>
      </c>
      <c r="G71" t="e">
        <v>#N/A</v>
      </c>
      <c r="H71" t="s">
        <v>1717</v>
      </c>
      <c r="I71" t="e">
        <v>#N/A</v>
      </c>
      <c r="L71" t="str">
        <f t="shared" si="1"/>
        <v>no</v>
      </c>
      <c r="M71" s="1"/>
      <c r="N71" s="1"/>
    </row>
    <row r="72" spans="6:14" ht="19" hidden="1">
      <c r="F72" t="s">
        <v>1717</v>
      </c>
      <c r="G72" t="e">
        <v>#N/A</v>
      </c>
      <c r="H72" t="s">
        <v>1717</v>
      </c>
      <c r="I72" t="e">
        <v>#N/A</v>
      </c>
      <c r="L72" t="str">
        <f t="shared" si="1"/>
        <v>no</v>
      </c>
      <c r="M72" s="1"/>
      <c r="N72" s="1"/>
    </row>
    <row r="73" spans="6:14" ht="19" hidden="1">
      <c r="F73" t="s">
        <v>1717</v>
      </c>
      <c r="G73" t="e">
        <v>#N/A</v>
      </c>
      <c r="H73" t="s">
        <v>1717</v>
      </c>
      <c r="I73" t="e">
        <v>#N/A</v>
      </c>
      <c r="L73" t="str">
        <f t="shared" si="1"/>
        <v>no</v>
      </c>
      <c r="M73" s="1"/>
      <c r="N73" s="1"/>
    </row>
    <row r="74" spans="6:14" ht="19" hidden="1">
      <c r="F74" t="s">
        <v>1717</v>
      </c>
      <c r="G74" t="e">
        <v>#N/A</v>
      </c>
      <c r="H74" t="s">
        <v>1717</v>
      </c>
      <c r="I74" t="e">
        <v>#N/A</v>
      </c>
      <c r="L74" t="str">
        <f t="shared" si="1"/>
        <v>no</v>
      </c>
      <c r="M74" s="1"/>
      <c r="N74" s="1"/>
    </row>
    <row r="75" spans="6:14" ht="19" hidden="1">
      <c r="F75" t="s">
        <v>1717</v>
      </c>
      <c r="G75" t="e">
        <v>#N/A</v>
      </c>
      <c r="H75" t="s">
        <v>1717</v>
      </c>
      <c r="I75" t="e">
        <v>#N/A</v>
      </c>
      <c r="L75" t="str">
        <f t="shared" si="1"/>
        <v>no</v>
      </c>
      <c r="M75" s="1"/>
      <c r="N75" s="1"/>
    </row>
    <row r="76" spans="6:14" ht="19" hidden="1">
      <c r="F76" t="s">
        <v>1717</v>
      </c>
      <c r="G76" t="e">
        <v>#N/A</v>
      </c>
      <c r="H76" t="s">
        <v>1717</v>
      </c>
      <c r="I76" t="e">
        <v>#N/A</v>
      </c>
      <c r="L76" t="str">
        <f t="shared" si="1"/>
        <v>no</v>
      </c>
      <c r="M76" s="1"/>
      <c r="N76" s="1"/>
    </row>
    <row r="77" spans="6:14" ht="19" hidden="1">
      <c r="F77" t="s">
        <v>1717</v>
      </c>
      <c r="G77" t="e">
        <v>#N/A</v>
      </c>
      <c r="H77" t="s">
        <v>1717</v>
      </c>
      <c r="I77" t="e">
        <v>#N/A</v>
      </c>
      <c r="L77" t="str">
        <f t="shared" si="1"/>
        <v>no</v>
      </c>
      <c r="M77" s="1"/>
      <c r="N77" s="1"/>
    </row>
    <row r="78" spans="6:14" ht="19" hidden="1">
      <c r="F78" t="s">
        <v>1717</v>
      </c>
      <c r="G78" t="e">
        <v>#N/A</v>
      </c>
      <c r="H78" t="s">
        <v>1717</v>
      </c>
      <c r="I78" t="e">
        <v>#N/A</v>
      </c>
      <c r="L78" t="str">
        <f t="shared" si="1"/>
        <v>no</v>
      </c>
      <c r="M78" s="1"/>
      <c r="N78" s="1"/>
    </row>
    <row r="79" spans="6:14" ht="19" hidden="1">
      <c r="F79" t="s">
        <v>1717</v>
      </c>
      <c r="G79" t="e">
        <v>#N/A</v>
      </c>
      <c r="H79" t="s">
        <v>1717</v>
      </c>
      <c r="I79" t="e">
        <v>#N/A</v>
      </c>
      <c r="L79" t="str">
        <f t="shared" si="1"/>
        <v>no</v>
      </c>
      <c r="M79" s="1"/>
      <c r="N79" s="1"/>
    </row>
    <row r="80" spans="6:14" ht="19" hidden="1">
      <c r="F80" t="s">
        <v>1717</v>
      </c>
      <c r="G80" t="e">
        <v>#N/A</v>
      </c>
      <c r="H80" t="s">
        <v>1717</v>
      </c>
      <c r="I80" t="e">
        <v>#N/A</v>
      </c>
      <c r="L80" t="str">
        <f t="shared" si="1"/>
        <v>no</v>
      </c>
      <c r="M80" s="1"/>
      <c r="N80" s="1"/>
    </row>
    <row r="81" spans="6:12" hidden="1">
      <c r="F81" t="s">
        <v>1717</v>
      </c>
      <c r="G81" t="e">
        <v>#N/A</v>
      </c>
      <c r="H81" t="s">
        <v>1717</v>
      </c>
      <c r="I81" t="e">
        <v>#N/A</v>
      </c>
      <c r="L81" t="str">
        <f t="shared" si="1"/>
        <v>no</v>
      </c>
    </row>
    <row r="82" spans="6:12" hidden="1">
      <c r="F82" t="s">
        <v>1717</v>
      </c>
      <c r="G82" t="e">
        <v>#N/A</v>
      </c>
      <c r="H82" t="s">
        <v>1717</v>
      </c>
      <c r="I82" t="e">
        <v>#N/A</v>
      </c>
      <c r="L82" t="str">
        <f t="shared" si="1"/>
        <v>no</v>
      </c>
    </row>
    <row r="83" spans="6:12" hidden="1">
      <c r="F83" t="s">
        <v>1717</v>
      </c>
      <c r="G83" t="e">
        <v>#N/A</v>
      </c>
      <c r="H83" t="s">
        <v>1717</v>
      </c>
      <c r="I83" t="e">
        <v>#N/A</v>
      </c>
      <c r="L83" t="str">
        <f t="shared" si="1"/>
        <v>no</v>
      </c>
    </row>
    <row r="84" spans="6:12" hidden="1">
      <c r="F84" t="s">
        <v>1717</v>
      </c>
      <c r="G84" t="e">
        <v>#N/A</v>
      </c>
      <c r="H84" t="s">
        <v>1717</v>
      </c>
      <c r="I84" t="e">
        <v>#N/A</v>
      </c>
      <c r="L84" t="str">
        <f t="shared" si="1"/>
        <v>no</v>
      </c>
    </row>
    <row r="85" spans="6:12" hidden="1">
      <c r="F85" t="s">
        <v>1717</v>
      </c>
      <c r="G85" t="e">
        <v>#N/A</v>
      </c>
      <c r="H85" t="s">
        <v>1717</v>
      </c>
      <c r="I85" t="e">
        <v>#N/A</v>
      </c>
      <c r="L85" t="str">
        <f t="shared" si="1"/>
        <v>no</v>
      </c>
    </row>
    <row r="86" spans="6:12" hidden="1">
      <c r="F86" t="s">
        <v>1717</v>
      </c>
      <c r="G86" t="e">
        <v>#N/A</v>
      </c>
      <c r="H86" t="s">
        <v>1717</v>
      </c>
      <c r="I86" t="e">
        <v>#N/A</v>
      </c>
      <c r="L86" t="str">
        <f t="shared" si="1"/>
        <v>no</v>
      </c>
    </row>
    <row r="87" spans="6:12" hidden="1">
      <c r="F87" t="s">
        <v>1717</v>
      </c>
      <c r="G87" t="e">
        <v>#N/A</v>
      </c>
      <c r="H87" t="s">
        <v>1717</v>
      </c>
      <c r="I87" t="e">
        <v>#N/A</v>
      </c>
      <c r="L87" t="str">
        <f t="shared" si="1"/>
        <v>no</v>
      </c>
    </row>
    <row r="88" spans="6:12" hidden="1">
      <c r="F88" t="s">
        <v>1717</v>
      </c>
      <c r="G88" t="e">
        <v>#N/A</v>
      </c>
      <c r="H88" t="s">
        <v>1717</v>
      </c>
      <c r="I88" t="e">
        <v>#N/A</v>
      </c>
      <c r="L88" t="str">
        <f t="shared" si="1"/>
        <v>no</v>
      </c>
    </row>
    <row r="89" spans="6:12" hidden="1">
      <c r="F89" t="s">
        <v>1717</v>
      </c>
      <c r="G89" t="e">
        <v>#N/A</v>
      </c>
      <c r="H89" t="s">
        <v>1717</v>
      </c>
      <c r="I89" t="e">
        <v>#N/A</v>
      </c>
      <c r="L89" t="str">
        <f t="shared" si="1"/>
        <v>no</v>
      </c>
    </row>
    <row r="90" spans="6:12" hidden="1">
      <c r="F90" t="s">
        <v>1717</v>
      </c>
      <c r="G90" t="e">
        <v>#N/A</v>
      </c>
      <c r="H90" t="s">
        <v>1717</v>
      </c>
      <c r="I90" t="e">
        <v>#N/A</v>
      </c>
      <c r="L90" t="str">
        <f t="shared" si="1"/>
        <v>no</v>
      </c>
    </row>
    <row r="91" spans="6:12" hidden="1">
      <c r="F91" t="s">
        <v>1717</v>
      </c>
      <c r="G91" t="e">
        <v>#N/A</v>
      </c>
      <c r="H91" t="s">
        <v>1717</v>
      </c>
      <c r="I91" t="e">
        <v>#N/A</v>
      </c>
      <c r="L91" t="str">
        <f t="shared" si="1"/>
        <v>no</v>
      </c>
    </row>
    <row r="92" spans="6:12" hidden="1">
      <c r="F92" t="s">
        <v>1717</v>
      </c>
      <c r="G92" t="e">
        <v>#N/A</v>
      </c>
      <c r="H92" t="s">
        <v>1717</v>
      </c>
      <c r="I92" t="e">
        <v>#N/A</v>
      </c>
      <c r="L92" t="str">
        <f t="shared" si="1"/>
        <v>no</v>
      </c>
    </row>
    <row r="93" spans="6:12" hidden="1">
      <c r="F93" t="s">
        <v>1717</v>
      </c>
      <c r="G93" t="e">
        <v>#N/A</v>
      </c>
      <c r="H93" t="s">
        <v>1717</v>
      </c>
      <c r="I93" t="e">
        <v>#N/A</v>
      </c>
      <c r="L93" t="str">
        <f t="shared" si="1"/>
        <v>no</v>
      </c>
    </row>
    <row r="94" spans="6:12" hidden="1">
      <c r="F94" t="s">
        <v>1717</v>
      </c>
      <c r="G94" t="e">
        <v>#N/A</v>
      </c>
      <c r="H94" t="s">
        <v>1717</v>
      </c>
      <c r="I94" t="e">
        <v>#N/A</v>
      </c>
      <c r="L94" t="str">
        <f t="shared" si="1"/>
        <v>no</v>
      </c>
    </row>
    <row r="95" spans="6:12" hidden="1">
      <c r="F95" t="s">
        <v>1717</v>
      </c>
      <c r="G95" t="e">
        <v>#N/A</v>
      </c>
      <c r="H95" t="s">
        <v>1717</v>
      </c>
      <c r="I95" t="e">
        <v>#N/A</v>
      </c>
      <c r="L95" t="str">
        <f t="shared" si="1"/>
        <v>no</v>
      </c>
    </row>
    <row r="96" spans="6:12" hidden="1">
      <c r="F96" t="s">
        <v>1717</v>
      </c>
      <c r="G96" t="e">
        <v>#N/A</v>
      </c>
      <c r="H96" t="s">
        <v>1717</v>
      </c>
      <c r="I96" t="e">
        <v>#N/A</v>
      </c>
      <c r="L96" t="str">
        <f t="shared" si="1"/>
        <v>no</v>
      </c>
    </row>
    <row r="97" spans="6:12" hidden="1">
      <c r="F97" t="s">
        <v>1717</v>
      </c>
      <c r="G97" t="e">
        <v>#N/A</v>
      </c>
      <c r="H97" t="s">
        <v>1717</v>
      </c>
      <c r="I97" t="e">
        <v>#N/A</v>
      </c>
      <c r="L97" t="str">
        <f t="shared" si="1"/>
        <v>no</v>
      </c>
    </row>
    <row r="98" spans="6:12" hidden="1">
      <c r="F98" t="s">
        <v>1717</v>
      </c>
      <c r="G98" t="e">
        <v>#N/A</v>
      </c>
      <c r="H98" t="s">
        <v>1717</v>
      </c>
      <c r="I98" t="e">
        <v>#N/A</v>
      </c>
      <c r="L98" t="str">
        <f t="shared" si="1"/>
        <v>no</v>
      </c>
    </row>
    <row r="99" spans="6:12" hidden="1">
      <c r="F99" t="s">
        <v>1717</v>
      </c>
      <c r="G99" t="e">
        <v>#N/A</v>
      </c>
      <c r="H99" t="s">
        <v>1717</v>
      </c>
      <c r="I99" t="e">
        <v>#N/A</v>
      </c>
      <c r="L99" t="str">
        <f t="shared" si="1"/>
        <v>no</v>
      </c>
    </row>
    <row r="100" spans="6:12" hidden="1">
      <c r="F100" t="s">
        <v>1717</v>
      </c>
      <c r="G100" t="e">
        <v>#N/A</v>
      </c>
      <c r="H100" t="s">
        <v>1717</v>
      </c>
      <c r="I100" t="e">
        <v>#N/A</v>
      </c>
      <c r="L100" t="str">
        <f t="shared" si="1"/>
        <v>no</v>
      </c>
    </row>
    <row r="101" spans="6:12" hidden="1">
      <c r="F101" t="s">
        <v>1717</v>
      </c>
      <c r="G101" t="e">
        <v>#N/A</v>
      </c>
      <c r="H101" t="s">
        <v>1717</v>
      </c>
      <c r="I101" t="e">
        <v>#N/A</v>
      </c>
      <c r="L101" t="str">
        <f t="shared" si="1"/>
        <v>no</v>
      </c>
    </row>
    <row r="102" spans="6:12" hidden="1">
      <c r="F102" t="s">
        <v>1717</v>
      </c>
      <c r="G102" t="e">
        <v>#N/A</v>
      </c>
      <c r="H102" t="s">
        <v>1717</v>
      </c>
      <c r="I102" t="e">
        <v>#N/A</v>
      </c>
      <c r="L102" t="str">
        <f t="shared" si="1"/>
        <v>no</v>
      </c>
    </row>
    <row r="103" spans="6:12" hidden="1">
      <c r="F103" t="s">
        <v>1717</v>
      </c>
      <c r="G103" t="e">
        <v>#N/A</v>
      </c>
      <c r="H103" t="s">
        <v>1717</v>
      </c>
      <c r="I103" t="e">
        <v>#N/A</v>
      </c>
      <c r="L103" t="str">
        <f t="shared" si="1"/>
        <v>no</v>
      </c>
    </row>
    <row r="104" spans="6:12" hidden="1">
      <c r="F104" t="s">
        <v>1717</v>
      </c>
      <c r="G104" t="e">
        <v>#N/A</v>
      </c>
      <c r="H104" t="s">
        <v>1717</v>
      </c>
      <c r="I104" t="e">
        <v>#N/A</v>
      </c>
      <c r="L104" t="str">
        <f t="shared" si="1"/>
        <v>no</v>
      </c>
    </row>
    <row r="105" spans="6:12" hidden="1">
      <c r="F105" t="s">
        <v>1717</v>
      </c>
      <c r="G105" t="e">
        <v>#N/A</v>
      </c>
      <c r="H105" t="s">
        <v>1717</v>
      </c>
      <c r="I105" t="e">
        <v>#N/A</v>
      </c>
      <c r="L105" t="str">
        <f t="shared" si="1"/>
        <v>no</v>
      </c>
    </row>
    <row r="106" spans="6:12" hidden="1">
      <c r="F106" t="s">
        <v>1717</v>
      </c>
      <c r="G106" t="e">
        <v>#N/A</v>
      </c>
      <c r="H106" t="s">
        <v>1717</v>
      </c>
      <c r="I106" t="e">
        <v>#N/A</v>
      </c>
      <c r="L106" t="str">
        <f t="shared" si="1"/>
        <v>no</v>
      </c>
    </row>
    <row r="107" spans="6:12" hidden="1">
      <c r="F107" t="s">
        <v>1717</v>
      </c>
      <c r="G107" t="e">
        <v>#N/A</v>
      </c>
      <c r="H107" t="s">
        <v>1717</v>
      </c>
      <c r="I107" t="e">
        <v>#N/A</v>
      </c>
      <c r="L107" t="str">
        <f t="shared" si="1"/>
        <v>no</v>
      </c>
    </row>
    <row r="108" spans="6:12" hidden="1">
      <c r="F108" t="s">
        <v>1717</v>
      </c>
      <c r="G108" t="e">
        <v>#N/A</v>
      </c>
      <c r="H108" t="s">
        <v>1717</v>
      </c>
      <c r="I108" t="e">
        <v>#N/A</v>
      </c>
      <c r="L108" t="str">
        <f t="shared" si="1"/>
        <v>no</v>
      </c>
    </row>
    <row r="109" spans="6:12" hidden="1">
      <c r="F109" t="s">
        <v>1717</v>
      </c>
      <c r="G109" t="e">
        <v>#N/A</v>
      </c>
      <c r="H109" t="s">
        <v>1717</v>
      </c>
      <c r="I109" t="e">
        <v>#N/A</v>
      </c>
      <c r="L109" t="str">
        <f t="shared" si="1"/>
        <v>no</v>
      </c>
    </row>
    <row r="110" spans="6:12" hidden="1">
      <c r="F110" t="s">
        <v>1717</v>
      </c>
      <c r="G110" t="e">
        <v>#N/A</v>
      </c>
      <c r="H110" t="s">
        <v>1717</v>
      </c>
      <c r="I110" t="e">
        <v>#N/A</v>
      </c>
      <c r="L110" t="str">
        <f t="shared" si="1"/>
        <v>no</v>
      </c>
    </row>
    <row r="111" spans="6:12" hidden="1">
      <c r="F111" t="s">
        <v>1717</v>
      </c>
      <c r="G111" t="e">
        <v>#N/A</v>
      </c>
      <c r="H111" t="s">
        <v>1717</v>
      </c>
      <c r="I111" t="e">
        <v>#N/A</v>
      </c>
      <c r="L111" t="str">
        <f t="shared" si="1"/>
        <v>no</v>
      </c>
    </row>
    <row r="112" spans="6:12" hidden="1">
      <c r="F112" t="s">
        <v>1717</v>
      </c>
      <c r="G112" t="e">
        <v>#N/A</v>
      </c>
      <c r="H112" t="s">
        <v>1717</v>
      </c>
      <c r="I112" t="e">
        <v>#N/A</v>
      </c>
      <c r="L112" t="str">
        <f t="shared" si="1"/>
        <v>no</v>
      </c>
    </row>
    <row r="113" spans="6:12" hidden="1">
      <c r="F113" t="s">
        <v>1717</v>
      </c>
      <c r="G113" t="e">
        <v>#N/A</v>
      </c>
      <c r="H113" t="s">
        <v>1717</v>
      </c>
      <c r="I113" t="e">
        <v>#N/A</v>
      </c>
      <c r="L113" t="str">
        <f t="shared" si="1"/>
        <v>no</v>
      </c>
    </row>
    <row r="114" spans="6:12" hidden="1">
      <c r="F114" t="s">
        <v>1717</v>
      </c>
      <c r="G114" t="e">
        <v>#N/A</v>
      </c>
      <c r="H114" t="s">
        <v>1717</v>
      </c>
      <c r="I114" t="e">
        <v>#N/A</v>
      </c>
      <c r="L114" t="str">
        <f t="shared" si="1"/>
        <v>no</v>
      </c>
    </row>
    <row r="115" spans="6:12" hidden="1">
      <c r="F115" t="s">
        <v>1717</v>
      </c>
      <c r="G115" t="e">
        <v>#N/A</v>
      </c>
      <c r="H115" t="s">
        <v>1717</v>
      </c>
      <c r="I115" t="e">
        <v>#N/A</v>
      </c>
      <c r="L115" t="str">
        <f t="shared" si="1"/>
        <v>no</v>
      </c>
    </row>
    <row r="116" spans="6:12" hidden="1">
      <c r="F116" t="s">
        <v>1717</v>
      </c>
      <c r="G116" t="e">
        <v>#N/A</v>
      </c>
      <c r="H116" t="s">
        <v>1717</v>
      </c>
      <c r="I116" t="e">
        <v>#N/A</v>
      </c>
      <c r="L116" t="str">
        <f t="shared" si="1"/>
        <v>no</v>
      </c>
    </row>
    <row r="117" spans="6:12" hidden="1">
      <c r="F117" t="s">
        <v>1717</v>
      </c>
      <c r="G117" t="e">
        <v>#N/A</v>
      </c>
      <c r="H117" t="s">
        <v>1717</v>
      </c>
      <c r="I117" t="e">
        <v>#N/A</v>
      </c>
      <c r="L117" t="str">
        <f t="shared" si="1"/>
        <v>no</v>
      </c>
    </row>
    <row r="118" spans="6:12" hidden="1">
      <c r="F118" t="s">
        <v>1717</v>
      </c>
      <c r="G118" t="e">
        <v>#N/A</v>
      </c>
      <c r="H118" t="s">
        <v>1717</v>
      </c>
      <c r="I118" t="e">
        <v>#N/A</v>
      </c>
      <c r="L118" t="str">
        <f t="shared" si="1"/>
        <v>no</v>
      </c>
    </row>
    <row r="119" spans="6:12" hidden="1">
      <c r="F119" t="s">
        <v>1717</v>
      </c>
      <c r="G119" t="e">
        <v>#N/A</v>
      </c>
      <c r="H119" t="s">
        <v>1717</v>
      </c>
      <c r="I119" t="e">
        <v>#N/A</v>
      </c>
      <c r="L119" t="str">
        <f t="shared" si="1"/>
        <v>no</v>
      </c>
    </row>
    <row r="120" spans="6:12" hidden="1">
      <c r="F120" t="s">
        <v>1717</v>
      </c>
      <c r="G120" t="e">
        <v>#N/A</v>
      </c>
      <c r="H120" t="s">
        <v>1717</v>
      </c>
      <c r="I120" t="e">
        <v>#N/A</v>
      </c>
      <c r="L120" t="str">
        <f t="shared" si="1"/>
        <v>no</v>
      </c>
    </row>
    <row r="121" spans="6:12" hidden="1">
      <c r="F121" t="s">
        <v>1717</v>
      </c>
      <c r="G121" t="e">
        <v>#N/A</v>
      </c>
      <c r="H121" t="s">
        <v>1717</v>
      </c>
      <c r="I121" t="e">
        <v>#N/A</v>
      </c>
      <c r="L121" t="str">
        <f t="shared" si="1"/>
        <v>no</v>
      </c>
    </row>
    <row r="122" spans="6:12" hidden="1">
      <c r="F122" t="s">
        <v>1717</v>
      </c>
      <c r="G122" t="e">
        <v>#N/A</v>
      </c>
      <c r="H122" t="s">
        <v>1717</v>
      </c>
      <c r="I122" t="e">
        <v>#N/A</v>
      </c>
      <c r="L122" t="str">
        <f t="shared" si="1"/>
        <v>no</v>
      </c>
    </row>
    <row r="123" spans="6:12" hidden="1">
      <c r="F123" t="s">
        <v>1717</v>
      </c>
      <c r="G123" t="e">
        <v>#N/A</v>
      </c>
      <c r="H123" t="s">
        <v>1717</v>
      </c>
      <c r="I123" t="e">
        <v>#N/A</v>
      </c>
      <c r="L123" t="str">
        <f t="shared" si="1"/>
        <v>no</v>
      </c>
    </row>
    <row r="124" spans="6:12" hidden="1">
      <c r="F124" t="s">
        <v>1717</v>
      </c>
      <c r="G124" t="e">
        <v>#N/A</v>
      </c>
      <c r="H124" t="s">
        <v>1717</v>
      </c>
      <c r="I124" t="e">
        <v>#N/A</v>
      </c>
      <c r="L124" t="str">
        <f t="shared" si="1"/>
        <v>no</v>
      </c>
    </row>
    <row r="125" spans="6:12" hidden="1">
      <c r="F125" t="s">
        <v>1717</v>
      </c>
      <c r="G125" t="e">
        <v>#N/A</v>
      </c>
      <c r="H125" t="s">
        <v>1717</v>
      </c>
      <c r="I125" t="e">
        <v>#N/A</v>
      </c>
      <c r="L125" t="str">
        <f t="shared" si="1"/>
        <v>no</v>
      </c>
    </row>
    <row r="126" spans="6:12" hidden="1">
      <c r="F126" t="s">
        <v>1717</v>
      </c>
      <c r="G126" t="e">
        <v>#N/A</v>
      </c>
      <c r="H126" t="s">
        <v>1717</v>
      </c>
      <c r="I126" t="e">
        <v>#N/A</v>
      </c>
      <c r="L126" t="str">
        <f t="shared" si="1"/>
        <v>no</v>
      </c>
    </row>
    <row r="127" spans="6:12" hidden="1">
      <c r="F127" t="s">
        <v>1717</v>
      </c>
      <c r="G127" t="e">
        <v>#N/A</v>
      </c>
      <c r="H127" t="s">
        <v>1717</v>
      </c>
      <c r="I127" t="e">
        <v>#N/A</v>
      </c>
      <c r="L127" t="str">
        <f t="shared" si="1"/>
        <v>no</v>
      </c>
    </row>
    <row r="128" spans="6:12" hidden="1">
      <c r="F128" t="s">
        <v>1717</v>
      </c>
      <c r="G128" t="e">
        <v>#N/A</v>
      </c>
      <c r="H128" t="s">
        <v>1717</v>
      </c>
      <c r="I128" t="e">
        <v>#N/A</v>
      </c>
      <c r="L128" t="str">
        <f t="shared" si="1"/>
        <v>no</v>
      </c>
    </row>
    <row r="129" spans="6:12" hidden="1">
      <c r="F129" t="s">
        <v>1717</v>
      </c>
      <c r="G129" t="e">
        <v>#N/A</v>
      </c>
      <c r="H129" t="s">
        <v>1717</v>
      </c>
      <c r="I129" t="e">
        <v>#N/A</v>
      </c>
      <c r="L129" t="str">
        <f t="shared" si="1"/>
        <v>no</v>
      </c>
    </row>
    <row r="130" spans="6:12" hidden="1">
      <c r="F130" t="s">
        <v>1717</v>
      </c>
      <c r="G130" t="e">
        <v>#N/A</v>
      </c>
      <c r="H130" t="s">
        <v>1717</v>
      </c>
      <c r="I130" t="e">
        <v>#N/A</v>
      </c>
      <c r="L130" t="str">
        <f t="shared" si="1"/>
        <v>no</v>
      </c>
    </row>
    <row r="131" spans="6:12" hidden="1">
      <c r="F131" t="s">
        <v>1717</v>
      </c>
      <c r="G131" t="e">
        <v>#N/A</v>
      </c>
      <c r="H131" t="s">
        <v>1717</v>
      </c>
      <c r="I131" t="e">
        <v>#N/A</v>
      </c>
      <c r="L131" t="str">
        <f t="shared" ref="L131:L142" si="2">IF(COUNTIF(M:M, B131)&gt;0,$M$1,IF(COUNTIF(N:N, B131)&gt;0,$N$1,"no"))</f>
        <v>no</v>
      </c>
    </row>
    <row r="132" spans="6:12" hidden="1">
      <c r="F132" t="s">
        <v>1717</v>
      </c>
      <c r="G132" t="e">
        <v>#N/A</v>
      </c>
      <c r="H132" t="s">
        <v>1717</v>
      </c>
      <c r="I132" t="e">
        <v>#N/A</v>
      </c>
      <c r="L132" t="str">
        <f t="shared" si="2"/>
        <v>no</v>
      </c>
    </row>
    <row r="133" spans="6:12" hidden="1">
      <c r="F133" t="s">
        <v>1717</v>
      </c>
      <c r="G133" t="e">
        <v>#N/A</v>
      </c>
      <c r="H133" t="s">
        <v>1717</v>
      </c>
      <c r="I133" t="e">
        <v>#N/A</v>
      </c>
      <c r="L133" t="str">
        <f t="shared" si="2"/>
        <v>no</v>
      </c>
    </row>
    <row r="134" spans="6:12" hidden="1">
      <c r="F134" t="s">
        <v>1717</v>
      </c>
      <c r="G134" t="e">
        <v>#N/A</v>
      </c>
      <c r="H134" t="s">
        <v>1717</v>
      </c>
      <c r="I134" t="e">
        <v>#N/A</v>
      </c>
      <c r="L134" t="str">
        <f t="shared" si="2"/>
        <v>no</v>
      </c>
    </row>
    <row r="135" spans="6:12" hidden="1">
      <c r="F135" t="s">
        <v>1717</v>
      </c>
      <c r="G135" t="e">
        <v>#N/A</v>
      </c>
      <c r="H135" t="s">
        <v>1717</v>
      </c>
      <c r="I135" t="e">
        <v>#N/A</v>
      </c>
      <c r="L135" t="str">
        <f t="shared" si="2"/>
        <v>no</v>
      </c>
    </row>
    <row r="136" spans="6:12" hidden="1">
      <c r="F136" t="s">
        <v>1717</v>
      </c>
      <c r="G136" t="e">
        <v>#N/A</v>
      </c>
      <c r="H136" t="s">
        <v>1717</v>
      </c>
      <c r="I136" t="e">
        <v>#N/A</v>
      </c>
      <c r="L136" t="str">
        <f t="shared" si="2"/>
        <v>no</v>
      </c>
    </row>
    <row r="137" spans="6:12" hidden="1">
      <c r="F137" t="s">
        <v>1717</v>
      </c>
      <c r="G137" t="e">
        <v>#N/A</v>
      </c>
      <c r="H137" t="s">
        <v>1717</v>
      </c>
      <c r="I137" t="e">
        <v>#N/A</v>
      </c>
      <c r="L137" t="str">
        <f t="shared" si="2"/>
        <v>no</v>
      </c>
    </row>
    <row r="138" spans="6:12" hidden="1">
      <c r="F138" t="s">
        <v>1717</v>
      </c>
      <c r="G138" t="e">
        <v>#N/A</v>
      </c>
      <c r="H138" t="s">
        <v>1717</v>
      </c>
      <c r="I138" t="e">
        <v>#N/A</v>
      </c>
      <c r="L138" t="str">
        <f t="shared" si="2"/>
        <v>no</v>
      </c>
    </row>
    <row r="139" spans="6:12" hidden="1">
      <c r="F139" t="s">
        <v>1717</v>
      </c>
      <c r="G139" t="e">
        <v>#N/A</v>
      </c>
      <c r="H139" t="s">
        <v>1717</v>
      </c>
      <c r="I139" t="e">
        <v>#N/A</v>
      </c>
      <c r="L139" t="str">
        <f t="shared" si="2"/>
        <v>no</v>
      </c>
    </row>
    <row r="140" spans="6:12" hidden="1">
      <c r="F140" t="s">
        <v>1717</v>
      </c>
      <c r="G140" t="e">
        <v>#N/A</v>
      </c>
      <c r="H140" t="s">
        <v>1717</v>
      </c>
      <c r="I140" t="e">
        <v>#N/A</v>
      </c>
      <c r="L140" t="str">
        <f t="shared" si="2"/>
        <v>no</v>
      </c>
    </row>
    <row r="141" spans="6:12" hidden="1">
      <c r="F141" t="s">
        <v>1717</v>
      </c>
      <c r="G141" t="e">
        <v>#N/A</v>
      </c>
      <c r="H141" t="s">
        <v>1717</v>
      </c>
      <c r="I141" t="e">
        <v>#N/A</v>
      </c>
      <c r="L141" t="str">
        <f t="shared" si="2"/>
        <v>no</v>
      </c>
    </row>
    <row r="142" spans="6:12" hidden="1">
      <c r="F142" t="s">
        <v>1717</v>
      </c>
      <c r="G142" t="e">
        <v>#N/A</v>
      </c>
      <c r="H142" t="s">
        <v>1717</v>
      </c>
      <c r="I142" t="e">
        <v>#N/A</v>
      </c>
      <c r="L142" t="str">
        <f t="shared" si="2"/>
        <v>no</v>
      </c>
    </row>
  </sheetData>
  <autoFilter ref="A1:N142" xr:uid="{CBE0D452-3A81-804C-8686-5710E32816D9}">
    <filterColumn colId="4">
      <filters blank="1">
        <filter val="no"/>
      </filters>
    </filterColumn>
    <filterColumn colId="11">
      <filters>
        <filter val="segmented videos list"/>
      </filters>
    </filterColumn>
  </autoFilter>
  <phoneticPr fontId="1" type="noConversion"/>
  <conditionalFormatting sqref="E1:E1048576">
    <cfRule type="cellIs" dxfId="112" priority="4" operator="equal">
      <formula>"no"</formula>
    </cfRule>
    <cfRule type="cellIs" dxfId="111" priority="5" operator="equal">
      <formula>"yes"</formula>
    </cfRule>
  </conditionalFormatting>
  <conditionalFormatting sqref="F2:F142">
    <cfRule type="expression" dxfId="110" priority="3">
      <formula>F2&lt;&gt;E2</formula>
    </cfRule>
  </conditionalFormatting>
  <conditionalFormatting sqref="H2:H142">
    <cfRule type="expression" dxfId="109" priority="2" stopIfTrue="1">
      <formula>H2&lt;&gt;E2</formula>
    </cfRule>
  </conditionalFormatting>
  <conditionalFormatting sqref="J2:J142">
    <cfRule type="expression" dxfId="108" priority="1">
      <formula>J2&lt;&gt;E2</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F07AD-7D71-0C47-9C67-F92D487D9B1E}">
  <sheetPr filterMode="1"/>
  <dimension ref="A1:N142"/>
  <sheetViews>
    <sheetView topLeftCell="D1" workbookViewId="0">
      <selection activeCell="I1" sqref="I1"/>
    </sheetView>
  </sheetViews>
  <sheetFormatPr baseColWidth="10" defaultRowHeight="15"/>
  <cols>
    <col min="5" max="5" width="11.33203125" customWidth="1"/>
    <col min="12" max="12" width="14.33203125" customWidth="1"/>
  </cols>
  <sheetData>
    <row r="1" spans="1:14">
      <c r="A1" t="s">
        <v>88</v>
      </c>
      <c r="B1" t="s">
        <v>0</v>
      </c>
      <c r="C1" s="2" t="s">
        <v>202</v>
      </c>
      <c r="D1" t="s">
        <v>6</v>
      </c>
      <c r="E1" t="s">
        <v>1</v>
      </c>
      <c r="F1" t="s">
        <v>2592</v>
      </c>
      <c r="G1" t="s">
        <v>2592</v>
      </c>
      <c r="H1" t="s">
        <v>2677</v>
      </c>
      <c r="I1" t="s">
        <v>2678</v>
      </c>
      <c r="J1" t="s">
        <v>2676</v>
      </c>
      <c r="K1" t="s">
        <v>2592</v>
      </c>
      <c r="L1" t="s">
        <v>1067</v>
      </c>
      <c r="M1" t="s">
        <v>1192</v>
      </c>
      <c r="N1" t="s">
        <v>1105</v>
      </c>
    </row>
    <row r="2" spans="1:14" ht="19">
      <c r="A2">
        <v>1</v>
      </c>
      <c r="B2" s="1" t="s">
        <v>356</v>
      </c>
      <c r="E2" t="s">
        <v>390</v>
      </c>
      <c r="F2" t="s">
        <v>201</v>
      </c>
      <c r="G2" t="s">
        <v>2662</v>
      </c>
      <c r="H2" t="s">
        <v>192</v>
      </c>
      <c r="I2" t="s">
        <v>2824</v>
      </c>
      <c r="J2" t="s">
        <v>201</v>
      </c>
      <c r="K2" t="s">
        <v>2029</v>
      </c>
      <c r="L2" t="str">
        <f>IF(COUNTIF(M:M, B2)&gt;0,$M$1,IF(COUNTIF(N:N, B2)&gt;0,$N$1,"no"))</f>
        <v>segmented videos list</v>
      </c>
      <c r="M2" s="1"/>
      <c r="N2" s="1" t="s">
        <v>370</v>
      </c>
    </row>
    <row r="3" spans="1:14" ht="19">
      <c r="A3">
        <v>2</v>
      </c>
      <c r="B3" s="1" t="s">
        <v>357</v>
      </c>
      <c r="E3" t="s">
        <v>390</v>
      </c>
      <c r="F3" t="s">
        <v>201</v>
      </c>
      <c r="G3" t="s">
        <v>2650</v>
      </c>
      <c r="H3" t="s">
        <v>192</v>
      </c>
      <c r="I3" t="s">
        <v>2812</v>
      </c>
      <c r="J3" t="s">
        <v>192</v>
      </c>
      <c r="K3" t="s">
        <v>2034</v>
      </c>
      <c r="L3" t="str">
        <f t="shared" ref="L3:L66" si="0">IF(COUNTIF(M:M, B3)&gt;0,$M$1,IF(COUNTIF(N:N, B3)&gt;0,$N$1,"no"))</f>
        <v>segmented videos list</v>
      </c>
      <c r="M3" s="1"/>
      <c r="N3" s="1" t="s">
        <v>385</v>
      </c>
    </row>
    <row r="4" spans="1:14" ht="19">
      <c r="A4">
        <v>3</v>
      </c>
      <c r="B4" s="1" t="s">
        <v>358</v>
      </c>
      <c r="E4" t="s">
        <v>390</v>
      </c>
      <c r="F4" t="s">
        <v>201</v>
      </c>
      <c r="G4" t="s">
        <v>2654</v>
      </c>
      <c r="H4" t="s">
        <v>201</v>
      </c>
      <c r="I4" t="s">
        <v>2816</v>
      </c>
      <c r="J4" t="s">
        <v>192</v>
      </c>
      <c r="K4" t="s">
        <v>2043</v>
      </c>
      <c r="L4" t="str">
        <f t="shared" si="0"/>
        <v>segmented videos list</v>
      </c>
      <c r="M4" s="1"/>
      <c r="N4" s="1" t="s">
        <v>361</v>
      </c>
    </row>
    <row r="5" spans="1:14" ht="19" hidden="1">
      <c r="A5">
        <v>4</v>
      </c>
      <c r="B5" s="1" t="s">
        <v>359</v>
      </c>
      <c r="E5" t="s">
        <v>390</v>
      </c>
      <c r="F5" t="s">
        <v>1717</v>
      </c>
      <c r="G5" t="e">
        <v>#N/A</v>
      </c>
      <c r="H5" t="s">
        <v>1717</v>
      </c>
      <c r="I5" t="e">
        <v>#N/A</v>
      </c>
      <c r="J5" t="s">
        <v>1717</v>
      </c>
      <c r="K5" t="e">
        <v>#N/A</v>
      </c>
      <c r="L5" t="str">
        <f t="shared" si="0"/>
        <v>no</v>
      </c>
      <c r="M5" s="1"/>
      <c r="N5" s="1" t="s">
        <v>371</v>
      </c>
    </row>
    <row r="6" spans="1:14" ht="19">
      <c r="A6">
        <v>5</v>
      </c>
      <c r="B6" s="1" t="s">
        <v>360</v>
      </c>
      <c r="E6" t="s">
        <v>390</v>
      </c>
      <c r="F6" t="s">
        <v>201</v>
      </c>
      <c r="G6" t="s">
        <v>2671</v>
      </c>
      <c r="H6" t="s">
        <v>201</v>
      </c>
      <c r="I6" t="s">
        <v>2833</v>
      </c>
      <c r="J6" t="s">
        <v>201</v>
      </c>
      <c r="K6" t="s">
        <v>2033</v>
      </c>
      <c r="L6" t="str">
        <f t="shared" si="0"/>
        <v>segmented videos list</v>
      </c>
      <c r="M6" s="1"/>
      <c r="N6" s="1" t="s">
        <v>386</v>
      </c>
    </row>
    <row r="7" spans="1:14" ht="19">
      <c r="A7">
        <v>6</v>
      </c>
      <c r="B7" s="1" t="s">
        <v>361</v>
      </c>
      <c r="E7" t="s">
        <v>390</v>
      </c>
      <c r="F7" t="s">
        <v>201</v>
      </c>
      <c r="G7" t="s">
        <v>2656</v>
      </c>
      <c r="H7" t="s">
        <v>201</v>
      </c>
      <c r="I7" t="s">
        <v>2818</v>
      </c>
      <c r="J7" t="s">
        <v>201</v>
      </c>
      <c r="K7" t="s">
        <v>2039</v>
      </c>
      <c r="L7" t="str">
        <f t="shared" si="0"/>
        <v>segmented videos list</v>
      </c>
      <c r="M7" s="1"/>
      <c r="N7" s="1" t="s">
        <v>364</v>
      </c>
    </row>
    <row r="8" spans="1:14" ht="19" hidden="1">
      <c r="A8">
        <v>7</v>
      </c>
      <c r="B8" s="1" t="s">
        <v>362</v>
      </c>
      <c r="E8" t="s">
        <v>390</v>
      </c>
      <c r="F8" t="s">
        <v>1717</v>
      </c>
      <c r="G8" t="e">
        <v>#N/A</v>
      </c>
      <c r="H8" t="s">
        <v>1717</v>
      </c>
      <c r="I8" t="e">
        <v>#N/A</v>
      </c>
      <c r="J8" t="s">
        <v>1717</v>
      </c>
      <c r="K8" t="e">
        <v>#N/A</v>
      </c>
      <c r="L8" t="str">
        <f t="shared" si="0"/>
        <v>no</v>
      </c>
      <c r="M8" s="1"/>
      <c r="N8" s="1" t="s">
        <v>372</v>
      </c>
    </row>
    <row r="9" spans="1:14" ht="19" hidden="1">
      <c r="A9">
        <v>8</v>
      </c>
      <c r="B9" s="1" t="s">
        <v>363</v>
      </c>
      <c r="E9" t="s">
        <v>390</v>
      </c>
      <c r="F9" t="s">
        <v>1717</v>
      </c>
      <c r="G9" t="e">
        <v>#N/A</v>
      </c>
      <c r="H9" t="s">
        <v>1717</v>
      </c>
      <c r="I9" t="e">
        <v>#N/A</v>
      </c>
      <c r="J9" t="s">
        <v>1717</v>
      </c>
      <c r="K9" t="e">
        <v>#N/A</v>
      </c>
      <c r="L9" t="str">
        <f t="shared" si="0"/>
        <v>no</v>
      </c>
      <c r="M9" s="1"/>
      <c r="N9" s="1" t="s">
        <v>387</v>
      </c>
    </row>
    <row r="10" spans="1:14" ht="19">
      <c r="A10">
        <v>9</v>
      </c>
      <c r="B10" s="1" t="s">
        <v>364</v>
      </c>
      <c r="E10" t="s">
        <v>390</v>
      </c>
      <c r="F10" t="s">
        <v>201</v>
      </c>
      <c r="G10" t="s">
        <v>2669</v>
      </c>
      <c r="H10" t="s">
        <v>201</v>
      </c>
      <c r="I10" t="s">
        <v>2831</v>
      </c>
      <c r="J10" t="s">
        <v>192</v>
      </c>
      <c r="K10" t="s">
        <v>2041</v>
      </c>
      <c r="L10" t="str">
        <f t="shared" si="0"/>
        <v>segmented videos list</v>
      </c>
      <c r="M10" s="1"/>
      <c r="N10" s="1" t="s">
        <v>365</v>
      </c>
    </row>
    <row r="11" spans="1:14" ht="19">
      <c r="A11">
        <v>10</v>
      </c>
      <c r="B11" s="1" t="s">
        <v>365</v>
      </c>
      <c r="E11" t="s">
        <v>390</v>
      </c>
      <c r="F11" t="s">
        <v>192</v>
      </c>
      <c r="G11" t="s">
        <v>2673</v>
      </c>
      <c r="H11" t="s">
        <v>192</v>
      </c>
      <c r="I11" t="s">
        <v>2835</v>
      </c>
      <c r="J11" t="s">
        <v>192</v>
      </c>
      <c r="K11" t="s">
        <v>2023</v>
      </c>
      <c r="L11" t="str">
        <f t="shared" si="0"/>
        <v>segmented videos list</v>
      </c>
      <c r="M11" s="1"/>
      <c r="N11" s="1" t="s">
        <v>373</v>
      </c>
    </row>
    <row r="12" spans="1:14" ht="19">
      <c r="A12">
        <v>11</v>
      </c>
      <c r="B12" s="1" t="s">
        <v>366</v>
      </c>
      <c r="E12" t="s">
        <v>390</v>
      </c>
      <c r="F12" t="s">
        <v>201</v>
      </c>
      <c r="G12" t="s">
        <v>2670</v>
      </c>
      <c r="H12" t="s">
        <v>201</v>
      </c>
      <c r="I12" t="s">
        <v>2832</v>
      </c>
      <c r="J12" t="s">
        <v>201</v>
      </c>
      <c r="K12" t="s">
        <v>2038</v>
      </c>
      <c r="L12" t="str">
        <f t="shared" si="0"/>
        <v>segmented videos list</v>
      </c>
      <c r="M12" s="1"/>
      <c r="N12" s="1" t="s">
        <v>388</v>
      </c>
    </row>
    <row r="13" spans="1:14" ht="19">
      <c r="A13">
        <v>12</v>
      </c>
      <c r="B13" s="1" t="s">
        <v>367</v>
      </c>
      <c r="E13" t="s">
        <v>390</v>
      </c>
      <c r="F13" t="s">
        <v>192</v>
      </c>
      <c r="G13" t="s">
        <v>2659</v>
      </c>
      <c r="H13" t="s">
        <v>192</v>
      </c>
      <c r="I13" t="s">
        <v>2821</v>
      </c>
      <c r="J13" t="s">
        <v>192</v>
      </c>
      <c r="K13" t="s">
        <v>2037</v>
      </c>
      <c r="L13" t="str">
        <f t="shared" si="0"/>
        <v>segmented videos list</v>
      </c>
      <c r="M13" s="1"/>
      <c r="N13" s="1" t="s">
        <v>366</v>
      </c>
    </row>
    <row r="14" spans="1:14" ht="19" hidden="1">
      <c r="A14">
        <v>13</v>
      </c>
      <c r="B14" s="1" t="s">
        <v>368</v>
      </c>
      <c r="E14" t="s">
        <v>390</v>
      </c>
      <c r="F14" t="s">
        <v>1717</v>
      </c>
      <c r="G14" t="e">
        <v>#N/A</v>
      </c>
      <c r="H14" t="s">
        <v>1717</v>
      </c>
      <c r="I14" t="e">
        <v>#N/A</v>
      </c>
      <c r="J14" t="s">
        <v>1717</v>
      </c>
      <c r="K14" t="e">
        <v>#N/A</v>
      </c>
      <c r="L14" t="str">
        <f t="shared" si="0"/>
        <v>no</v>
      </c>
      <c r="M14" s="1"/>
      <c r="N14" s="1" t="s">
        <v>379</v>
      </c>
    </row>
    <row r="15" spans="1:14" ht="19">
      <c r="A15">
        <v>14</v>
      </c>
      <c r="B15" s="1" t="s">
        <v>369</v>
      </c>
      <c r="E15" t="s">
        <v>390</v>
      </c>
      <c r="F15" t="s">
        <v>192</v>
      </c>
      <c r="G15" t="s">
        <v>2663</v>
      </c>
      <c r="H15" t="s">
        <v>192</v>
      </c>
      <c r="I15" t="s">
        <v>2825</v>
      </c>
      <c r="J15" t="s">
        <v>192</v>
      </c>
      <c r="K15" t="s">
        <v>2025</v>
      </c>
      <c r="L15" t="str">
        <f t="shared" si="0"/>
        <v>segmented videos list</v>
      </c>
      <c r="M15" s="1"/>
      <c r="N15" s="1" t="s">
        <v>389</v>
      </c>
    </row>
    <row r="16" spans="1:14" ht="19">
      <c r="A16">
        <v>15</v>
      </c>
      <c r="B16" s="1" t="s">
        <v>370</v>
      </c>
      <c r="E16" t="s">
        <v>390</v>
      </c>
      <c r="F16" t="s">
        <v>201</v>
      </c>
      <c r="G16" t="s">
        <v>2651</v>
      </c>
      <c r="H16" t="s">
        <v>201</v>
      </c>
      <c r="I16" t="s">
        <v>2813</v>
      </c>
      <c r="J16" t="s">
        <v>201</v>
      </c>
      <c r="K16" t="s">
        <v>2032</v>
      </c>
      <c r="L16" t="str">
        <f t="shared" si="0"/>
        <v>segmented videos list</v>
      </c>
      <c r="M16" s="1"/>
      <c r="N16" s="1" t="s">
        <v>367</v>
      </c>
    </row>
    <row r="17" spans="1:14" ht="19">
      <c r="A17">
        <v>16</v>
      </c>
      <c r="B17" s="1" t="s">
        <v>371</v>
      </c>
      <c r="E17" t="s">
        <v>390</v>
      </c>
      <c r="F17" t="s">
        <v>201</v>
      </c>
      <c r="G17" t="s">
        <v>2668</v>
      </c>
      <c r="H17" t="s">
        <v>201</v>
      </c>
      <c r="I17" t="s">
        <v>2830</v>
      </c>
      <c r="J17" t="s">
        <v>192</v>
      </c>
      <c r="K17" t="s">
        <v>2044</v>
      </c>
      <c r="L17" t="str">
        <f t="shared" si="0"/>
        <v>segmented videos list</v>
      </c>
      <c r="M17" s="1"/>
      <c r="N17" s="1" t="s">
        <v>380</v>
      </c>
    </row>
    <row r="18" spans="1:14" ht="19">
      <c r="A18">
        <v>17</v>
      </c>
      <c r="B18" s="1" t="s">
        <v>372</v>
      </c>
      <c r="E18" t="s">
        <v>390</v>
      </c>
      <c r="F18" t="s">
        <v>192</v>
      </c>
      <c r="G18" t="s">
        <v>2661</v>
      </c>
      <c r="H18" t="s">
        <v>201</v>
      </c>
      <c r="I18" t="s">
        <v>2823</v>
      </c>
      <c r="J18" t="s">
        <v>192</v>
      </c>
      <c r="K18" t="s">
        <v>2030</v>
      </c>
      <c r="L18" t="str">
        <f t="shared" si="0"/>
        <v>segmented videos list</v>
      </c>
      <c r="M18" s="1"/>
      <c r="N18" s="1" t="s">
        <v>356</v>
      </c>
    </row>
    <row r="19" spans="1:14" ht="19">
      <c r="A19">
        <v>18</v>
      </c>
      <c r="B19" s="1" t="s">
        <v>373</v>
      </c>
      <c r="E19" t="s">
        <v>390</v>
      </c>
      <c r="F19" t="s">
        <v>192</v>
      </c>
      <c r="G19" t="s">
        <v>2657</v>
      </c>
      <c r="H19" t="s">
        <v>192</v>
      </c>
      <c r="I19" t="s">
        <v>2819</v>
      </c>
      <c r="J19" t="s">
        <v>192</v>
      </c>
      <c r="K19" t="s">
        <v>2045</v>
      </c>
      <c r="L19" t="str">
        <f t="shared" si="0"/>
        <v>segmented videos list</v>
      </c>
      <c r="M19" s="1"/>
      <c r="N19" s="1" t="s">
        <v>369</v>
      </c>
    </row>
    <row r="20" spans="1:14" ht="19" hidden="1">
      <c r="A20">
        <v>19</v>
      </c>
      <c r="B20" s="1" t="s">
        <v>374</v>
      </c>
      <c r="E20" t="s">
        <v>390</v>
      </c>
      <c r="F20" t="s">
        <v>1717</v>
      </c>
      <c r="G20" t="e">
        <v>#N/A</v>
      </c>
      <c r="H20" t="s">
        <v>1717</v>
      </c>
      <c r="I20" t="e">
        <v>#N/A</v>
      </c>
      <c r="J20" t="s">
        <v>1717</v>
      </c>
      <c r="K20" t="e">
        <v>#N/A</v>
      </c>
      <c r="L20" t="str">
        <f t="shared" si="0"/>
        <v>no</v>
      </c>
      <c r="M20" s="1"/>
      <c r="N20" s="1" t="s">
        <v>381</v>
      </c>
    </row>
    <row r="21" spans="1:14" ht="19" hidden="1">
      <c r="A21">
        <v>20</v>
      </c>
      <c r="B21" s="1" t="s">
        <v>375</v>
      </c>
      <c r="E21" t="s">
        <v>390</v>
      </c>
      <c r="F21" t="s">
        <v>1717</v>
      </c>
      <c r="G21" t="e">
        <v>#N/A</v>
      </c>
      <c r="H21" t="s">
        <v>1717</v>
      </c>
      <c r="I21" t="e">
        <v>#N/A</v>
      </c>
      <c r="J21" t="s">
        <v>1717</v>
      </c>
      <c r="K21" t="e">
        <v>#N/A</v>
      </c>
      <c r="L21" t="str">
        <f t="shared" si="0"/>
        <v>no</v>
      </c>
      <c r="M21" s="1"/>
      <c r="N21" s="1" t="s">
        <v>357</v>
      </c>
    </row>
    <row r="22" spans="1:14" ht="19" hidden="1">
      <c r="A22">
        <v>21</v>
      </c>
      <c r="B22" s="1" t="s">
        <v>376</v>
      </c>
      <c r="E22" t="s">
        <v>390</v>
      </c>
      <c r="F22" t="s">
        <v>1717</v>
      </c>
      <c r="G22" t="e">
        <v>#N/A</v>
      </c>
      <c r="H22" t="s">
        <v>1717</v>
      </c>
      <c r="I22" t="e">
        <v>#N/A</v>
      </c>
      <c r="J22" t="s">
        <v>1717</v>
      </c>
      <c r="K22" t="e">
        <v>#N/A</v>
      </c>
      <c r="L22" t="str">
        <f t="shared" si="0"/>
        <v>no</v>
      </c>
      <c r="M22" s="1"/>
      <c r="N22" s="1" t="s">
        <v>1292</v>
      </c>
    </row>
    <row r="23" spans="1:14" ht="19" hidden="1">
      <c r="A23">
        <v>22</v>
      </c>
      <c r="B23" s="1" t="s">
        <v>377</v>
      </c>
      <c r="E23" t="s">
        <v>390</v>
      </c>
      <c r="F23" t="s">
        <v>1717</v>
      </c>
      <c r="G23" t="e">
        <v>#N/A</v>
      </c>
      <c r="H23" t="s">
        <v>1717</v>
      </c>
      <c r="I23" t="e">
        <v>#N/A</v>
      </c>
      <c r="J23" t="s">
        <v>1717</v>
      </c>
      <c r="K23" t="e">
        <v>#N/A</v>
      </c>
      <c r="L23" t="str">
        <f t="shared" si="0"/>
        <v>no</v>
      </c>
      <c r="M23" s="1"/>
      <c r="N23" s="1" t="s">
        <v>382</v>
      </c>
    </row>
    <row r="24" spans="1:14" ht="19" hidden="1">
      <c r="A24">
        <v>23</v>
      </c>
      <c r="B24" s="1" t="s">
        <v>378</v>
      </c>
      <c r="E24" t="s">
        <v>390</v>
      </c>
      <c r="F24" t="s">
        <v>1717</v>
      </c>
      <c r="G24" t="e">
        <v>#N/A</v>
      </c>
      <c r="H24" t="s">
        <v>1717</v>
      </c>
      <c r="I24" t="e">
        <v>#N/A</v>
      </c>
      <c r="J24" t="s">
        <v>1717</v>
      </c>
      <c r="K24" t="e">
        <v>#N/A</v>
      </c>
      <c r="L24" t="str">
        <f t="shared" si="0"/>
        <v>no</v>
      </c>
      <c r="M24" s="1"/>
      <c r="N24" s="1" t="s">
        <v>358</v>
      </c>
    </row>
    <row r="25" spans="1:14" ht="19">
      <c r="A25">
        <v>24</v>
      </c>
      <c r="B25" s="1" t="s">
        <v>379</v>
      </c>
      <c r="E25" t="s">
        <v>390</v>
      </c>
      <c r="F25" t="s">
        <v>201</v>
      </c>
      <c r="G25" t="s">
        <v>2658</v>
      </c>
      <c r="H25" t="s">
        <v>201</v>
      </c>
      <c r="I25" t="s">
        <v>2820</v>
      </c>
      <c r="J25" t="s">
        <v>201</v>
      </c>
      <c r="K25" t="s">
        <v>2020</v>
      </c>
      <c r="L25" t="str">
        <f t="shared" si="0"/>
        <v>segmented videos list</v>
      </c>
      <c r="M25" s="1"/>
      <c r="N25" s="1" t="s">
        <v>384</v>
      </c>
    </row>
    <row r="26" spans="1:14" ht="19">
      <c r="A26">
        <v>25</v>
      </c>
      <c r="B26" s="1" t="s">
        <v>380</v>
      </c>
      <c r="E26" t="s">
        <v>390</v>
      </c>
      <c r="F26" t="s">
        <v>201</v>
      </c>
      <c r="G26" t="s">
        <v>2667</v>
      </c>
      <c r="H26" t="s">
        <v>201</v>
      </c>
      <c r="I26" t="s">
        <v>2829</v>
      </c>
      <c r="J26" t="s">
        <v>201</v>
      </c>
      <c r="K26" t="s">
        <v>2031</v>
      </c>
      <c r="L26" t="str">
        <f t="shared" si="0"/>
        <v>segmented videos list</v>
      </c>
      <c r="M26" s="1"/>
      <c r="N26" s="1" t="s">
        <v>360</v>
      </c>
    </row>
    <row r="27" spans="1:14" ht="19">
      <c r="A27">
        <v>26</v>
      </c>
      <c r="B27" s="1" t="s">
        <v>381</v>
      </c>
      <c r="E27" t="s">
        <v>390</v>
      </c>
      <c r="F27" t="s">
        <v>201</v>
      </c>
      <c r="G27" t="s">
        <v>2652</v>
      </c>
      <c r="H27" t="s">
        <v>201</v>
      </c>
      <c r="I27" t="s">
        <v>2814</v>
      </c>
      <c r="J27" t="s">
        <v>201</v>
      </c>
      <c r="K27" t="s">
        <v>2028</v>
      </c>
      <c r="L27" t="str">
        <f t="shared" si="0"/>
        <v>segmented videos list</v>
      </c>
      <c r="M27" s="1"/>
      <c r="N27" s="1"/>
    </row>
    <row r="28" spans="1:14" ht="19">
      <c r="A28">
        <v>27</v>
      </c>
      <c r="B28" s="1" t="s">
        <v>382</v>
      </c>
      <c r="E28" t="s">
        <v>390</v>
      </c>
      <c r="F28" t="s">
        <v>192</v>
      </c>
      <c r="G28" t="s">
        <v>2664</v>
      </c>
      <c r="H28" t="s">
        <v>192</v>
      </c>
      <c r="I28" t="s">
        <v>2826</v>
      </c>
      <c r="J28" t="s">
        <v>192</v>
      </c>
      <c r="K28" t="s">
        <v>2026</v>
      </c>
      <c r="L28" t="str">
        <f t="shared" si="0"/>
        <v>segmented videos list</v>
      </c>
      <c r="M28" s="1"/>
      <c r="N28" s="1"/>
    </row>
    <row r="29" spans="1:14" ht="19" hidden="1">
      <c r="A29">
        <v>28</v>
      </c>
      <c r="B29" s="1" t="s">
        <v>383</v>
      </c>
      <c r="E29" t="s">
        <v>390</v>
      </c>
      <c r="F29" t="s">
        <v>1717</v>
      </c>
      <c r="G29" t="e">
        <v>#N/A</v>
      </c>
      <c r="H29" t="s">
        <v>1717</v>
      </c>
      <c r="I29" t="e">
        <v>#N/A</v>
      </c>
      <c r="J29" t="s">
        <v>1717</v>
      </c>
      <c r="K29" t="e">
        <v>#N/A</v>
      </c>
      <c r="L29" t="str">
        <f t="shared" si="0"/>
        <v>no</v>
      </c>
      <c r="M29" s="1"/>
      <c r="N29" s="1"/>
    </row>
    <row r="30" spans="1:14" ht="19">
      <c r="A30">
        <v>29</v>
      </c>
      <c r="B30" s="1" t="s">
        <v>384</v>
      </c>
      <c r="E30" t="s">
        <v>390</v>
      </c>
      <c r="F30" t="s">
        <v>192</v>
      </c>
      <c r="G30" t="s">
        <v>2672</v>
      </c>
      <c r="H30" t="s">
        <v>192</v>
      </c>
      <c r="I30" t="s">
        <v>2834</v>
      </c>
      <c r="J30" t="s">
        <v>192</v>
      </c>
      <c r="K30" t="s">
        <v>2042</v>
      </c>
      <c r="L30" t="str">
        <f t="shared" si="0"/>
        <v>segmented videos list</v>
      </c>
      <c r="M30" s="1"/>
      <c r="N30" s="1"/>
    </row>
    <row r="31" spans="1:14" ht="19">
      <c r="A31">
        <v>30</v>
      </c>
      <c r="B31" s="1" t="s">
        <v>385</v>
      </c>
      <c r="E31" t="s">
        <v>390</v>
      </c>
      <c r="F31" t="s">
        <v>201</v>
      </c>
      <c r="G31" t="s">
        <v>2655</v>
      </c>
      <c r="H31" t="s">
        <v>201</v>
      </c>
      <c r="I31" t="s">
        <v>2817</v>
      </c>
      <c r="J31" t="s">
        <v>192</v>
      </c>
      <c r="K31" t="s">
        <v>2036</v>
      </c>
      <c r="L31" t="str">
        <f t="shared" si="0"/>
        <v>segmented videos list</v>
      </c>
      <c r="M31" s="1"/>
      <c r="N31" s="1"/>
    </row>
    <row r="32" spans="1:14" ht="19">
      <c r="A32">
        <v>31</v>
      </c>
      <c r="B32" s="1" t="s">
        <v>386</v>
      </c>
      <c r="E32" t="s">
        <v>390</v>
      </c>
      <c r="F32" t="s">
        <v>192</v>
      </c>
      <c r="G32" t="s">
        <v>2660</v>
      </c>
      <c r="H32" t="s">
        <v>192</v>
      </c>
      <c r="I32" t="s">
        <v>2822</v>
      </c>
      <c r="J32" t="s">
        <v>192</v>
      </c>
      <c r="K32" t="s">
        <v>2024</v>
      </c>
      <c r="L32" t="str">
        <f t="shared" si="0"/>
        <v>segmented videos list</v>
      </c>
      <c r="M32" s="1"/>
      <c r="N32" s="1"/>
    </row>
    <row r="33" spans="1:14" ht="19">
      <c r="A33">
        <v>32</v>
      </c>
      <c r="B33" s="1" t="s">
        <v>387</v>
      </c>
      <c r="E33" t="s">
        <v>390</v>
      </c>
      <c r="F33" t="s">
        <v>201</v>
      </c>
      <c r="G33" t="s">
        <v>2665</v>
      </c>
      <c r="H33" t="s">
        <v>201</v>
      </c>
      <c r="I33" t="s">
        <v>2827</v>
      </c>
      <c r="J33" t="s">
        <v>201</v>
      </c>
      <c r="K33" t="s">
        <v>2040</v>
      </c>
      <c r="L33" t="str">
        <f t="shared" si="0"/>
        <v>segmented videos list</v>
      </c>
      <c r="M33" s="1"/>
      <c r="N33" s="1"/>
    </row>
    <row r="34" spans="1:14" ht="19">
      <c r="A34">
        <v>33</v>
      </c>
      <c r="B34" s="1" t="s">
        <v>388</v>
      </c>
      <c r="E34" t="s">
        <v>390</v>
      </c>
      <c r="F34" t="s">
        <v>201</v>
      </c>
      <c r="G34" t="s">
        <v>2666</v>
      </c>
      <c r="H34" t="s">
        <v>201</v>
      </c>
      <c r="I34" t="s">
        <v>2828</v>
      </c>
      <c r="J34" t="s">
        <v>201</v>
      </c>
      <c r="K34" t="s">
        <v>2027</v>
      </c>
      <c r="L34" t="str">
        <f t="shared" si="0"/>
        <v>segmented videos list</v>
      </c>
      <c r="M34" s="1"/>
      <c r="N34" s="1"/>
    </row>
    <row r="35" spans="1:14" ht="19">
      <c r="A35">
        <v>34</v>
      </c>
      <c r="B35" s="1" t="s">
        <v>389</v>
      </c>
      <c r="E35" t="s">
        <v>390</v>
      </c>
      <c r="F35" t="s">
        <v>192</v>
      </c>
      <c r="G35" t="s">
        <v>2653</v>
      </c>
      <c r="H35" t="s">
        <v>192</v>
      </c>
      <c r="I35" t="s">
        <v>2815</v>
      </c>
      <c r="J35" t="s">
        <v>192</v>
      </c>
      <c r="K35" t="s">
        <v>2035</v>
      </c>
      <c r="L35" t="str">
        <f t="shared" si="0"/>
        <v>segmented videos list</v>
      </c>
      <c r="M35" s="1"/>
      <c r="N35" s="1"/>
    </row>
    <row r="36" spans="1:14" ht="19" hidden="1">
      <c r="B36" s="1"/>
      <c r="F36" t="s">
        <v>1717</v>
      </c>
      <c r="G36" t="e">
        <v>#N/A</v>
      </c>
      <c r="H36" t="s">
        <v>1717</v>
      </c>
      <c r="I36" t="e">
        <v>#N/A</v>
      </c>
      <c r="L36" t="str">
        <f t="shared" si="0"/>
        <v>no</v>
      </c>
      <c r="M36" s="1"/>
      <c r="N36" s="1"/>
    </row>
    <row r="37" spans="1:14" ht="19" hidden="1">
      <c r="B37" s="1"/>
      <c r="F37" t="s">
        <v>1717</v>
      </c>
      <c r="G37" t="e">
        <v>#N/A</v>
      </c>
      <c r="H37" t="s">
        <v>1717</v>
      </c>
      <c r="I37" t="e">
        <v>#N/A</v>
      </c>
      <c r="L37" t="str">
        <f t="shared" si="0"/>
        <v>no</v>
      </c>
      <c r="M37" s="1"/>
      <c r="N37" s="1"/>
    </row>
    <row r="38" spans="1:14" ht="19" hidden="1">
      <c r="B38" s="1"/>
      <c r="F38" t="s">
        <v>1717</v>
      </c>
      <c r="G38" t="e">
        <v>#N/A</v>
      </c>
      <c r="H38" t="s">
        <v>1717</v>
      </c>
      <c r="I38" t="e">
        <v>#N/A</v>
      </c>
      <c r="L38" t="str">
        <f t="shared" si="0"/>
        <v>no</v>
      </c>
      <c r="M38" s="1"/>
      <c r="N38" s="1"/>
    </row>
    <row r="39" spans="1:14" ht="19" hidden="1">
      <c r="B39" s="1"/>
      <c r="F39" t="s">
        <v>1717</v>
      </c>
      <c r="G39" t="e">
        <v>#N/A</v>
      </c>
      <c r="H39" t="s">
        <v>1717</v>
      </c>
      <c r="I39" t="e">
        <v>#N/A</v>
      </c>
      <c r="L39" t="str">
        <f t="shared" si="0"/>
        <v>no</v>
      </c>
      <c r="M39" s="1"/>
      <c r="N39" s="1"/>
    </row>
    <row r="40" spans="1:14" ht="19" hidden="1">
      <c r="B40" s="1"/>
      <c r="F40" t="s">
        <v>1717</v>
      </c>
      <c r="G40" t="e">
        <v>#N/A</v>
      </c>
      <c r="H40" t="s">
        <v>1717</v>
      </c>
      <c r="I40" t="e">
        <v>#N/A</v>
      </c>
      <c r="L40" t="str">
        <f t="shared" si="0"/>
        <v>no</v>
      </c>
      <c r="M40" s="1"/>
      <c r="N40" s="1"/>
    </row>
    <row r="41" spans="1:14" ht="19" hidden="1">
      <c r="B41" s="1"/>
      <c r="F41" t="s">
        <v>1717</v>
      </c>
      <c r="G41" t="e">
        <v>#N/A</v>
      </c>
      <c r="H41" t="s">
        <v>1717</v>
      </c>
      <c r="I41" t="e">
        <v>#N/A</v>
      </c>
      <c r="L41" t="str">
        <f t="shared" si="0"/>
        <v>no</v>
      </c>
      <c r="M41" s="1"/>
      <c r="N41" s="1"/>
    </row>
    <row r="42" spans="1:14" ht="19" hidden="1">
      <c r="B42" s="1"/>
      <c r="F42" t="s">
        <v>1717</v>
      </c>
      <c r="G42" t="e">
        <v>#N/A</v>
      </c>
      <c r="H42" t="s">
        <v>1717</v>
      </c>
      <c r="I42" t="e">
        <v>#N/A</v>
      </c>
      <c r="L42" t="str">
        <f t="shared" si="0"/>
        <v>no</v>
      </c>
      <c r="M42" s="1"/>
      <c r="N42" s="1"/>
    </row>
    <row r="43" spans="1:14" ht="19" hidden="1">
      <c r="B43" s="1"/>
      <c r="F43" t="s">
        <v>1717</v>
      </c>
      <c r="G43" t="e">
        <v>#N/A</v>
      </c>
      <c r="H43" t="s">
        <v>1717</v>
      </c>
      <c r="I43" t="e">
        <v>#N/A</v>
      </c>
      <c r="L43" t="str">
        <f t="shared" si="0"/>
        <v>no</v>
      </c>
      <c r="M43" s="1"/>
      <c r="N43" s="1"/>
    </row>
    <row r="44" spans="1:14" ht="19" hidden="1">
      <c r="B44" s="1"/>
      <c r="F44" t="s">
        <v>1717</v>
      </c>
      <c r="G44" t="e">
        <v>#N/A</v>
      </c>
      <c r="H44" t="s">
        <v>1717</v>
      </c>
      <c r="I44" t="e">
        <v>#N/A</v>
      </c>
      <c r="L44" t="str">
        <f t="shared" si="0"/>
        <v>no</v>
      </c>
      <c r="M44" s="1"/>
      <c r="N44" s="1"/>
    </row>
    <row r="45" spans="1:14" ht="19" hidden="1">
      <c r="B45" s="1"/>
      <c r="F45" t="s">
        <v>1717</v>
      </c>
      <c r="G45" t="e">
        <v>#N/A</v>
      </c>
      <c r="H45" t="s">
        <v>1717</v>
      </c>
      <c r="I45" t="e">
        <v>#N/A</v>
      </c>
      <c r="L45" t="str">
        <f t="shared" si="0"/>
        <v>no</v>
      </c>
      <c r="M45" s="1"/>
      <c r="N45" s="1"/>
    </row>
    <row r="46" spans="1:14" ht="19" hidden="1">
      <c r="B46" s="1"/>
      <c r="F46" t="s">
        <v>1717</v>
      </c>
      <c r="G46" t="e">
        <v>#N/A</v>
      </c>
      <c r="H46" t="s">
        <v>1717</v>
      </c>
      <c r="I46" t="e">
        <v>#N/A</v>
      </c>
      <c r="L46" t="str">
        <f t="shared" si="0"/>
        <v>no</v>
      </c>
      <c r="M46" s="1"/>
      <c r="N46" s="1"/>
    </row>
    <row r="47" spans="1:14" ht="19" hidden="1">
      <c r="B47" s="1"/>
      <c r="F47" t="s">
        <v>1717</v>
      </c>
      <c r="G47" t="e">
        <v>#N/A</v>
      </c>
      <c r="H47" t="s">
        <v>1717</v>
      </c>
      <c r="I47" t="e">
        <v>#N/A</v>
      </c>
      <c r="L47" t="str">
        <f t="shared" si="0"/>
        <v>no</v>
      </c>
      <c r="M47" s="1"/>
      <c r="N47" s="1"/>
    </row>
    <row r="48" spans="1:14" ht="19" hidden="1">
      <c r="B48" s="1"/>
      <c r="F48" t="s">
        <v>1717</v>
      </c>
      <c r="G48" t="e">
        <v>#N/A</v>
      </c>
      <c r="H48" t="s">
        <v>1717</v>
      </c>
      <c r="I48" t="e">
        <v>#N/A</v>
      </c>
      <c r="L48" t="str">
        <f t="shared" si="0"/>
        <v>no</v>
      </c>
      <c r="M48" s="1"/>
      <c r="N48" s="1"/>
    </row>
    <row r="49" spans="2:14" ht="19" hidden="1">
      <c r="B49" s="1"/>
      <c r="F49" t="s">
        <v>1717</v>
      </c>
      <c r="G49" t="e">
        <v>#N/A</v>
      </c>
      <c r="H49" t="s">
        <v>1717</v>
      </c>
      <c r="I49" t="e">
        <v>#N/A</v>
      </c>
      <c r="L49" t="str">
        <f t="shared" si="0"/>
        <v>no</v>
      </c>
      <c r="M49" s="1"/>
      <c r="N49" s="1"/>
    </row>
    <row r="50" spans="2:14" ht="19" hidden="1">
      <c r="B50" s="1"/>
      <c r="F50" t="s">
        <v>1717</v>
      </c>
      <c r="G50" t="e">
        <v>#N/A</v>
      </c>
      <c r="H50" t="s">
        <v>1717</v>
      </c>
      <c r="I50" t="e">
        <v>#N/A</v>
      </c>
      <c r="L50" t="str">
        <f t="shared" si="0"/>
        <v>no</v>
      </c>
      <c r="M50" s="1"/>
      <c r="N50" s="1"/>
    </row>
    <row r="51" spans="2:14" ht="19" hidden="1">
      <c r="B51" s="1"/>
      <c r="F51" t="s">
        <v>1717</v>
      </c>
      <c r="G51" t="e">
        <v>#N/A</v>
      </c>
      <c r="H51" t="s">
        <v>1717</v>
      </c>
      <c r="I51" t="e">
        <v>#N/A</v>
      </c>
      <c r="L51" t="str">
        <f t="shared" si="0"/>
        <v>no</v>
      </c>
      <c r="M51" s="1"/>
      <c r="N51" s="1"/>
    </row>
    <row r="52" spans="2:14" ht="19" hidden="1">
      <c r="B52" s="1"/>
      <c r="F52" t="s">
        <v>1717</v>
      </c>
      <c r="G52" t="e">
        <v>#N/A</v>
      </c>
      <c r="H52" t="s">
        <v>1717</v>
      </c>
      <c r="I52" t="e">
        <v>#N/A</v>
      </c>
      <c r="L52" t="str">
        <f t="shared" si="0"/>
        <v>no</v>
      </c>
      <c r="M52" s="1"/>
      <c r="N52" s="1"/>
    </row>
    <row r="53" spans="2:14" ht="19" hidden="1">
      <c r="B53" s="1"/>
      <c r="F53" t="s">
        <v>1717</v>
      </c>
      <c r="G53" t="e">
        <v>#N/A</v>
      </c>
      <c r="H53" t="s">
        <v>1717</v>
      </c>
      <c r="I53" t="e">
        <v>#N/A</v>
      </c>
      <c r="L53" t="str">
        <f t="shared" si="0"/>
        <v>no</v>
      </c>
      <c r="M53" s="1"/>
      <c r="N53" s="1"/>
    </row>
    <row r="54" spans="2:14" ht="19" hidden="1">
      <c r="B54" s="1"/>
      <c r="F54" t="s">
        <v>1717</v>
      </c>
      <c r="G54" t="e">
        <v>#N/A</v>
      </c>
      <c r="H54" t="s">
        <v>1717</v>
      </c>
      <c r="I54" t="e">
        <v>#N/A</v>
      </c>
      <c r="L54" t="str">
        <f t="shared" si="0"/>
        <v>no</v>
      </c>
      <c r="M54" s="1"/>
      <c r="N54" s="1"/>
    </row>
    <row r="55" spans="2:14" ht="19" hidden="1">
      <c r="B55" s="1"/>
      <c r="F55" t="s">
        <v>1717</v>
      </c>
      <c r="G55" t="e">
        <v>#N/A</v>
      </c>
      <c r="H55" t="s">
        <v>1717</v>
      </c>
      <c r="I55" t="e">
        <v>#N/A</v>
      </c>
      <c r="L55" t="str">
        <f t="shared" si="0"/>
        <v>no</v>
      </c>
      <c r="M55" s="1"/>
      <c r="N55" s="1"/>
    </row>
    <row r="56" spans="2:14" ht="19" hidden="1">
      <c r="B56" s="1"/>
      <c r="F56" t="s">
        <v>1717</v>
      </c>
      <c r="G56" t="e">
        <v>#N/A</v>
      </c>
      <c r="H56" t="s">
        <v>1717</v>
      </c>
      <c r="I56" t="e">
        <v>#N/A</v>
      </c>
      <c r="L56" t="str">
        <f t="shared" si="0"/>
        <v>no</v>
      </c>
      <c r="M56" s="1"/>
      <c r="N56" s="1"/>
    </row>
    <row r="57" spans="2:14" ht="19" hidden="1">
      <c r="F57" t="s">
        <v>1717</v>
      </c>
      <c r="G57" t="e">
        <v>#N/A</v>
      </c>
      <c r="H57" t="s">
        <v>1717</v>
      </c>
      <c r="I57" t="e">
        <v>#N/A</v>
      </c>
      <c r="L57" t="str">
        <f t="shared" si="0"/>
        <v>no</v>
      </c>
      <c r="M57" s="1"/>
      <c r="N57" s="1"/>
    </row>
    <row r="58" spans="2:14" ht="19" hidden="1">
      <c r="F58" t="s">
        <v>1717</v>
      </c>
      <c r="G58" t="e">
        <v>#N/A</v>
      </c>
      <c r="H58" t="s">
        <v>1717</v>
      </c>
      <c r="I58" t="e">
        <v>#N/A</v>
      </c>
      <c r="L58" t="str">
        <f t="shared" si="0"/>
        <v>no</v>
      </c>
      <c r="M58" s="1"/>
      <c r="N58" s="1"/>
    </row>
    <row r="59" spans="2:14" ht="19" hidden="1">
      <c r="F59" t="s">
        <v>1717</v>
      </c>
      <c r="G59" t="e">
        <v>#N/A</v>
      </c>
      <c r="H59" t="s">
        <v>1717</v>
      </c>
      <c r="I59" t="e">
        <v>#N/A</v>
      </c>
      <c r="L59" t="str">
        <f t="shared" si="0"/>
        <v>no</v>
      </c>
      <c r="M59" s="1"/>
      <c r="N59" s="1"/>
    </row>
    <row r="60" spans="2:14" ht="19" hidden="1">
      <c r="F60" t="s">
        <v>1717</v>
      </c>
      <c r="G60" t="e">
        <v>#N/A</v>
      </c>
      <c r="H60" t="s">
        <v>1717</v>
      </c>
      <c r="I60" t="e">
        <v>#N/A</v>
      </c>
      <c r="L60" t="str">
        <f t="shared" si="0"/>
        <v>no</v>
      </c>
      <c r="M60" s="1"/>
      <c r="N60" s="1"/>
    </row>
    <row r="61" spans="2:14" ht="19" hidden="1">
      <c r="F61" t="s">
        <v>1717</v>
      </c>
      <c r="G61" t="e">
        <v>#N/A</v>
      </c>
      <c r="H61" t="s">
        <v>1717</v>
      </c>
      <c r="I61" t="e">
        <v>#N/A</v>
      </c>
      <c r="L61" t="str">
        <f t="shared" si="0"/>
        <v>no</v>
      </c>
      <c r="M61" s="1"/>
      <c r="N61" s="1"/>
    </row>
    <row r="62" spans="2:14" ht="19" hidden="1">
      <c r="F62" t="s">
        <v>1717</v>
      </c>
      <c r="G62" t="e">
        <v>#N/A</v>
      </c>
      <c r="H62" t="s">
        <v>1717</v>
      </c>
      <c r="I62" t="e">
        <v>#N/A</v>
      </c>
      <c r="L62" t="str">
        <f t="shared" si="0"/>
        <v>no</v>
      </c>
      <c r="M62" s="1"/>
      <c r="N62" s="1"/>
    </row>
    <row r="63" spans="2:14" ht="19" hidden="1">
      <c r="F63" t="s">
        <v>1717</v>
      </c>
      <c r="G63" t="e">
        <v>#N/A</v>
      </c>
      <c r="H63" t="s">
        <v>1717</v>
      </c>
      <c r="I63" t="e">
        <v>#N/A</v>
      </c>
      <c r="L63" t="str">
        <f t="shared" si="0"/>
        <v>no</v>
      </c>
      <c r="M63" s="1"/>
      <c r="N63" s="1"/>
    </row>
    <row r="64" spans="2:14" ht="19" hidden="1">
      <c r="F64" t="s">
        <v>1717</v>
      </c>
      <c r="G64" t="e">
        <v>#N/A</v>
      </c>
      <c r="H64" t="s">
        <v>1717</v>
      </c>
      <c r="I64" t="e">
        <v>#N/A</v>
      </c>
      <c r="L64" t="str">
        <f t="shared" si="0"/>
        <v>no</v>
      </c>
      <c r="M64" s="1"/>
      <c r="N64" s="1"/>
    </row>
    <row r="65" spans="6:14" ht="19" hidden="1">
      <c r="F65" t="s">
        <v>1717</v>
      </c>
      <c r="G65" t="e">
        <v>#N/A</v>
      </c>
      <c r="H65" t="s">
        <v>1717</v>
      </c>
      <c r="I65" t="e">
        <v>#N/A</v>
      </c>
      <c r="L65" t="str">
        <f t="shared" si="0"/>
        <v>no</v>
      </c>
      <c r="M65" s="1"/>
      <c r="N65" s="1"/>
    </row>
    <row r="66" spans="6:14" ht="19" hidden="1">
      <c r="F66" t="s">
        <v>1717</v>
      </c>
      <c r="G66" t="e">
        <v>#N/A</v>
      </c>
      <c r="H66" t="s">
        <v>1717</v>
      </c>
      <c r="I66" t="e">
        <v>#N/A</v>
      </c>
      <c r="L66" t="str">
        <f t="shared" si="0"/>
        <v>no</v>
      </c>
      <c r="M66" s="1"/>
      <c r="N66" s="1"/>
    </row>
    <row r="67" spans="6:14" ht="19" hidden="1">
      <c r="F67" t="s">
        <v>1717</v>
      </c>
      <c r="G67" t="e">
        <v>#N/A</v>
      </c>
      <c r="H67" t="s">
        <v>1717</v>
      </c>
      <c r="I67" t="e">
        <v>#N/A</v>
      </c>
      <c r="L67" t="str">
        <f t="shared" ref="L67:L130" si="1">IF(COUNTIF(M:M, B67)&gt;0,$M$1,IF(COUNTIF(N:N, B67)&gt;0,$N$1,"no"))</f>
        <v>no</v>
      </c>
      <c r="M67" s="1"/>
      <c r="N67" s="1"/>
    </row>
    <row r="68" spans="6:14" ht="19" hidden="1">
      <c r="F68" t="s">
        <v>1717</v>
      </c>
      <c r="G68" t="e">
        <v>#N/A</v>
      </c>
      <c r="H68" t="s">
        <v>1717</v>
      </c>
      <c r="I68" t="e">
        <v>#N/A</v>
      </c>
      <c r="L68" t="str">
        <f t="shared" si="1"/>
        <v>no</v>
      </c>
      <c r="M68" s="1"/>
      <c r="N68" s="1"/>
    </row>
    <row r="69" spans="6:14" ht="19" hidden="1">
      <c r="F69" t="s">
        <v>1717</v>
      </c>
      <c r="G69" t="e">
        <v>#N/A</v>
      </c>
      <c r="H69" t="s">
        <v>1717</v>
      </c>
      <c r="I69" t="e">
        <v>#N/A</v>
      </c>
      <c r="L69" t="str">
        <f t="shared" si="1"/>
        <v>no</v>
      </c>
      <c r="M69" s="1"/>
      <c r="N69" s="1"/>
    </row>
    <row r="70" spans="6:14" ht="19" hidden="1">
      <c r="F70" t="s">
        <v>1717</v>
      </c>
      <c r="G70" t="e">
        <v>#N/A</v>
      </c>
      <c r="H70" t="s">
        <v>1717</v>
      </c>
      <c r="I70" t="e">
        <v>#N/A</v>
      </c>
      <c r="L70" t="str">
        <f t="shared" si="1"/>
        <v>no</v>
      </c>
      <c r="M70" s="1"/>
      <c r="N70" s="1"/>
    </row>
    <row r="71" spans="6:14" ht="19" hidden="1">
      <c r="F71" t="s">
        <v>1717</v>
      </c>
      <c r="G71" t="e">
        <v>#N/A</v>
      </c>
      <c r="H71" t="s">
        <v>1717</v>
      </c>
      <c r="I71" t="e">
        <v>#N/A</v>
      </c>
      <c r="L71" t="str">
        <f t="shared" si="1"/>
        <v>no</v>
      </c>
      <c r="M71" s="1"/>
      <c r="N71" s="1"/>
    </row>
    <row r="72" spans="6:14" ht="19" hidden="1">
      <c r="F72" t="s">
        <v>1717</v>
      </c>
      <c r="G72" t="e">
        <v>#N/A</v>
      </c>
      <c r="H72" t="s">
        <v>1717</v>
      </c>
      <c r="I72" t="e">
        <v>#N/A</v>
      </c>
      <c r="L72" t="str">
        <f t="shared" si="1"/>
        <v>no</v>
      </c>
      <c r="M72" s="1"/>
      <c r="N72" s="1"/>
    </row>
    <row r="73" spans="6:14" ht="19" hidden="1">
      <c r="F73" t="s">
        <v>1717</v>
      </c>
      <c r="G73" t="e">
        <v>#N/A</v>
      </c>
      <c r="H73" t="s">
        <v>1717</v>
      </c>
      <c r="I73" t="e">
        <v>#N/A</v>
      </c>
      <c r="L73" t="str">
        <f t="shared" si="1"/>
        <v>no</v>
      </c>
      <c r="M73" s="1"/>
      <c r="N73" s="1"/>
    </row>
    <row r="74" spans="6:14" ht="19" hidden="1">
      <c r="F74" t="s">
        <v>1717</v>
      </c>
      <c r="G74" t="e">
        <v>#N/A</v>
      </c>
      <c r="H74" t="s">
        <v>1717</v>
      </c>
      <c r="I74" t="e">
        <v>#N/A</v>
      </c>
      <c r="L74" t="str">
        <f t="shared" si="1"/>
        <v>no</v>
      </c>
      <c r="M74" s="1"/>
      <c r="N74" s="1"/>
    </row>
    <row r="75" spans="6:14" ht="19" hidden="1">
      <c r="F75" t="s">
        <v>1717</v>
      </c>
      <c r="G75" t="e">
        <v>#N/A</v>
      </c>
      <c r="H75" t="s">
        <v>1717</v>
      </c>
      <c r="I75" t="e">
        <v>#N/A</v>
      </c>
      <c r="L75" t="str">
        <f t="shared" si="1"/>
        <v>no</v>
      </c>
      <c r="M75" s="1"/>
      <c r="N75" s="1"/>
    </row>
    <row r="76" spans="6:14" ht="19" hidden="1">
      <c r="F76" t="s">
        <v>1717</v>
      </c>
      <c r="G76" t="e">
        <v>#N/A</v>
      </c>
      <c r="H76" t="s">
        <v>1717</v>
      </c>
      <c r="I76" t="e">
        <v>#N/A</v>
      </c>
      <c r="L76" t="str">
        <f t="shared" si="1"/>
        <v>no</v>
      </c>
      <c r="M76" s="1"/>
      <c r="N76" s="1"/>
    </row>
    <row r="77" spans="6:14" ht="19" hidden="1">
      <c r="F77" t="s">
        <v>1717</v>
      </c>
      <c r="G77" t="e">
        <v>#N/A</v>
      </c>
      <c r="H77" t="s">
        <v>1717</v>
      </c>
      <c r="I77" t="e">
        <v>#N/A</v>
      </c>
      <c r="L77" t="str">
        <f t="shared" si="1"/>
        <v>no</v>
      </c>
      <c r="M77" s="1"/>
      <c r="N77" s="1"/>
    </row>
    <row r="78" spans="6:14" ht="19" hidden="1">
      <c r="F78" t="s">
        <v>1717</v>
      </c>
      <c r="G78" t="e">
        <v>#N/A</v>
      </c>
      <c r="H78" t="s">
        <v>1717</v>
      </c>
      <c r="I78" t="e">
        <v>#N/A</v>
      </c>
      <c r="L78" t="str">
        <f t="shared" si="1"/>
        <v>no</v>
      </c>
      <c r="M78" s="1"/>
      <c r="N78" s="1"/>
    </row>
    <row r="79" spans="6:14" ht="19" hidden="1">
      <c r="F79" t="s">
        <v>1717</v>
      </c>
      <c r="G79" t="e">
        <v>#N/A</v>
      </c>
      <c r="H79" t="s">
        <v>1717</v>
      </c>
      <c r="I79" t="e">
        <v>#N/A</v>
      </c>
      <c r="L79" t="str">
        <f t="shared" si="1"/>
        <v>no</v>
      </c>
      <c r="M79" s="1"/>
      <c r="N79" s="1"/>
    </row>
    <row r="80" spans="6:14" ht="19" hidden="1">
      <c r="F80" t="s">
        <v>1717</v>
      </c>
      <c r="G80" t="e">
        <v>#N/A</v>
      </c>
      <c r="H80" t="s">
        <v>1717</v>
      </c>
      <c r="I80" t="e">
        <v>#N/A</v>
      </c>
      <c r="L80" t="str">
        <f t="shared" si="1"/>
        <v>no</v>
      </c>
      <c r="M80" s="1"/>
      <c r="N80" s="1"/>
    </row>
    <row r="81" spans="6:12" hidden="1">
      <c r="F81" t="s">
        <v>1717</v>
      </c>
      <c r="G81" t="e">
        <v>#N/A</v>
      </c>
      <c r="H81" t="s">
        <v>1717</v>
      </c>
      <c r="I81" t="e">
        <v>#N/A</v>
      </c>
      <c r="L81" t="str">
        <f t="shared" si="1"/>
        <v>no</v>
      </c>
    </row>
    <row r="82" spans="6:12" hidden="1">
      <c r="F82" t="s">
        <v>1717</v>
      </c>
      <c r="G82" t="e">
        <v>#N/A</v>
      </c>
      <c r="H82" t="s">
        <v>1717</v>
      </c>
      <c r="I82" t="e">
        <v>#N/A</v>
      </c>
      <c r="L82" t="str">
        <f t="shared" si="1"/>
        <v>no</v>
      </c>
    </row>
    <row r="83" spans="6:12" hidden="1">
      <c r="F83" t="s">
        <v>1717</v>
      </c>
      <c r="G83" t="e">
        <v>#N/A</v>
      </c>
      <c r="H83" t="s">
        <v>1717</v>
      </c>
      <c r="I83" t="e">
        <v>#N/A</v>
      </c>
      <c r="L83" t="str">
        <f t="shared" si="1"/>
        <v>no</v>
      </c>
    </row>
    <row r="84" spans="6:12" hidden="1">
      <c r="F84" t="s">
        <v>1717</v>
      </c>
      <c r="G84" t="e">
        <v>#N/A</v>
      </c>
      <c r="H84" t="s">
        <v>1717</v>
      </c>
      <c r="I84" t="e">
        <v>#N/A</v>
      </c>
      <c r="L84" t="str">
        <f t="shared" si="1"/>
        <v>no</v>
      </c>
    </row>
    <row r="85" spans="6:12" hidden="1">
      <c r="F85" t="s">
        <v>1717</v>
      </c>
      <c r="G85" t="e">
        <v>#N/A</v>
      </c>
      <c r="H85" t="s">
        <v>1717</v>
      </c>
      <c r="I85" t="e">
        <v>#N/A</v>
      </c>
      <c r="L85" t="str">
        <f t="shared" si="1"/>
        <v>no</v>
      </c>
    </row>
    <row r="86" spans="6:12" hidden="1">
      <c r="F86" t="s">
        <v>1717</v>
      </c>
      <c r="G86" t="e">
        <v>#N/A</v>
      </c>
      <c r="H86" t="s">
        <v>1717</v>
      </c>
      <c r="I86" t="e">
        <v>#N/A</v>
      </c>
      <c r="L86" t="str">
        <f t="shared" si="1"/>
        <v>no</v>
      </c>
    </row>
    <row r="87" spans="6:12" hidden="1">
      <c r="F87" t="s">
        <v>1717</v>
      </c>
      <c r="G87" t="e">
        <v>#N/A</v>
      </c>
      <c r="H87" t="s">
        <v>1717</v>
      </c>
      <c r="I87" t="e">
        <v>#N/A</v>
      </c>
      <c r="L87" t="str">
        <f t="shared" si="1"/>
        <v>no</v>
      </c>
    </row>
    <row r="88" spans="6:12" hidden="1">
      <c r="F88" t="s">
        <v>1717</v>
      </c>
      <c r="G88" t="e">
        <v>#N/A</v>
      </c>
      <c r="H88" t="s">
        <v>1717</v>
      </c>
      <c r="I88" t="e">
        <v>#N/A</v>
      </c>
      <c r="L88" t="str">
        <f t="shared" si="1"/>
        <v>no</v>
      </c>
    </row>
    <row r="89" spans="6:12" hidden="1">
      <c r="F89" t="s">
        <v>1717</v>
      </c>
      <c r="G89" t="e">
        <v>#N/A</v>
      </c>
      <c r="H89" t="s">
        <v>1717</v>
      </c>
      <c r="I89" t="e">
        <v>#N/A</v>
      </c>
      <c r="L89" t="str">
        <f t="shared" si="1"/>
        <v>no</v>
      </c>
    </row>
    <row r="90" spans="6:12" hidden="1">
      <c r="F90" t="s">
        <v>1717</v>
      </c>
      <c r="G90" t="e">
        <v>#N/A</v>
      </c>
      <c r="H90" t="s">
        <v>1717</v>
      </c>
      <c r="I90" t="e">
        <v>#N/A</v>
      </c>
      <c r="L90" t="str">
        <f t="shared" si="1"/>
        <v>no</v>
      </c>
    </row>
    <row r="91" spans="6:12" hidden="1">
      <c r="F91" t="s">
        <v>1717</v>
      </c>
      <c r="G91" t="e">
        <v>#N/A</v>
      </c>
      <c r="H91" t="s">
        <v>1717</v>
      </c>
      <c r="I91" t="e">
        <v>#N/A</v>
      </c>
      <c r="L91" t="str">
        <f t="shared" si="1"/>
        <v>no</v>
      </c>
    </row>
    <row r="92" spans="6:12" hidden="1">
      <c r="F92" t="s">
        <v>1717</v>
      </c>
      <c r="G92" t="e">
        <v>#N/A</v>
      </c>
      <c r="H92" t="s">
        <v>1717</v>
      </c>
      <c r="I92" t="e">
        <v>#N/A</v>
      </c>
      <c r="L92" t="str">
        <f t="shared" si="1"/>
        <v>no</v>
      </c>
    </row>
    <row r="93" spans="6:12" hidden="1">
      <c r="F93" t="s">
        <v>1717</v>
      </c>
      <c r="G93" t="e">
        <v>#N/A</v>
      </c>
      <c r="H93" t="s">
        <v>1717</v>
      </c>
      <c r="I93" t="e">
        <v>#N/A</v>
      </c>
      <c r="L93" t="str">
        <f t="shared" si="1"/>
        <v>no</v>
      </c>
    </row>
    <row r="94" spans="6:12" hidden="1">
      <c r="F94" t="s">
        <v>1717</v>
      </c>
      <c r="G94" t="e">
        <v>#N/A</v>
      </c>
      <c r="H94" t="s">
        <v>1717</v>
      </c>
      <c r="I94" t="e">
        <v>#N/A</v>
      </c>
      <c r="L94" t="str">
        <f t="shared" si="1"/>
        <v>no</v>
      </c>
    </row>
    <row r="95" spans="6:12" hidden="1">
      <c r="F95" t="s">
        <v>1717</v>
      </c>
      <c r="G95" t="e">
        <v>#N/A</v>
      </c>
      <c r="H95" t="s">
        <v>1717</v>
      </c>
      <c r="I95" t="e">
        <v>#N/A</v>
      </c>
      <c r="L95" t="str">
        <f t="shared" si="1"/>
        <v>no</v>
      </c>
    </row>
    <row r="96" spans="6:12" hidden="1">
      <c r="F96" t="s">
        <v>1717</v>
      </c>
      <c r="G96" t="e">
        <v>#N/A</v>
      </c>
      <c r="H96" t="s">
        <v>1717</v>
      </c>
      <c r="I96" t="e">
        <v>#N/A</v>
      </c>
      <c r="L96" t="str">
        <f t="shared" si="1"/>
        <v>no</v>
      </c>
    </row>
    <row r="97" spans="6:12" hidden="1">
      <c r="F97" t="s">
        <v>1717</v>
      </c>
      <c r="G97" t="e">
        <v>#N/A</v>
      </c>
      <c r="H97" t="s">
        <v>1717</v>
      </c>
      <c r="I97" t="e">
        <v>#N/A</v>
      </c>
      <c r="L97" t="str">
        <f t="shared" si="1"/>
        <v>no</v>
      </c>
    </row>
    <row r="98" spans="6:12" hidden="1">
      <c r="F98" t="s">
        <v>1717</v>
      </c>
      <c r="G98" t="e">
        <v>#N/A</v>
      </c>
      <c r="H98" t="s">
        <v>1717</v>
      </c>
      <c r="I98" t="e">
        <v>#N/A</v>
      </c>
      <c r="L98" t="str">
        <f t="shared" si="1"/>
        <v>no</v>
      </c>
    </row>
    <row r="99" spans="6:12" hidden="1">
      <c r="F99" t="s">
        <v>1717</v>
      </c>
      <c r="G99" t="e">
        <v>#N/A</v>
      </c>
      <c r="H99" t="s">
        <v>1717</v>
      </c>
      <c r="I99" t="e">
        <v>#N/A</v>
      </c>
      <c r="L99" t="str">
        <f t="shared" si="1"/>
        <v>no</v>
      </c>
    </row>
    <row r="100" spans="6:12" hidden="1">
      <c r="F100" t="s">
        <v>1717</v>
      </c>
      <c r="G100" t="e">
        <v>#N/A</v>
      </c>
      <c r="H100" t="s">
        <v>1717</v>
      </c>
      <c r="I100" t="e">
        <v>#N/A</v>
      </c>
      <c r="L100" t="str">
        <f t="shared" si="1"/>
        <v>no</v>
      </c>
    </row>
    <row r="101" spans="6:12" hidden="1">
      <c r="F101" t="s">
        <v>1717</v>
      </c>
      <c r="G101" t="e">
        <v>#N/A</v>
      </c>
      <c r="H101" t="s">
        <v>1717</v>
      </c>
      <c r="I101" t="e">
        <v>#N/A</v>
      </c>
      <c r="L101" t="str">
        <f t="shared" si="1"/>
        <v>no</v>
      </c>
    </row>
    <row r="102" spans="6:12" hidden="1">
      <c r="F102" t="s">
        <v>1717</v>
      </c>
      <c r="G102" t="e">
        <v>#N/A</v>
      </c>
      <c r="H102" t="s">
        <v>1717</v>
      </c>
      <c r="I102" t="e">
        <v>#N/A</v>
      </c>
      <c r="L102" t="str">
        <f t="shared" si="1"/>
        <v>no</v>
      </c>
    </row>
    <row r="103" spans="6:12" hidden="1">
      <c r="F103" t="s">
        <v>1717</v>
      </c>
      <c r="G103" t="e">
        <v>#N/A</v>
      </c>
      <c r="H103" t="s">
        <v>1717</v>
      </c>
      <c r="I103" t="e">
        <v>#N/A</v>
      </c>
      <c r="L103" t="str">
        <f t="shared" si="1"/>
        <v>no</v>
      </c>
    </row>
    <row r="104" spans="6:12" hidden="1">
      <c r="F104" t="s">
        <v>1717</v>
      </c>
      <c r="G104" t="e">
        <v>#N/A</v>
      </c>
      <c r="H104" t="s">
        <v>1717</v>
      </c>
      <c r="I104" t="e">
        <v>#N/A</v>
      </c>
      <c r="L104" t="str">
        <f t="shared" si="1"/>
        <v>no</v>
      </c>
    </row>
    <row r="105" spans="6:12" hidden="1">
      <c r="F105" t="s">
        <v>1717</v>
      </c>
      <c r="G105" t="e">
        <v>#N/A</v>
      </c>
      <c r="H105" t="s">
        <v>1717</v>
      </c>
      <c r="I105" t="e">
        <v>#N/A</v>
      </c>
      <c r="L105" t="str">
        <f t="shared" si="1"/>
        <v>no</v>
      </c>
    </row>
    <row r="106" spans="6:12" hidden="1">
      <c r="F106" t="s">
        <v>1717</v>
      </c>
      <c r="G106" t="e">
        <v>#N/A</v>
      </c>
      <c r="H106" t="s">
        <v>1717</v>
      </c>
      <c r="I106" t="e">
        <v>#N/A</v>
      </c>
      <c r="L106" t="str">
        <f t="shared" si="1"/>
        <v>no</v>
      </c>
    </row>
    <row r="107" spans="6:12" hidden="1">
      <c r="F107" t="s">
        <v>1717</v>
      </c>
      <c r="G107" t="e">
        <v>#N/A</v>
      </c>
      <c r="H107" t="s">
        <v>1717</v>
      </c>
      <c r="I107" t="e">
        <v>#N/A</v>
      </c>
      <c r="L107" t="str">
        <f t="shared" si="1"/>
        <v>no</v>
      </c>
    </row>
    <row r="108" spans="6:12" hidden="1">
      <c r="F108" t="s">
        <v>1717</v>
      </c>
      <c r="G108" t="e">
        <v>#N/A</v>
      </c>
      <c r="H108" t="s">
        <v>1717</v>
      </c>
      <c r="I108" t="e">
        <v>#N/A</v>
      </c>
      <c r="L108" t="str">
        <f t="shared" si="1"/>
        <v>no</v>
      </c>
    </row>
    <row r="109" spans="6:12" hidden="1">
      <c r="F109" t="s">
        <v>1717</v>
      </c>
      <c r="G109" t="e">
        <v>#N/A</v>
      </c>
      <c r="H109" t="s">
        <v>1717</v>
      </c>
      <c r="I109" t="e">
        <v>#N/A</v>
      </c>
      <c r="L109" t="str">
        <f t="shared" si="1"/>
        <v>no</v>
      </c>
    </row>
    <row r="110" spans="6:12" hidden="1">
      <c r="F110" t="s">
        <v>1717</v>
      </c>
      <c r="G110" t="e">
        <v>#N/A</v>
      </c>
      <c r="H110" t="s">
        <v>1717</v>
      </c>
      <c r="I110" t="e">
        <v>#N/A</v>
      </c>
      <c r="L110" t="str">
        <f t="shared" si="1"/>
        <v>no</v>
      </c>
    </row>
    <row r="111" spans="6:12" hidden="1">
      <c r="F111" t="s">
        <v>1717</v>
      </c>
      <c r="G111" t="e">
        <v>#N/A</v>
      </c>
      <c r="H111" t="s">
        <v>1717</v>
      </c>
      <c r="I111" t="e">
        <v>#N/A</v>
      </c>
      <c r="L111" t="str">
        <f t="shared" si="1"/>
        <v>no</v>
      </c>
    </row>
    <row r="112" spans="6:12" hidden="1">
      <c r="F112" t="s">
        <v>1717</v>
      </c>
      <c r="G112" t="e">
        <v>#N/A</v>
      </c>
      <c r="H112" t="s">
        <v>1717</v>
      </c>
      <c r="I112" t="e">
        <v>#N/A</v>
      </c>
      <c r="L112" t="str">
        <f t="shared" si="1"/>
        <v>no</v>
      </c>
    </row>
    <row r="113" spans="6:12" hidden="1">
      <c r="F113" t="s">
        <v>1717</v>
      </c>
      <c r="G113" t="e">
        <v>#N/A</v>
      </c>
      <c r="H113" t="s">
        <v>1717</v>
      </c>
      <c r="I113" t="e">
        <v>#N/A</v>
      </c>
      <c r="L113" t="str">
        <f t="shared" si="1"/>
        <v>no</v>
      </c>
    </row>
    <row r="114" spans="6:12" hidden="1">
      <c r="F114" t="s">
        <v>1717</v>
      </c>
      <c r="G114" t="e">
        <v>#N/A</v>
      </c>
      <c r="H114" t="s">
        <v>1717</v>
      </c>
      <c r="I114" t="e">
        <v>#N/A</v>
      </c>
      <c r="L114" t="str">
        <f t="shared" si="1"/>
        <v>no</v>
      </c>
    </row>
    <row r="115" spans="6:12" hidden="1">
      <c r="F115" t="s">
        <v>1717</v>
      </c>
      <c r="G115" t="e">
        <v>#N/A</v>
      </c>
      <c r="H115" t="s">
        <v>1717</v>
      </c>
      <c r="I115" t="e">
        <v>#N/A</v>
      </c>
      <c r="L115" t="str">
        <f t="shared" si="1"/>
        <v>no</v>
      </c>
    </row>
    <row r="116" spans="6:12" hidden="1">
      <c r="F116" t="s">
        <v>1717</v>
      </c>
      <c r="G116" t="e">
        <v>#N/A</v>
      </c>
      <c r="H116" t="s">
        <v>1717</v>
      </c>
      <c r="I116" t="e">
        <v>#N/A</v>
      </c>
      <c r="L116" t="str">
        <f t="shared" si="1"/>
        <v>no</v>
      </c>
    </row>
    <row r="117" spans="6:12" hidden="1">
      <c r="F117" t="s">
        <v>1717</v>
      </c>
      <c r="G117" t="e">
        <v>#N/A</v>
      </c>
      <c r="H117" t="s">
        <v>1717</v>
      </c>
      <c r="I117" t="e">
        <v>#N/A</v>
      </c>
      <c r="L117" t="str">
        <f t="shared" si="1"/>
        <v>no</v>
      </c>
    </row>
    <row r="118" spans="6:12" hidden="1">
      <c r="F118" t="s">
        <v>1717</v>
      </c>
      <c r="G118" t="e">
        <v>#N/A</v>
      </c>
      <c r="H118" t="s">
        <v>1717</v>
      </c>
      <c r="I118" t="e">
        <v>#N/A</v>
      </c>
      <c r="L118" t="str">
        <f t="shared" si="1"/>
        <v>no</v>
      </c>
    </row>
    <row r="119" spans="6:12" hidden="1">
      <c r="F119" t="s">
        <v>1717</v>
      </c>
      <c r="G119" t="e">
        <v>#N/A</v>
      </c>
      <c r="H119" t="s">
        <v>1717</v>
      </c>
      <c r="I119" t="e">
        <v>#N/A</v>
      </c>
      <c r="L119" t="str">
        <f t="shared" si="1"/>
        <v>no</v>
      </c>
    </row>
    <row r="120" spans="6:12" hidden="1">
      <c r="F120" t="s">
        <v>1717</v>
      </c>
      <c r="G120" t="e">
        <v>#N/A</v>
      </c>
      <c r="H120" t="s">
        <v>1717</v>
      </c>
      <c r="I120" t="e">
        <v>#N/A</v>
      </c>
      <c r="L120" t="str">
        <f t="shared" si="1"/>
        <v>no</v>
      </c>
    </row>
    <row r="121" spans="6:12" hidden="1">
      <c r="F121" t="s">
        <v>1717</v>
      </c>
      <c r="G121" t="e">
        <v>#N/A</v>
      </c>
      <c r="H121" t="s">
        <v>1717</v>
      </c>
      <c r="I121" t="e">
        <v>#N/A</v>
      </c>
      <c r="L121" t="str">
        <f t="shared" si="1"/>
        <v>no</v>
      </c>
    </row>
    <row r="122" spans="6:12" hidden="1">
      <c r="F122" t="s">
        <v>1717</v>
      </c>
      <c r="G122" t="e">
        <v>#N/A</v>
      </c>
      <c r="H122" t="s">
        <v>1717</v>
      </c>
      <c r="I122" t="e">
        <v>#N/A</v>
      </c>
      <c r="L122" t="str">
        <f t="shared" si="1"/>
        <v>no</v>
      </c>
    </row>
    <row r="123" spans="6:12" hidden="1">
      <c r="F123" t="s">
        <v>1717</v>
      </c>
      <c r="G123" t="e">
        <v>#N/A</v>
      </c>
      <c r="H123" t="s">
        <v>1717</v>
      </c>
      <c r="I123" t="e">
        <v>#N/A</v>
      </c>
      <c r="L123" t="str">
        <f t="shared" si="1"/>
        <v>no</v>
      </c>
    </row>
    <row r="124" spans="6:12" hidden="1">
      <c r="F124" t="s">
        <v>1717</v>
      </c>
      <c r="G124" t="e">
        <v>#N/A</v>
      </c>
      <c r="H124" t="s">
        <v>1717</v>
      </c>
      <c r="I124" t="e">
        <v>#N/A</v>
      </c>
      <c r="L124" t="str">
        <f t="shared" si="1"/>
        <v>no</v>
      </c>
    </row>
    <row r="125" spans="6:12" hidden="1">
      <c r="F125" t="s">
        <v>1717</v>
      </c>
      <c r="G125" t="e">
        <v>#N/A</v>
      </c>
      <c r="H125" t="s">
        <v>1717</v>
      </c>
      <c r="I125" t="e">
        <v>#N/A</v>
      </c>
      <c r="L125" t="str">
        <f t="shared" si="1"/>
        <v>no</v>
      </c>
    </row>
    <row r="126" spans="6:12" hidden="1">
      <c r="F126" t="s">
        <v>1717</v>
      </c>
      <c r="G126" t="e">
        <v>#N/A</v>
      </c>
      <c r="H126" t="s">
        <v>1717</v>
      </c>
      <c r="I126" t="e">
        <v>#N/A</v>
      </c>
      <c r="L126" t="str">
        <f t="shared" si="1"/>
        <v>no</v>
      </c>
    </row>
    <row r="127" spans="6:12" hidden="1">
      <c r="F127" t="s">
        <v>1717</v>
      </c>
      <c r="G127" t="e">
        <v>#N/A</v>
      </c>
      <c r="H127" t="s">
        <v>1717</v>
      </c>
      <c r="I127" t="e">
        <v>#N/A</v>
      </c>
      <c r="L127" t="str">
        <f t="shared" si="1"/>
        <v>no</v>
      </c>
    </row>
    <row r="128" spans="6:12" hidden="1">
      <c r="F128" t="s">
        <v>1717</v>
      </c>
      <c r="G128" t="e">
        <v>#N/A</v>
      </c>
      <c r="H128" t="s">
        <v>1717</v>
      </c>
      <c r="I128" t="e">
        <v>#N/A</v>
      </c>
      <c r="L128" t="str">
        <f t="shared" si="1"/>
        <v>no</v>
      </c>
    </row>
    <row r="129" spans="6:12" hidden="1">
      <c r="F129" t="s">
        <v>1717</v>
      </c>
      <c r="G129" t="e">
        <v>#N/A</v>
      </c>
      <c r="H129" t="s">
        <v>1717</v>
      </c>
      <c r="I129" t="e">
        <v>#N/A</v>
      </c>
      <c r="L129" t="str">
        <f t="shared" si="1"/>
        <v>no</v>
      </c>
    </row>
    <row r="130" spans="6:12" hidden="1">
      <c r="F130" t="s">
        <v>1717</v>
      </c>
      <c r="G130" t="e">
        <v>#N/A</v>
      </c>
      <c r="H130" t="s">
        <v>1717</v>
      </c>
      <c r="I130" t="e">
        <v>#N/A</v>
      </c>
      <c r="L130" t="str">
        <f t="shared" si="1"/>
        <v>no</v>
      </c>
    </row>
    <row r="131" spans="6:12" hidden="1">
      <c r="F131" t="s">
        <v>1717</v>
      </c>
      <c r="G131" t="e">
        <v>#N/A</v>
      </c>
      <c r="H131" t="s">
        <v>1717</v>
      </c>
      <c r="I131" t="e">
        <v>#N/A</v>
      </c>
      <c r="L131" t="str">
        <f t="shared" ref="L131:L142" si="2">IF(COUNTIF(M:M, B131)&gt;0,$M$1,IF(COUNTIF(N:N, B131)&gt;0,$N$1,"no"))</f>
        <v>no</v>
      </c>
    </row>
    <row r="132" spans="6:12" hidden="1">
      <c r="F132" t="s">
        <v>1717</v>
      </c>
      <c r="G132" t="e">
        <v>#N/A</v>
      </c>
      <c r="H132" t="s">
        <v>1717</v>
      </c>
      <c r="I132" t="e">
        <v>#N/A</v>
      </c>
      <c r="L132" t="str">
        <f t="shared" si="2"/>
        <v>no</v>
      </c>
    </row>
    <row r="133" spans="6:12" hidden="1">
      <c r="F133" t="s">
        <v>1717</v>
      </c>
      <c r="G133" t="e">
        <v>#N/A</v>
      </c>
      <c r="H133" t="s">
        <v>1717</v>
      </c>
      <c r="I133" t="e">
        <v>#N/A</v>
      </c>
      <c r="L133" t="str">
        <f t="shared" si="2"/>
        <v>no</v>
      </c>
    </row>
    <row r="134" spans="6:12" hidden="1">
      <c r="F134" t="s">
        <v>1717</v>
      </c>
      <c r="G134" t="e">
        <v>#N/A</v>
      </c>
      <c r="H134" t="s">
        <v>1717</v>
      </c>
      <c r="I134" t="e">
        <v>#N/A</v>
      </c>
      <c r="L134" t="str">
        <f t="shared" si="2"/>
        <v>no</v>
      </c>
    </row>
    <row r="135" spans="6:12" hidden="1">
      <c r="F135" t="s">
        <v>1717</v>
      </c>
      <c r="G135" t="e">
        <v>#N/A</v>
      </c>
      <c r="H135" t="s">
        <v>1717</v>
      </c>
      <c r="I135" t="e">
        <v>#N/A</v>
      </c>
      <c r="L135" t="str">
        <f t="shared" si="2"/>
        <v>no</v>
      </c>
    </row>
    <row r="136" spans="6:12" hidden="1">
      <c r="F136" t="s">
        <v>1717</v>
      </c>
      <c r="G136" t="e">
        <v>#N/A</v>
      </c>
      <c r="H136" t="s">
        <v>1717</v>
      </c>
      <c r="I136" t="e">
        <v>#N/A</v>
      </c>
      <c r="L136" t="str">
        <f t="shared" si="2"/>
        <v>no</v>
      </c>
    </row>
    <row r="137" spans="6:12" hidden="1">
      <c r="F137" t="s">
        <v>1717</v>
      </c>
      <c r="G137" t="e">
        <v>#N/A</v>
      </c>
      <c r="H137" t="s">
        <v>1717</v>
      </c>
      <c r="I137" t="e">
        <v>#N/A</v>
      </c>
      <c r="L137" t="str">
        <f t="shared" si="2"/>
        <v>no</v>
      </c>
    </row>
    <row r="138" spans="6:12" hidden="1">
      <c r="F138" t="s">
        <v>1717</v>
      </c>
      <c r="G138" t="e">
        <v>#N/A</v>
      </c>
      <c r="H138" t="s">
        <v>1717</v>
      </c>
      <c r="I138" t="e">
        <v>#N/A</v>
      </c>
      <c r="L138" t="str">
        <f t="shared" si="2"/>
        <v>no</v>
      </c>
    </row>
    <row r="139" spans="6:12" hidden="1">
      <c r="F139" t="s">
        <v>1717</v>
      </c>
      <c r="G139" t="e">
        <v>#N/A</v>
      </c>
      <c r="H139" t="s">
        <v>1717</v>
      </c>
      <c r="I139" t="e">
        <v>#N/A</v>
      </c>
      <c r="L139" t="str">
        <f t="shared" si="2"/>
        <v>no</v>
      </c>
    </row>
    <row r="140" spans="6:12" hidden="1">
      <c r="F140" t="s">
        <v>1717</v>
      </c>
      <c r="G140" t="e">
        <v>#N/A</v>
      </c>
      <c r="H140" t="s">
        <v>1717</v>
      </c>
      <c r="I140" t="e">
        <v>#N/A</v>
      </c>
      <c r="L140" t="str">
        <f t="shared" si="2"/>
        <v>no</v>
      </c>
    </row>
    <row r="141" spans="6:12" hidden="1">
      <c r="F141" t="s">
        <v>1717</v>
      </c>
      <c r="G141" t="e">
        <v>#N/A</v>
      </c>
      <c r="H141" t="s">
        <v>1717</v>
      </c>
      <c r="I141" t="e">
        <v>#N/A</v>
      </c>
      <c r="L141" t="str">
        <f t="shared" si="2"/>
        <v>no</v>
      </c>
    </row>
    <row r="142" spans="6:12" hidden="1">
      <c r="F142" t="s">
        <v>1717</v>
      </c>
      <c r="G142" t="e">
        <v>#N/A</v>
      </c>
      <c r="H142" t="s">
        <v>1717</v>
      </c>
      <c r="I142" t="e">
        <v>#N/A</v>
      </c>
      <c r="L142" t="str">
        <f t="shared" si="2"/>
        <v>no</v>
      </c>
    </row>
  </sheetData>
  <autoFilter ref="A1:N142" xr:uid="{E4DF07AD-7D71-0C47-9C67-F92D487D9B1E}">
    <filterColumn colId="11">
      <filters>
        <filter val="segmented videos list"/>
      </filters>
    </filterColumn>
  </autoFilter>
  <phoneticPr fontId="1" type="noConversion"/>
  <conditionalFormatting sqref="E1:E1048576">
    <cfRule type="cellIs" dxfId="107" priority="4" operator="equal">
      <formula>"no"</formula>
    </cfRule>
    <cfRule type="cellIs" dxfId="106" priority="5" operator="equal">
      <formula>"yes"</formula>
    </cfRule>
  </conditionalFormatting>
  <conditionalFormatting sqref="F2:F142">
    <cfRule type="expression" dxfId="105" priority="3">
      <formula>F2&lt;&gt;E2</formula>
    </cfRule>
  </conditionalFormatting>
  <conditionalFormatting sqref="H2:H142">
    <cfRule type="expression" dxfId="104" priority="2" stopIfTrue="1">
      <formula>H2&lt;&gt;E2</formula>
    </cfRule>
  </conditionalFormatting>
  <conditionalFormatting sqref="J2:J142">
    <cfRule type="expression" dxfId="103" priority="1">
      <formula>J2&lt;&gt;E2</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4C18E-9FE0-4542-B333-DFAC6B5424A6}">
  <sheetPr filterMode="1"/>
  <dimension ref="A1:N144"/>
  <sheetViews>
    <sheetView zoomScale="84" zoomScaleNormal="100" workbookViewId="0">
      <pane ySplit="1" topLeftCell="A4" activePane="bottomLeft" state="frozen"/>
      <selection pane="bottomLeft" activeCell="L150" sqref="L150"/>
    </sheetView>
  </sheetViews>
  <sheetFormatPr baseColWidth="10" defaultRowHeight="15"/>
  <cols>
    <col min="2" max="2" width="12.5" customWidth="1"/>
    <col min="3" max="3" width="4.83203125" style="2" customWidth="1"/>
    <col min="5" max="5" width="11.33203125" customWidth="1"/>
    <col min="12" max="12" width="14.33203125" customWidth="1"/>
  </cols>
  <sheetData>
    <row r="1" spans="1:14">
      <c r="A1" t="s">
        <v>88</v>
      </c>
      <c r="B1" t="s">
        <v>0</v>
      </c>
      <c r="C1" s="2" t="s">
        <v>202</v>
      </c>
      <c r="D1" t="s">
        <v>6</v>
      </c>
      <c r="E1" t="s">
        <v>1</v>
      </c>
      <c r="F1" t="s">
        <v>2059</v>
      </c>
      <c r="G1" t="s">
        <v>2061</v>
      </c>
      <c r="H1" t="s">
        <v>2058</v>
      </c>
      <c r="I1" t="s">
        <v>2060</v>
      </c>
      <c r="J1" t="s">
        <v>2058</v>
      </c>
      <c r="K1" t="s">
        <v>2060</v>
      </c>
      <c r="L1" t="s">
        <v>1067</v>
      </c>
      <c r="M1" t="s">
        <v>1192</v>
      </c>
      <c r="N1" t="s">
        <v>1105</v>
      </c>
    </row>
    <row r="2" spans="1:14" ht="19" hidden="1">
      <c r="A2">
        <v>1</v>
      </c>
      <c r="B2" s="1" t="s">
        <v>7</v>
      </c>
      <c r="C2" s="2" t="s">
        <v>271</v>
      </c>
      <c r="D2" t="s">
        <v>84</v>
      </c>
      <c r="E2" t="s">
        <v>391</v>
      </c>
      <c r="F2" t="s">
        <v>192</v>
      </c>
      <c r="G2" t="s">
        <v>2081</v>
      </c>
      <c r="H2" t="s">
        <v>192</v>
      </c>
      <c r="I2" t="s">
        <v>2236</v>
      </c>
      <c r="J2" t="s">
        <v>192</v>
      </c>
      <c r="K2" t="s">
        <v>2387</v>
      </c>
      <c r="L2" t="str">
        <f t="shared" ref="L2:L33" si="0">IF(COUNTIF(M:M, B2)&gt;0,$M$1,IF(COUNTIF(N:N, B2)&gt;0,$N$1,"no"))</f>
        <v>segmented videos list</v>
      </c>
      <c r="M2" s="1" t="s">
        <v>8</v>
      </c>
      <c r="N2" s="1" t="s">
        <v>7</v>
      </c>
    </row>
    <row r="3" spans="1:14" ht="19" hidden="1">
      <c r="A3">
        <v>2</v>
      </c>
      <c r="B3" s="1" t="s">
        <v>8</v>
      </c>
      <c r="C3" s="2" t="s">
        <v>271</v>
      </c>
      <c r="D3" t="s">
        <v>1204</v>
      </c>
      <c r="E3" t="s">
        <v>391</v>
      </c>
      <c r="F3" t="s">
        <v>192</v>
      </c>
      <c r="G3" t="s">
        <v>2102</v>
      </c>
      <c r="H3" t="s">
        <v>192</v>
      </c>
      <c r="I3" t="s">
        <v>2261</v>
      </c>
      <c r="J3" t="s">
        <v>201</v>
      </c>
      <c r="K3" t="s">
        <v>2416</v>
      </c>
      <c r="L3" t="str">
        <f t="shared" si="0"/>
        <v>to dignose</v>
      </c>
      <c r="M3" s="1" t="s">
        <v>9</v>
      </c>
      <c r="N3" s="1" t="s">
        <v>8</v>
      </c>
    </row>
    <row r="4" spans="1:14" ht="19">
      <c r="A4">
        <v>3</v>
      </c>
      <c r="B4" s="1" t="s">
        <v>9</v>
      </c>
      <c r="C4" s="2" t="s">
        <v>271</v>
      </c>
      <c r="D4" t="s">
        <v>1202</v>
      </c>
      <c r="E4" t="s">
        <v>391</v>
      </c>
      <c r="F4" t="s">
        <v>192</v>
      </c>
      <c r="G4" t="s">
        <v>2117</v>
      </c>
      <c r="H4" t="s">
        <v>192</v>
      </c>
      <c r="I4" t="s">
        <v>2272</v>
      </c>
      <c r="J4" t="s">
        <v>192</v>
      </c>
      <c r="K4" t="s">
        <v>2426</v>
      </c>
      <c r="L4" t="str">
        <f t="shared" si="0"/>
        <v>to dignose</v>
      </c>
      <c r="M4" s="1" t="s">
        <v>10</v>
      </c>
      <c r="N4" s="1" t="s">
        <v>9</v>
      </c>
    </row>
    <row r="5" spans="1:14" ht="19" hidden="1">
      <c r="A5">
        <v>4</v>
      </c>
      <c r="B5" s="1" t="s">
        <v>10</v>
      </c>
      <c r="C5" s="2" t="s">
        <v>271</v>
      </c>
      <c r="D5" t="s">
        <v>1204</v>
      </c>
      <c r="E5" t="s">
        <v>391</v>
      </c>
      <c r="F5" t="s">
        <v>201</v>
      </c>
      <c r="G5" t="s">
        <v>2127</v>
      </c>
      <c r="H5" t="s">
        <v>201</v>
      </c>
      <c r="I5" t="s">
        <v>2206</v>
      </c>
      <c r="J5" t="s">
        <v>201</v>
      </c>
      <c r="K5" t="s">
        <v>2436</v>
      </c>
      <c r="L5" t="str">
        <f t="shared" si="0"/>
        <v>to dignose</v>
      </c>
      <c r="M5" s="1" t="s">
        <v>203</v>
      </c>
      <c r="N5" s="1" t="s">
        <v>10</v>
      </c>
    </row>
    <row r="6" spans="1:14" ht="19" hidden="1">
      <c r="A6">
        <v>5</v>
      </c>
      <c r="B6" s="1" t="s">
        <v>203</v>
      </c>
      <c r="C6" s="2" t="s">
        <v>267</v>
      </c>
      <c r="D6" t="s">
        <v>1203</v>
      </c>
      <c r="E6" t="s">
        <v>391</v>
      </c>
      <c r="F6" t="s">
        <v>201</v>
      </c>
      <c r="G6" t="s">
        <v>2067</v>
      </c>
      <c r="H6" t="s">
        <v>201</v>
      </c>
      <c r="I6" t="s">
        <v>2225</v>
      </c>
      <c r="J6" t="s">
        <v>201</v>
      </c>
      <c r="K6" t="s">
        <v>2301</v>
      </c>
      <c r="L6" t="str">
        <f t="shared" si="0"/>
        <v>to dignose</v>
      </c>
      <c r="M6" s="1" t="s">
        <v>11</v>
      </c>
      <c r="N6" s="1" t="s">
        <v>203</v>
      </c>
    </row>
    <row r="7" spans="1:14" ht="19" hidden="1">
      <c r="A7">
        <v>6</v>
      </c>
      <c r="B7" s="1" t="s">
        <v>11</v>
      </c>
      <c r="C7" s="2" t="s">
        <v>271</v>
      </c>
      <c r="D7" t="s">
        <v>1203</v>
      </c>
      <c r="E7" t="s">
        <v>391</v>
      </c>
      <c r="F7" t="s">
        <v>201</v>
      </c>
      <c r="G7" t="s">
        <v>2090</v>
      </c>
      <c r="H7" t="s">
        <v>201</v>
      </c>
      <c r="I7" t="s">
        <v>2245</v>
      </c>
      <c r="J7" t="s">
        <v>201</v>
      </c>
      <c r="K7" t="s">
        <v>2395</v>
      </c>
      <c r="L7" t="str">
        <f t="shared" si="0"/>
        <v>to dignose</v>
      </c>
      <c r="M7" s="1" t="s">
        <v>204</v>
      </c>
      <c r="N7" s="1" t="s">
        <v>11</v>
      </c>
    </row>
    <row r="8" spans="1:14" ht="19" hidden="1">
      <c r="A8">
        <v>7</v>
      </c>
      <c r="B8" s="1" t="s">
        <v>12</v>
      </c>
      <c r="C8" s="2" t="s">
        <v>271</v>
      </c>
      <c r="D8" t="s">
        <v>86</v>
      </c>
      <c r="E8" t="s">
        <v>391</v>
      </c>
      <c r="F8" t="s">
        <v>1717</v>
      </c>
      <c r="G8" t="e">
        <v>#N/A</v>
      </c>
      <c r="H8" t="s">
        <v>1717</v>
      </c>
      <c r="I8" t="e">
        <v>#N/A</v>
      </c>
      <c r="J8" t="s">
        <v>1717</v>
      </c>
      <c r="K8" t="e">
        <v>#N/A</v>
      </c>
      <c r="L8" t="str">
        <f t="shared" si="0"/>
        <v>no</v>
      </c>
      <c r="M8" s="1" t="s">
        <v>13</v>
      </c>
      <c r="N8" s="1" t="s">
        <v>204</v>
      </c>
    </row>
    <row r="9" spans="1:14" ht="19" hidden="1">
      <c r="A9">
        <v>8</v>
      </c>
      <c r="B9" s="1" t="s">
        <v>204</v>
      </c>
      <c r="C9" s="2" t="s">
        <v>271</v>
      </c>
      <c r="D9" t="s">
        <v>1223</v>
      </c>
      <c r="E9" t="s">
        <v>391</v>
      </c>
      <c r="F9" t="s">
        <v>201</v>
      </c>
      <c r="G9" t="s">
        <v>2123</v>
      </c>
      <c r="H9" t="s">
        <v>201</v>
      </c>
      <c r="I9" t="s">
        <v>2291</v>
      </c>
      <c r="J9" t="s">
        <v>201</v>
      </c>
      <c r="K9" t="s">
        <v>2432</v>
      </c>
      <c r="L9" t="str">
        <f t="shared" si="0"/>
        <v>to dignose</v>
      </c>
      <c r="M9" s="1" t="s">
        <v>14</v>
      </c>
      <c r="N9" s="1" t="s">
        <v>13</v>
      </c>
    </row>
    <row r="10" spans="1:14" ht="19" hidden="1">
      <c r="A10">
        <v>9</v>
      </c>
      <c r="B10" s="1" t="s">
        <v>13</v>
      </c>
      <c r="C10" s="2" t="s">
        <v>271</v>
      </c>
      <c r="D10" t="s">
        <v>1203</v>
      </c>
      <c r="E10" t="s">
        <v>391</v>
      </c>
      <c r="F10" t="s">
        <v>201</v>
      </c>
      <c r="G10" t="s">
        <v>2083</v>
      </c>
      <c r="H10" t="s">
        <v>201</v>
      </c>
      <c r="I10" t="s">
        <v>2265</v>
      </c>
      <c r="J10" t="s">
        <v>201</v>
      </c>
      <c r="K10" t="s">
        <v>2420</v>
      </c>
      <c r="L10" t="str">
        <f t="shared" si="0"/>
        <v>to dignose</v>
      </c>
      <c r="M10" s="1" t="s">
        <v>211</v>
      </c>
      <c r="N10" s="1" t="s">
        <v>14</v>
      </c>
    </row>
    <row r="11" spans="1:14" ht="19">
      <c r="A11">
        <v>10</v>
      </c>
      <c r="B11" s="1" t="s">
        <v>14</v>
      </c>
      <c r="C11" s="2" t="s">
        <v>271</v>
      </c>
      <c r="D11" t="s">
        <v>1201</v>
      </c>
      <c r="E11" t="s">
        <v>391</v>
      </c>
      <c r="F11" t="s">
        <v>192</v>
      </c>
      <c r="G11" t="s">
        <v>2079</v>
      </c>
      <c r="H11" t="s">
        <v>192</v>
      </c>
      <c r="I11" t="s">
        <v>2234</v>
      </c>
      <c r="J11" t="s">
        <v>192</v>
      </c>
      <c r="K11" t="s">
        <v>2385</v>
      </c>
      <c r="L11" t="str">
        <f t="shared" si="0"/>
        <v>to dignose</v>
      </c>
      <c r="M11" s="1" t="s">
        <v>21</v>
      </c>
      <c r="N11" s="1" t="s">
        <v>208</v>
      </c>
    </row>
    <row r="12" spans="1:14" ht="19" hidden="1">
      <c r="A12">
        <v>11</v>
      </c>
      <c r="B12" s="1" t="s">
        <v>205</v>
      </c>
      <c r="C12" s="2" t="s">
        <v>269</v>
      </c>
      <c r="D12" t="s">
        <v>84</v>
      </c>
      <c r="E12" t="s">
        <v>391</v>
      </c>
      <c r="F12" t="s">
        <v>1717</v>
      </c>
      <c r="G12" t="e">
        <v>#N/A</v>
      </c>
      <c r="H12" t="s">
        <v>1717</v>
      </c>
      <c r="I12" t="e">
        <v>#N/A</v>
      </c>
      <c r="J12" t="s">
        <v>1717</v>
      </c>
      <c r="K12" t="e">
        <v>#N/A</v>
      </c>
      <c r="L12" t="str">
        <f t="shared" si="0"/>
        <v>no</v>
      </c>
      <c r="M12" s="1" t="s">
        <v>22</v>
      </c>
      <c r="N12" s="1" t="s">
        <v>19</v>
      </c>
    </row>
    <row r="13" spans="1:14" ht="19" hidden="1">
      <c r="A13">
        <v>12</v>
      </c>
      <c r="B13" s="1" t="s">
        <v>206</v>
      </c>
      <c r="C13" s="2" t="s">
        <v>267</v>
      </c>
      <c r="D13" t="s">
        <v>84</v>
      </c>
      <c r="E13" t="s">
        <v>391</v>
      </c>
      <c r="F13" t="s">
        <v>1717</v>
      </c>
      <c r="G13" t="e">
        <v>#N/A</v>
      </c>
      <c r="H13" t="s">
        <v>1717</v>
      </c>
      <c r="I13" t="e">
        <v>#N/A</v>
      </c>
      <c r="J13" t="s">
        <v>1717</v>
      </c>
      <c r="K13" t="e">
        <v>#N/A</v>
      </c>
      <c r="L13" t="str">
        <f t="shared" si="0"/>
        <v>no</v>
      </c>
      <c r="M13" s="1" t="s">
        <v>238</v>
      </c>
      <c r="N13" s="1" t="s">
        <v>20</v>
      </c>
    </row>
    <row r="14" spans="1:14" ht="19" hidden="1">
      <c r="A14">
        <v>13</v>
      </c>
      <c r="B14" s="1" t="s">
        <v>15</v>
      </c>
      <c r="C14" s="2" t="s">
        <v>271</v>
      </c>
      <c r="D14" t="s">
        <v>85</v>
      </c>
      <c r="E14" t="s">
        <v>391</v>
      </c>
      <c r="F14" t="s">
        <v>1717</v>
      </c>
      <c r="G14" t="e">
        <v>#N/A</v>
      </c>
      <c r="H14" t="s">
        <v>1717</v>
      </c>
      <c r="I14" t="e">
        <v>#N/A</v>
      </c>
      <c r="J14" t="s">
        <v>1717</v>
      </c>
      <c r="K14" t="e">
        <v>#N/A</v>
      </c>
      <c r="L14" t="str">
        <f t="shared" si="0"/>
        <v>no</v>
      </c>
      <c r="M14" s="1" t="s">
        <v>28</v>
      </c>
      <c r="N14" s="1" t="s">
        <v>209</v>
      </c>
    </row>
    <row r="15" spans="1:14" ht="19" hidden="1">
      <c r="A15">
        <v>14</v>
      </c>
      <c r="B15" s="1" t="s">
        <v>207</v>
      </c>
      <c r="C15" s="2" t="s">
        <v>267</v>
      </c>
      <c r="D15" t="s">
        <v>84</v>
      </c>
      <c r="E15" t="s">
        <v>391</v>
      </c>
      <c r="F15" t="s">
        <v>1717</v>
      </c>
      <c r="G15" t="e">
        <v>#N/A</v>
      </c>
      <c r="H15" t="s">
        <v>1717</v>
      </c>
      <c r="I15" t="e">
        <v>#N/A</v>
      </c>
      <c r="J15" t="s">
        <v>1717</v>
      </c>
      <c r="K15" t="e">
        <v>#N/A</v>
      </c>
      <c r="L15" t="str">
        <f t="shared" si="0"/>
        <v>no</v>
      </c>
      <c r="M15" s="1" t="s">
        <v>29</v>
      </c>
      <c r="N15" s="1" t="s">
        <v>210</v>
      </c>
    </row>
    <row r="16" spans="1:14" ht="19" hidden="1">
      <c r="A16">
        <v>15</v>
      </c>
      <c r="B16" s="1" t="s">
        <v>16</v>
      </c>
      <c r="C16" s="2" t="s">
        <v>271</v>
      </c>
      <c r="D16" t="s">
        <v>84</v>
      </c>
      <c r="E16" t="s">
        <v>391</v>
      </c>
      <c r="F16" t="s">
        <v>1717</v>
      </c>
      <c r="G16" t="e">
        <v>#N/A</v>
      </c>
      <c r="H16" t="s">
        <v>1717</v>
      </c>
      <c r="I16" t="e">
        <v>#N/A</v>
      </c>
      <c r="J16" t="s">
        <v>1717</v>
      </c>
      <c r="K16" t="e">
        <v>#N/A</v>
      </c>
      <c r="L16" t="str">
        <f t="shared" si="0"/>
        <v>no</v>
      </c>
      <c r="M16" s="1" t="s">
        <v>30</v>
      </c>
      <c r="N16" s="1" t="s">
        <v>211</v>
      </c>
    </row>
    <row r="17" spans="1:14" ht="19" hidden="1">
      <c r="A17">
        <v>16</v>
      </c>
      <c r="B17" s="1" t="s">
        <v>17</v>
      </c>
      <c r="C17" s="2" t="s">
        <v>271</v>
      </c>
      <c r="D17" t="s">
        <v>84</v>
      </c>
      <c r="E17" t="s">
        <v>391</v>
      </c>
      <c r="F17" t="s">
        <v>1717</v>
      </c>
      <c r="G17" t="e">
        <v>#N/A</v>
      </c>
      <c r="H17" t="s">
        <v>1717</v>
      </c>
      <c r="I17" t="e">
        <v>#N/A</v>
      </c>
      <c r="J17" t="s">
        <v>1717</v>
      </c>
      <c r="K17" t="e">
        <v>#N/A</v>
      </c>
      <c r="L17" t="str">
        <f t="shared" si="0"/>
        <v>no</v>
      </c>
      <c r="M17" s="1" t="s">
        <v>31</v>
      </c>
      <c r="N17" s="1" t="s">
        <v>212</v>
      </c>
    </row>
    <row r="18" spans="1:14" ht="19" hidden="1">
      <c r="A18">
        <v>17</v>
      </c>
      <c r="B18" s="1" t="s">
        <v>18</v>
      </c>
      <c r="C18" s="2" t="s">
        <v>271</v>
      </c>
      <c r="D18" t="s">
        <v>85</v>
      </c>
      <c r="E18" t="s">
        <v>391</v>
      </c>
      <c r="F18" t="s">
        <v>1717</v>
      </c>
      <c r="G18" t="e">
        <v>#N/A</v>
      </c>
      <c r="H18" t="s">
        <v>1717</v>
      </c>
      <c r="I18" t="e">
        <v>#N/A</v>
      </c>
      <c r="J18" t="s">
        <v>1717</v>
      </c>
      <c r="K18" t="e">
        <v>#N/A</v>
      </c>
      <c r="L18" t="str">
        <f t="shared" si="0"/>
        <v>no</v>
      </c>
      <c r="M18" s="1" t="s">
        <v>33</v>
      </c>
      <c r="N18" s="1" t="s">
        <v>213</v>
      </c>
    </row>
    <row r="19" spans="1:14" ht="19" hidden="1">
      <c r="A19">
        <v>18</v>
      </c>
      <c r="B19" s="1" t="s">
        <v>208</v>
      </c>
      <c r="C19" s="2" t="s">
        <v>267</v>
      </c>
      <c r="D19" t="s">
        <v>84</v>
      </c>
      <c r="E19" t="s">
        <v>391</v>
      </c>
      <c r="F19" t="s">
        <v>192</v>
      </c>
      <c r="G19" t="s">
        <v>2086</v>
      </c>
      <c r="H19" t="s">
        <v>192</v>
      </c>
      <c r="I19" t="s">
        <v>2241</v>
      </c>
      <c r="J19" t="s">
        <v>192</v>
      </c>
      <c r="K19" t="s">
        <v>2391</v>
      </c>
      <c r="L19" t="str">
        <f t="shared" si="0"/>
        <v>segmented videos list</v>
      </c>
      <c r="M19" s="1" t="s">
        <v>34</v>
      </c>
      <c r="N19" s="1" t="s">
        <v>21</v>
      </c>
    </row>
    <row r="20" spans="1:14" ht="19" hidden="1">
      <c r="A20">
        <v>19</v>
      </c>
      <c r="B20" s="1" t="s">
        <v>19</v>
      </c>
      <c r="C20" s="2" t="s">
        <v>271</v>
      </c>
      <c r="D20" t="s">
        <v>84</v>
      </c>
      <c r="E20" t="s">
        <v>391</v>
      </c>
      <c r="F20" t="s">
        <v>192</v>
      </c>
      <c r="G20" t="s">
        <v>2101</v>
      </c>
      <c r="H20" t="s">
        <v>192</v>
      </c>
      <c r="I20" t="s">
        <v>2260</v>
      </c>
      <c r="J20" t="s">
        <v>192</v>
      </c>
      <c r="K20" t="s">
        <v>2415</v>
      </c>
      <c r="L20" t="str">
        <f t="shared" si="0"/>
        <v>segmented videos list</v>
      </c>
      <c r="M20" s="1" t="s">
        <v>37</v>
      </c>
      <c r="N20" s="1" t="s">
        <v>22</v>
      </c>
    </row>
    <row r="21" spans="1:14" ht="19" hidden="1">
      <c r="A21">
        <v>20</v>
      </c>
      <c r="B21" s="1" t="s">
        <v>20</v>
      </c>
      <c r="C21" s="2" t="s">
        <v>271</v>
      </c>
      <c r="D21" t="s">
        <v>84</v>
      </c>
      <c r="E21" t="s">
        <v>391</v>
      </c>
      <c r="F21" t="s">
        <v>192</v>
      </c>
      <c r="G21" t="s">
        <v>2074</v>
      </c>
      <c r="H21" t="s">
        <v>192</v>
      </c>
      <c r="I21" t="s">
        <v>2227</v>
      </c>
      <c r="J21" t="s">
        <v>192</v>
      </c>
      <c r="K21" t="s">
        <v>2378</v>
      </c>
      <c r="L21" t="str">
        <f t="shared" si="0"/>
        <v>segmented videos list</v>
      </c>
      <c r="M21" s="1" t="s">
        <v>38</v>
      </c>
      <c r="N21" s="1" t="s">
        <v>217</v>
      </c>
    </row>
    <row r="22" spans="1:14" ht="19" hidden="1">
      <c r="A22">
        <v>21</v>
      </c>
      <c r="B22" s="1" t="s">
        <v>209</v>
      </c>
      <c r="C22" s="2" t="s">
        <v>272</v>
      </c>
      <c r="D22" t="s">
        <v>84</v>
      </c>
      <c r="E22" t="s">
        <v>391</v>
      </c>
      <c r="F22" t="s">
        <v>192</v>
      </c>
      <c r="G22" t="s">
        <v>2136</v>
      </c>
      <c r="H22" t="s">
        <v>192</v>
      </c>
      <c r="I22" t="s">
        <v>2269</v>
      </c>
      <c r="J22" t="s">
        <v>192</v>
      </c>
      <c r="K22" t="s">
        <v>2423</v>
      </c>
      <c r="L22" t="str">
        <f t="shared" si="0"/>
        <v>segmented videos list</v>
      </c>
      <c r="M22" s="1" t="s">
        <v>40</v>
      </c>
      <c r="N22" s="1" t="s">
        <v>218</v>
      </c>
    </row>
    <row r="23" spans="1:14" ht="19" hidden="1">
      <c r="A23">
        <v>22</v>
      </c>
      <c r="B23" s="1" t="s">
        <v>210</v>
      </c>
      <c r="C23" s="2" t="s">
        <v>267</v>
      </c>
      <c r="D23" t="s">
        <v>84</v>
      </c>
      <c r="E23" t="s">
        <v>391</v>
      </c>
      <c r="F23" t="s">
        <v>192</v>
      </c>
      <c r="G23" t="s">
        <v>2107</v>
      </c>
      <c r="H23" t="s">
        <v>192</v>
      </c>
      <c r="I23" t="s">
        <v>2267</v>
      </c>
      <c r="J23" t="s">
        <v>192</v>
      </c>
      <c r="K23" t="s">
        <v>2439</v>
      </c>
      <c r="L23" t="str">
        <f t="shared" si="0"/>
        <v>segmented videos list</v>
      </c>
      <c r="M23" s="1" t="s">
        <v>55</v>
      </c>
      <c r="N23" s="1" t="s">
        <v>220</v>
      </c>
    </row>
    <row r="24" spans="1:14" ht="19" hidden="1">
      <c r="A24">
        <v>23</v>
      </c>
      <c r="B24" s="1" t="s">
        <v>211</v>
      </c>
      <c r="C24" s="2" t="s">
        <v>271</v>
      </c>
      <c r="D24" t="s">
        <v>1204</v>
      </c>
      <c r="E24" t="s">
        <v>391</v>
      </c>
      <c r="F24" t="s">
        <v>201</v>
      </c>
      <c r="G24" t="s">
        <v>2082</v>
      </c>
      <c r="H24" t="s">
        <v>201</v>
      </c>
      <c r="I24" t="s">
        <v>2237</v>
      </c>
      <c r="J24" t="s">
        <v>201</v>
      </c>
      <c r="K24" t="s">
        <v>2388</v>
      </c>
      <c r="L24" t="str">
        <f t="shared" si="0"/>
        <v>to dignose</v>
      </c>
      <c r="M24" s="1" t="s">
        <v>58</v>
      </c>
      <c r="N24" s="1" t="s">
        <v>221</v>
      </c>
    </row>
    <row r="25" spans="1:14" ht="19" hidden="1">
      <c r="A25">
        <v>24</v>
      </c>
      <c r="B25" s="1" t="s">
        <v>212</v>
      </c>
      <c r="C25" s="2" t="s">
        <v>273</v>
      </c>
      <c r="D25" t="s">
        <v>84</v>
      </c>
      <c r="E25" t="s">
        <v>391</v>
      </c>
      <c r="F25" t="s">
        <v>192</v>
      </c>
      <c r="G25" t="s">
        <v>2118</v>
      </c>
      <c r="H25" t="s">
        <v>192</v>
      </c>
      <c r="I25" t="s">
        <v>2273</v>
      </c>
      <c r="J25" t="s">
        <v>192</v>
      </c>
      <c r="K25" t="s">
        <v>2427</v>
      </c>
      <c r="L25" t="str">
        <f t="shared" si="0"/>
        <v>segmented videos list</v>
      </c>
      <c r="M25" s="1" t="s">
        <v>255</v>
      </c>
      <c r="N25" s="1" t="s">
        <v>222</v>
      </c>
    </row>
    <row r="26" spans="1:14" ht="19" hidden="1">
      <c r="A26">
        <v>25</v>
      </c>
      <c r="B26" s="1" t="s">
        <v>213</v>
      </c>
      <c r="C26" s="2" t="s">
        <v>273</v>
      </c>
      <c r="D26" t="s">
        <v>84</v>
      </c>
      <c r="E26" t="s">
        <v>391</v>
      </c>
      <c r="F26" t="s">
        <v>192</v>
      </c>
      <c r="G26" t="s">
        <v>2116</v>
      </c>
      <c r="H26" t="s">
        <v>192</v>
      </c>
      <c r="I26" t="s">
        <v>2271</v>
      </c>
      <c r="J26" t="s">
        <v>192</v>
      </c>
      <c r="K26" t="s">
        <v>2425</v>
      </c>
      <c r="L26" t="str">
        <f t="shared" si="0"/>
        <v>segmented videos list</v>
      </c>
      <c r="M26" s="1" t="s">
        <v>59</v>
      </c>
      <c r="N26" s="1" t="s">
        <v>223</v>
      </c>
    </row>
    <row r="27" spans="1:14" ht="19" hidden="1">
      <c r="A27">
        <v>26</v>
      </c>
      <c r="B27" s="1" t="s">
        <v>21</v>
      </c>
      <c r="C27" s="2" t="s">
        <v>271</v>
      </c>
      <c r="D27" t="s">
        <v>1230</v>
      </c>
      <c r="E27" t="s">
        <v>391</v>
      </c>
      <c r="F27" t="s">
        <v>201</v>
      </c>
      <c r="G27" t="s">
        <v>2066</v>
      </c>
      <c r="H27" t="s">
        <v>201</v>
      </c>
      <c r="I27" t="s">
        <v>2224</v>
      </c>
      <c r="J27" t="s">
        <v>201</v>
      </c>
      <c r="K27" t="s">
        <v>2372</v>
      </c>
      <c r="L27" t="str">
        <f t="shared" si="0"/>
        <v>to dignose</v>
      </c>
      <c r="M27" s="1" t="s">
        <v>61</v>
      </c>
      <c r="N27" s="1" t="s">
        <v>27</v>
      </c>
    </row>
    <row r="28" spans="1:14" ht="19" hidden="1">
      <c r="A28">
        <v>27</v>
      </c>
      <c r="B28" s="1" t="s">
        <v>22</v>
      </c>
      <c r="C28" s="2" t="s">
        <v>271</v>
      </c>
      <c r="D28" t="s">
        <v>1231</v>
      </c>
      <c r="E28" t="s">
        <v>391</v>
      </c>
      <c r="F28" t="s">
        <v>192</v>
      </c>
      <c r="G28" t="s">
        <v>2063</v>
      </c>
      <c r="H28" t="s">
        <v>201</v>
      </c>
      <c r="I28" t="s">
        <v>2221</v>
      </c>
      <c r="J28" t="s">
        <v>192</v>
      </c>
      <c r="K28" t="s">
        <v>2369</v>
      </c>
      <c r="L28" t="str">
        <f t="shared" si="0"/>
        <v>to dignose</v>
      </c>
      <c r="M28" s="1"/>
      <c r="N28" s="1" t="s">
        <v>224</v>
      </c>
    </row>
    <row r="29" spans="1:14" ht="19" hidden="1">
      <c r="A29">
        <v>28</v>
      </c>
      <c r="B29" s="1" t="s">
        <v>214</v>
      </c>
      <c r="C29" s="2" t="s">
        <v>269</v>
      </c>
      <c r="D29" t="s">
        <v>84</v>
      </c>
      <c r="E29" t="s">
        <v>391</v>
      </c>
      <c r="F29" t="s">
        <v>1717</v>
      </c>
      <c r="G29" t="e">
        <v>#N/A</v>
      </c>
      <c r="H29" t="s">
        <v>1717</v>
      </c>
      <c r="I29" t="e">
        <v>#N/A</v>
      </c>
      <c r="J29" t="s">
        <v>1717</v>
      </c>
      <c r="K29" t="e">
        <v>#N/A</v>
      </c>
      <c r="L29" t="str">
        <f t="shared" si="0"/>
        <v>no</v>
      </c>
      <c r="M29" s="1"/>
      <c r="N29" s="1" t="s">
        <v>225</v>
      </c>
    </row>
    <row r="30" spans="1:14" ht="19" hidden="1">
      <c r="A30">
        <v>29</v>
      </c>
      <c r="B30" s="1" t="s">
        <v>23</v>
      </c>
      <c r="C30" s="2" t="s">
        <v>271</v>
      </c>
      <c r="D30" t="s">
        <v>87</v>
      </c>
      <c r="E30" t="s">
        <v>391</v>
      </c>
      <c r="F30" t="s">
        <v>1717</v>
      </c>
      <c r="G30" t="e">
        <v>#N/A</v>
      </c>
      <c r="H30" t="s">
        <v>1717</v>
      </c>
      <c r="I30" t="e">
        <v>#N/A</v>
      </c>
      <c r="J30" t="s">
        <v>1717</v>
      </c>
      <c r="K30" t="e">
        <v>#N/A</v>
      </c>
      <c r="L30" t="str">
        <f t="shared" si="0"/>
        <v>no</v>
      </c>
      <c r="M30" s="1"/>
      <c r="N30" s="1" t="s">
        <v>226</v>
      </c>
    </row>
    <row r="31" spans="1:14" ht="19" hidden="1">
      <c r="A31">
        <v>30</v>
      </c>
      <c r="B31" s="1" t="s">
        <v>215</v>
      </c>
      <c r="C31" s="2" t="s">
        <v>269</v>
      </c>
      <c r="D31" t="s">
        <v>84</v>
      </c>
      <c r="E31" t="s">
        <v>391</v>
      </c>
      <c r="F31" t="s">
        <v>1717</v>
      </c>
      <c r="G31" t="e">
        <v>#N/A</v>
      </c>
      <c r="H31" t="s">
        <v>1717</v>
      </c>
      <c r="I31" t="e">
        <v>#N/A</v>
      </c>
      <c r="J31" t="s">
        <v>1717</v>
      </c>
      <c r="K31" t="e">
        <v>#N/A</v>
      </c>
      <c r="L31" t="str">
        <f t="shared" si="0"/>
        <v>no</v>
      </c>
      <c r="M31" s="1"/>
      <c r="N31" s="1" t="s">
        <v>227</v>
      </c>
    </row>
    <row r="32" spans="1:14" ht="19" hidden="1">
      <c r="A32">
        <v>31</v>
      </c>
      <c r="B32" s="1" t="s">
        <v>216</v>
      </c>
      <c r="C32" s="2" t="s">
        <v>269</v>
      </c>
      <c r="D32" t="s">
        <v>84</v>
      </c>
      <c r="E32" t="s">
        <v>391</v>
      </c>
      <c r="F32" t="s">
        <v>1717</v>
      </c>
      <c r="G32" t="e">
        <v>#N/A</v>
      </c>
      <c r="H32" t="s">
        <v>1717</v>
      </c>
      <c r="I32" t="e">
        <v>#N/A</v>
      </c>
      <c r="J32" t="s">
        <v>1717</v>
      </c>
      <c r="K32" t="e">
        <v>#N/A</v>
      </c>
      <c r="L32" t="str">
        <f t="shared" si="0"/>
        <v>no</v>
      </c>
      <c r="M32" s="1"/>
      <c r="N32" s="1" t="s">
        <v>228</v>
      </c>
    </row>
    <row r="33" spans="1:14" ht="19" hidden="1">
      <c r="A33">
        <v>32</v>
      </c>
      <c r="B33" s="1" t="s">
        <v>24</v>
      </c>
      <c r="C33" s="2" t="s">
        <v>271</v>
      </c>
      <c r="D33" t="s">
        <v>84</v>
      </c>
      <c r="E33" t="s">
        <v>391</v>
      </c>
      <c r="F33" t="s">
        <v>1717</v>
      </c>
      <c r="G33" t="e">
        <v>#N/A</v>
      </c>
      <c r="H33" t="s">
        <v>1717</v>
      </c>
      <c r="I33" t="e">
        <v>#N/A</v>
      </c>
      <c r="J33" t="s">
        <v>1717</v>
      </c>
      <c r="K33" t="e">
        <v>#N/A</v>
      </c>
      <c r="L33" t="str">
        <f t="shared" si="0"/>
        <v>no</v>
      </c>
      <c r="M33" s="1"/>
      <c r="N33" s="1" t="s">
        <v>229</v>
      </c>
    </row>
    <row r="34" spans="1:14" ht="19" hidden="1">
      <c r="A34">
        <v>33</v>
      </c>
      <c r="B34" s="1" t="s">
        <v>25</v>
      </c>
      <c r="C34" s="2" t="s">
        <v>271</v>
      </c>
      <c r="D34" t="s">
        <v>84</v>
      </c>
      <c r="E34" t="s">
        <v>391</v>
      </c>
      <c r="F34" t="s">
        <v>1717</v>
      </c>
      <c r="G34" t="e">
        <v>#N/A</v>
      </c>
      <c r="H34" t="s">
        <v>1717</v>
      </c>
      <c r="I34" t="e">
        <v>#N/A</v>
      </c>
      <c r="J34" t="s">
        <v>1717</v>
      </c>
      <c r="K34" t="e">
        <v>#N/A</v>
      </c>
      <c r="L34" t="str">
        <f t="shared" ref="L34:L65" si="1">IF(COUNTIF(M:M, B34)&gt;0,$M$1,IF(COUNTIF(N:N, B34)&gt;0,$N$1,"no"))</f>
        <v>no</v>
      </c>
      <c r="M34" s="1"/>
      <c r="N34" s="1" t="s">
        <v>230</v>
      </c>
    </row>
    <row r="35" spans="1:14" ht="19" hidden="1">
      <c r="A35">
        <v>34</v>
      </c>
      <c r="B35" s="1" t="s">
        <v>217</v>
      </c>
      <c r="C35" s="2" t="s">
        <v>267</v>
      </c>
      <c r="D35" t="s">
        <v>84</v>
      </c>
      <c r="E35" t="s">
        <v>391</v>
      </c>
      <c r="F35" t="s">
        <v>192</v>
      </c>
      <c r="G35" t="s">
        <v>2126</v>
      </c>
      <c r="H35" t="s">
        <v>192</v>
      </c>
      <c r="I35" t="s">
        <v>2294</v>
      </c>
      <c r="J35" t="s">
        <v>192</v>
      </c>
      <c r="K35" t="s">
        <v>2435</v>
      </c>
      <c r="L35" t="str">
        <f t="shared" si="1"/>
        <v>segmented videos list</v>
      </c>
      <c r="M35" s="1"/>
      <c r="N35" s="1" t="s">
        <v>231</v>
      </c>
    </row>
    <row r="36" spans="1:14" ht="19" hidden="1">
      <c r="A36">
        <v>35</v>
      </c>
      <c r="B36" s="1" t="s">
        <v>218</v>
      </c>
      <c r="C36" s="2" t="s">
        <v>269</v>
      </c>
      <c r="D36" t="s">
        <v>84</v>
      </c>
      <c r="E36" t="s">
        <v>391</v>
      </c>
      <c r="F36" t="s">
        <v>192</v>
      </c>
      <c r="G36" t="s">
        <v>2115</v>
      </c>
      <c r="H36" t="s">
        <v>192</v>
      </c>
      <c r="I36" t="s">
        <v>2270</v>
      </c>
      <c r="J36" t="s">
        <v>192</v>
      </c>
      <c r="K36" t="s">
        <v>2424</v>
      </c>
      <c r="L36" t="str">
        <f t="shared" si="1"/>
        <v>segmented videos list</v>
      </c>
      <c r="M36" s="1"/>
      <c r="N36" s="1" t="s">
        <v>232</v>
      </c>
    </row>
    <row r="37" spans="1:14" ht="19" hidden="1">
      <c r="A37">
        <v>36</v>
      </c>
      <c r="B37" s="1" t="s">
        <v>219</v>
      </c>
      <c r="C37" s="2" t="s">
        <v>269</v>
      </c>
      <c r="D37" t="s">
        <v>84</v>
      </c>
      <c r="E37" t="s">
        <v>391</v>
      </c>
      <c r="F37" t="s">
        <v>1717</v>
      </c>
      <c r="G37" t="e">
        <v>#N/A</v>
      </c>
      <c r="H37" t="s">
        <v>1717</v>
      </c>
      <c r="I37" t="e">
        <v>#N/A</v>
      </c>
      <c r="J37" t="s">
        <v>1717</v>
      </c>
      <c r="K37" t="e">
        <v>#N/A</v>
      </c>
      <c r="L37" t="str">
        <f t="shared" si="1"/>
        <v>no</v>
      </c>
      <c r="M37" s="1"/>
      <c r="N37" s="1" t="s">
        <v>233</v>
      </c>
    </row>
    <row r="38" spans="1:14" ht="19" hidden="1">
      <c r="A38">
        <v>37</v>
      </c>
      <c r="B38" s="1" t="s">
        <v>220</v>
      </c>
      <c r="C38" s="2" t="s">
        <v>269</v>
      </c>
      <c r="D38" t="s">
        <v>84</v>
      </c>
      <c r="E38" t="s">
        <v>391</v>
      </c>
      <c r="F38" t="s">
        <v>192</v>
      </c>
      <c r="G38" t="s">
        <v>2085</v>
      </c>
      <c r="H38" t="s">
        <v>192</v>
      </c>
      <c r="I38" t="s">
        <v>2240</v>
      </c>
      <c r="J38" t="s">
        <v>192</v>
      </c>
      <c r="K38" t="s">
        <v>2390</v>
      </c>
      <c r="L38" t="str">
        <f t="shared" si="1"/>
        <v>segmented videos list</v>
      </c>
      <c r="M38" s="1"/>
      <c r="N38" s="1" t="s">
        <v>234</v>
      </c>
    </row>
    <row r="39" spans="1:14" ht="19" hidden="1">
      <c r="A39">
        <v>38</v>
      </c>
      <c r="B39" s="1" t="s">
        <v>221</v>
      </c>
      <c r="C39" s="2" t="s">
        <v>269</v>
      </c>
      <c r="D39" t="s">
        <v>84</v>
      </c>
      <c r="E39" t="s">
        <v>391</v>
      </c>
      <c r="F39" t="s">
        <v>192</v>
      </c>
      <c r="G39" t="s">
        <v>2099</v>
      </c>
      <c r="H39" t="s">
        <v>192</v>
      </c>
      <c r="I39" t="s">
        <v>2258</v>
      </c>
      <c r="J39" t="s">
        <v>192</v>
      </c>
      <c r="K39" t="s">
        <v>2413</v>
      </c>
      <c r="L39" t="str">
        <f t="shared" si="1"/>
        <v>segmented videos list</v>
      </c>
      <c r="M39" s="1"/>
      <c r="N39" s="1" t="s">
        <v>235</v>
      </c>
    </row>
    <row r="40" spans="1:14" ht="19" hidden="1">
      <c r="A40">
        <v>39</v>
      </c>
      <c r="B40" s="1" t="s">
        <v>222</v>
      </c>
      <c r="C40" s="2" t="s">
        <v>267</v>
      </c>
      <c r="D40" t="s">
        <v>84</v>
      </c>
      <c r="E40" t="s">
        <v>391</v>
      </c>
      <c r="F40" t="s">
        <v>192</v>
      </c>
      <c r="G40" t="s">
        <v>2096</v>
      </c>
      <c r="H40" t="s">
        <v>192</v>
      </c>
      <c r="I40" t="s">
        <v>2255</v>
      </c>
      <c r="J40" t="s">
        <v>192</v>
      </c>
      <c r="K40" t="s">
        <v>2410</v>
      </c>
      <c r="L40" t="str">
        <f t="shared" si="1"/>
        <v>segmented videos list</v>
      </c>
      <c r="M40" s="1"/>
      <c r="N40" s="1" t="s">
        <v>236</v>
      </c>
    </row>
    <row r="41" spans="1:14" ht="19" hidden="1">
      <c r="A41">
        <v>40</v>
      </c>
      <c r="B41" s="1" t="s">
        <v>26</v>
      </c>
      <c r="C41" s="2" t="s">
        <v>271</v>
      </c>
      <c r="D41" t="s">
        <v>84</v>
      </c>
      <c r="E41" t="s">
        <v>391</v>
      </c>
      <c r="F41" t="s">
        <v>1717</v>
      </c>
      <c r="G41" t="e">
        <v>#N/A</v>
      </c>
      <c r="H41" t="s">
        <v>1717</v>
      </c>
      <c r="I41" t="e">
        <v>#N/A</v>
      </c>
      <c r="J41" t="s">
        <v>1717</v>
      </c>
      <c r="K41" t="e">
        <v>#N/A</v>
      </c>
      <c r="L41" t="str">
        <f t="shared" si="1"/>
        <v>no</v>
      </c>
      <c r="M41" s="1"/>
      <c r="N41" s="1" t="s">
        <v>237</v>
      </c>
    </row>
    <row r="42" spans="1:14" ht="19" hidden="1">
      <c r="A42">
        <v>41</v>
      </c>
      <c r="B42" s="1" t="s">
        <v>223</v>
      </c>
      <c r="C42" s="2" t="s">
        <v>269</v>
      </c>
      <c r="D42" t="s">
        <v>84</v>
      </c>
      <c r="E42" t="s">
        <v>391</v>
      </c>
      <c r="F42" t="s">
        <v>192</v>
      </c>
      <c r="G42" t="s">
        <v>2110</v>
      </c>
      <c r="H42" t="s">
        <v>192</v>
      </c>
      <c r="I42" t="s">
        <v>2250</v>
      </c>
      <c r="J42" t="s">
        <v>192</v>
      </c>
      <c r="K42" t="s">
        <v>2400</v>
      </c>
      <c r="L42" t="str">
        <f t="shared" si="1"/>
        <v>segmented videos list</v>
      </c>
      <c r="M42" s="1"/>
      <c r="N42" s="1" t="s">
        <v>238</v>
      </c>
    </row>
    <row r="43" spans="1:14" ht="19" hidden="1">
      <c r="A43">
        <v>42</v>
      </c>
      <c r="B43" s="1" t="s">
        <v>27</v>
      </c>
      <c r="C43" s="2" t="s">
        <v>271</v>
      </c>
      <c r="D43" t="s">
        <v>84</v>
      </c>
      <c r="E43" t="s">
        <v>391</v>
      </c>
      <c r="F43" t="s">
        <v>192</v>
      </c>
      <c r="G43" t="s">
        <v>2093</v>
      </c>
      <c r="H43" t="s">
        <v>192</v>
      </c>
      <c r="I43" t="s">
        <v>2248</v>
      </c>
      <c r="J43" t="s">
        <v>192</v>
      </c>
      <c r="K43" t="s">
        <v>2398</v>
      </c>
      <c r="L43" t="str">
        <f t="shared" si="1"/>
        <v>segmented videos list</v>
      </c>
      <c r="M43" s="1"/>
      <c r="N43" s="1" t="s">
        <v>28</v>
      </c>
    </row>
    <row r="44" spans="1:14" ht="19" hidden="1">
      <c r="A44">
        <v>43</v>
      </c>
      <c r="B44" s="1" t="s">
        <v>224</v>
      </c>
      <c r="C44" s="2" t="s">
        <v>267</v>
      </c>
      <c r="D44" t="s">
        <v>84</v>
      </c>
      <c r="E44" t="s">
        <v>391</v>
      </c>
      <c r="F44" t="s">
        <v>192</v>
      </c>
      <c r="G44" t="s">
        <v>2129</v>
      </c>
      <c r="H44" t="s">
        <v>192</v>
      </c>
      <c r="I44" t="s">
        <v>2284</v>
      </c>
      <c r="J44" t="s">
        <v>192</v>
      </c>
      <c r="K44" t="s">
        <v>2405</v>
      </c>
      <c r="L44" t="str">
        <f t="shared" si="1"/>
        <v>segmented videos list</v>
      </c>
      <c r="M44" s="1"/>
      <c r="N44" s="1" t="s">
        <v>29</v>
      </c>
    </row>
    <row r="45" spans="1:14" ht="19" hidden="1">
      <c r="A45">
        <v>44</v>
      </c>
      <c r="B45" s="1" t="s">
        <v>225</v>
      </c>
      <c r="C45" s="2" t="s">
        <v>274</v>
      </c>
      <c r="D45" t="s">
        <v>84</v>
      </c>
      <c r="E45" t="s">
        <v>391</v>
      </c>
      <c r="F45" t="s">
        <v>192</v>
      </c>
      <c r="G45" t="s">
        <v>2068</v>
      </c>
      <c r="H45" t="s">
        <v>192</v>
      </c>
      <c r="I45" t="s">
        <v>2226</v>
      </c>
      <c r="J45" t="s">
        <v>192</v>
      </c>
      <c r="K45" s="5" t="s">
        <v>2373</v>
      </c>
      <c r="L45" t="str">
        <f t="shared" si="1"/>
        <v>segmented videos list</v>
      </c>
      <c r="M45" s="1"/>
      <c r="N45" s="1" t="s">
        <v>239</v>
      </c>
    </row>
    <row r="46" spans="1:14" ht="19" hidden="1">
      <c r="A46">
        <v>45</v>
      </c>
      <c r="B46" s="1" t="s">
        <v>226</v>
      </c>
      <c r="C46" s="2" t="s">
        <v>274</v>
      </c>
      <c r="D46" t="s">
        <v>84</v>
      </c>
      <c r="E46" t="s">
        <v>391</v>
      </c>
      <c r="F46" t="s">
        <v>192</v>
      </c>
      <c r="G46" t="s">
        <v>2105</v>
      </c>
      <c r="H46" t="s">
        <v>192</v>
      </c>
      <c r="I46" t="s">
        <v>2264</v>
      </c>
      <c r="J46" t="s">
        <v>192</v>
      </c>
      <c r="K46" t="s">
        <v>2419</v>
      </c>
      <c r="L46" t="str">
        <f t="shared" si="1"/>
        <v>segmented videos list</v>
      </c>
      <c r="M46" s="1"/>
      <c r="N46" s="1" t="s">
        <v>30</v>
      </c>
    </row>
    <row r="47" spans="1:14" ht="19" hidden="1">
      <c r="A47">
        <v>46</v>
      </c>
      <c r="B47" s="1" t="s">
        <v>227</v>
      </c>
      <c r="C47" s="2" t="s">
        <v>269</v>
      </c>
      <c r="D47" t="s">
        <v>84</v>
      </c>
      <c r="E47" t="s">
        <v>391</v>
      </c>
      <c r="F47" t="s">
        <v>192</v>
      </c>
      <c r="G47" t="s">
        <v>2062</v>
      </c>
      <c r="H47" t="s">
        <v>192</v>
      </c>
      <c r="I47" t="s">
        <v>2220</v>
      </c>
      <c r="J47" t="s">
        <v>192</v>
      </c>
      <c r="K47" t="s">
        <v>2368</v>
      </c>
      <c r="L47" t="str">
        <f t="shared" si="1"/>
        <v>segmented videos list</v>
      </c>
      <c r="M47" s="1"/>
      <c r="N47" s="1" t="s">
        <v>240</v>
      </c>
    </row>
    <row r="48" spans="1:14" ht="19" hidden="1">
      <c r="A48">
        <v>47</v>
      </c>
      <c r="B48" s="1" t="s">
        <v>228</v>
      </c>
      <c r="C48" s="2" t="s">
        <v>269</v>
      </c>
      <c r="D48" t="s">
        <v>84</v>
      </c>
      <c r="E48" t="s">
        <v>391</v>
      </c>
      <c r="F48" t="s">
        <v>192</v>
      </c>
      <c r="G48" t="s">
        <v>2111</v>
      </c>
      <c r="H48" t="s">
        <v>192</v>
      </c>
      <c r="I48" t="s">
        <v>2251</v>
      </c>
      <c r="J48" t="s">
        <v>192</v>
      </c>
      <c r="K48" t="s">
        <v>2401</v>
      </c>
      <c r="L48" t="str">
        <f t="shared" si="1"/>
        <v>segmented videos list</v>
      </c>
      <c r="M48" s="1"/>
      <c r="N48" s="1" t="s">
        <v>31</v>
      </c>
    </row>
    <row r="49" spans="1:14" ht="19" hidden="1">
      <c r="A49">
        <v>48</v>
      </c>
      <c r="B49" s="1" t="s">
        <v>229</v>
      </c>
      <c r="C49" s="2" t="s">
        <v>269</v>
      </c>
      <c r="D49" t="s">
        <v>84</v>
      </c>
      <c r="E49" t="s">
        <v>391</v>
      </c>
      <c r="F49" t="s">
        <v>192</v>
      </c>
      <c r="G49" t="s">
        <v>2092</v>
      </c>
      <c r="H49" t="s">
        <v>192</v>
      </c>
      <c r="I49" t="s">
        <v>2247</v>
      </c>
      <c r="J49" t="s">
        <v>192</v>
      </c>
      <c r="K49" t="s">
        <v>2397</v>
      </c>
      <c r="L49" t="str">
        <f t="shared" si="1"/>
        <v>segmented videos list</v>
      </c>
      <c r="M49" s="1"/>
      <c r="N49" s="1" t="s">
        <v>241</v>
      </c>
    </row>
    <row r="50" spans="1:14" ht="19" hidden="1">
      <c r="A50">
        <v>49</v>
      </c>
      <c r="B50" s="1" t="s">
        <v>230</v>
      </c>
      <c r="C50" s="2" t="s">
        <v>269</v>
      </c>
      <c r="D50" t="s">
        <v>84</v>
      </c>
      <c r="E50" t="s">
        <v>391</v>
      </c>
      <c r="F50" t="s">
        <v>192</v>
      </c>
      <c r="G50" t="s">
        <v>2098</v>
      </c>
      <c r="H50" t="s">
        <v>192</v>
      </c>
      <c r="I50" t="s">
        <v>2257</v>
      </c>
      <c r="J50" t="s">
        <v>192</v>
      </c>
      <c r="K50" t="s">
        <v>2412</v>
      </c>
      <c r="L50" t="str">
        <f t="shared" si="1"/>
        <v>segmented videos list</v>
      </c>
      <c r="M50" s="1"/>
      <c r="N50" s="1" t="s">
        <v>32</v>
      </c>
    </row>
    <row r="51" spans="1:14" ht="19" hidden="1">
      <c r="A51">
        <v>50</v>
      </c>
      <c r="B51" s="1" t="s">
        <v>231</v>
      </c>
      <c r="C51" s="2" t="s">
        <v>269</v>
      </c>
      <c r="D51" t="s">
        <v>84</v>
      </c>
      <c r="E51" t="s">
        <v>391</v>
      </c>
      <c r="F51" t="s">
        <v>192</v>
      </c>
      <c r="G51" t="s">
        <v>2064</v>
      </c>
      <c r="H51" t="s">
        <v>192</v>
      </c>
      <c r="I51" t="s">
        <v>2222</v>
      </c>
      <c r="J51" t="s">
        <v>192</v>
      </c>
      <c r="K51" t="s">
        <v>2370</v>
      </c>
      <c r="L51" t="str">
        <f t="shared" si="1"/>
        <v>segmented videos list</v>
      </c>
      <c r="M51" s="1"/>
      <c r="N51" s="1" t="s">
        <v>33</v>
      </c>
    </row>
    <row r="52" spans="1:14" ht="19" hidden="1">
      <c r="A52">
        <v>51</v>
      </c>
      <c r="B52" s="1" t="s">
        <v>232</v>
      </c>
      <c r="C52" s="2" t="s">
        <v>274</v>
      </c>
      <c r="D52" t="s">
        <v>84</v>
      </c>
      <c r="E52" t="s">
        <v>391</v>
      </c>
      <c r="F52" t="s">
        <v>192</v>
      </c>
      <c r="G52" t="s">
        <v>2065</v>
      </c>
      <c r="H52" t="s">
        <v>192</v>
      </c>
      <c r="I52" t="s">
        <v>2223</v>
      </c>
      <c r="J52" t="s">
        <v>192</v>
      </c>
      <c r="K52" t="s">
        <v>2371</v>
      </c>
      <c r="L52" t="str">
        <f t="shared" si="1"/>
        <v>segmented videos list</v>
      </c>
      <c r="M52" s="1"/>
      <c r="N52" s="1" t="s">
        <v>34</v>
      </c>
    </row>
    <row r="53" spans="1:14" ht="19" hidden="1">
      <c r="A53">
        <v>52</v>
      </c>
      <c r="B53" s="1" t="s">
        <v>233</v>
      </c>
      <c r="C53" s="2" t="s">
        <v>274</v>
      </c>
      <c r="D53" t="s">
        <v>84</v>
      </c>
      <c r="E53" t="s">
        <v>391</v>
      </c>
      <c r="F53" t="s">
        <v>192</v>
      </c>
      <c r="G53" t="s">
        <v>2104</v>
      </c>
      <c r="H53" t="s">
        <v>192</v>
      </c>
      <c r="I53" t="s">
        <v>2263</v>
      </c>
      <c r="J53" t="s">
        <v>192</v>
      </c>
      <c r="K53" t="s">
        <v>2418</v>
      </c>
      <c r="L53" t="str">
        <f t="shared" si="1"/>
        <v>segmented videos list</v>
      </c>
      <c r="M53" s="1"/>
      <c r="N53" s="1" t="s">
        <v>35</v>
      </c>
    </row>
    <row r="54" spans="1:14" ht="19" hidden="1">
      <c r="A54">
        <v>53</v>
      </c>
      <c r="B54" s="1" t="s">
        <v>234</v>
      </c>
      <c r="C54" s="2" t="s">
        <v>274</v>
      </c>
      <c r="D54" t="s">
        <v>84</v>
      </c>
      <c r="E54" t="s">
        <v>391</v>
      </c>
      <c r="F54" t="s">
        <v>192</v>
      </c>
      <c r="G54" t="s">
        <v>2075</v>
      </c>
      <c r="H54" t="s">
        <v>192</v>
      </c>
      <c r="I54" t="s">
        <v>2230</v>
      </c>
      <c r="J54" t="s">
        <v>192</v>
      </c>
      <c r="K54" t="s">
        <v>2381</v>
      </c>
      <c r="L54" t="str">
        <f t="shared" si="1"/>
        <v>segmented videos list</v>
      </c>
      <c r="M54" s="1"/>
      <c r="N54" s="1" t="s">
        <v>36</v>
      </c>
    </row>
    <row r="55" spans="1:14" ht="19" hidden="1">
      <c r="A55">
        <v>54</v>
      </c>
      <c r="B55" s="1" t="s">
        <v>235</v>
      </c>
      <c r="C55" s="2" t="s">
        <v>274</v>
      </c>
      <c r="D55" t="s">
        <v>84</v>
      </c>
      <c r="E55" t="s">
        <v>391</v>
      </c>
      <c r="F55" t="s">
        <v>192</v>
      </c>
      <c r="G55" t="s">
        <v>2076</v>
      </c>
      <c r="H55" t="s">
        <v>192</v>
      </c>
      <c r="I55" t="s">
        <v>2231</v>
      </c>
      <c r="J55" t="s">
        <v>192</v>
      </c>
      <c r="K55" t="s">
        <v>2382</v>
      </c>
      <c r="L55" t="str">
        <f t="shared" si="1"/>
        <v>segmented videos list</v>
      </c>
      <c r="M55" s="1"/>
      <c r="N55" s="1" t="s">
        <v>37</v>
      </c>
    </row>
    <row r="56" spans="1:14" ht="19" hidden="1">
      <c r="A56">
        <v>55</v>
      </c>
      <c r="B56" s="1" t="s">
        <v>236</v>
      </c>
      <c r="C56" s="2" t="s">
        <v>269</v>
      </c>
      <c r="D56" t="s">
        <v>84</v>
      </c>
      <c r="E56" t="s">
        <v>391</v>
      </c>
      <c r="F56" t="s">
        <v>192</v>
      </c>
      <c r="G56" t="s">
        <v>2112</v>
      </c>
      <c r="H56" t="s">
        <v>192</v>
      </c>
      <c r="I56" t="s">
        <v>2252</v>
      </c>
      <c r="J56" t="s">
        <v>192</v>
      </c>
      <c r="K56" t="s">
        <v>2402</v>
      </c>
      <c r="L56" t="str">
        <f t="shared" si="1"/>
        <v>segmented videos list</v>
      </c>
      <c r="M56" s="1"/>
      <c r="N56" s="1" t="s">
        <v>38</v>
      </c>
    </row>
    <row r="57" spans="1:14" ht="19" hidden="1">
      <c r="A57">
        <v>56</v>
      </c>
      <c r="B57" s="1" t="s">
        <v>237</v>
      </c>
      <c r="C57" s="2" t="s">
        <v>269</v>
      </c>
      <c r="D57" t="s">
        <v>84</v>
      </c>
      <c r="E57" t="s">
        <v>391</v>
      </c>
      <c r="F57" t="s">
        <v>192</v>
      </c>
      <c r="G57" t="s">
        <v>2080</v>
      </c>
      <c r="H57" t="s">
        <v>192</v>
      </c>
      <c r="I57" t="s">
        <v>2235</v>
      </c>
      <c r="J57" t="s">
        <v>192</v>
      </c>
      <c r="K57" t="s">
        <v>2386</v>
      </c>
      <c r="L57" t="str">
        <f t="shared" si="1"/>
        <v>segmented videos list</v>
      </c>
      <c r="M57" s="1"/>
      <c r="N57" s="1" t="s">
        <v>39</v>
      </c>
    </row>
    <row r="58" spans="1:14" ht="19">
      <c r="A58">
        <v>57</v>
      </c>
      <c r="B58" s="1" t="s">
        <v>238</v>
      </c>
      <c r="C58" s="2" t="s">
        <v>269</v>
      </c>
      <c r="D58" t="s">
        <v>1201</v>
      </c>
      <c r="E58" t="s">
        <v>391</v>
      </c>
      <c r="F58" t="s">
        <v>201</v>
      </c>
      <c r="G58" t="s">
        <v>2124</v>
      </c>
      <c r="H58" t="s">
        <v>192</v>
      </c>
      <c r="I58" t="s">
        <v>2292</v>
      </c>
      <c r="J58" t="s">
        <v>192</v>
      </c>
      <c r="K58" t="s">
        <v>2433</v>
      </c>
      <c r="L58" t="str">
        <f t="shared" si="1"/>
        <v>to dignose</v>
      </c>
      <c r="M58" s="1"/>
      <c r="N58" s="1" t="s">
        <v>242</v>
      </c>
    </row>
    <row r="59" spans="1:14" ht="19">
      <c r="A59">
        <v>58</v>
      </c>
      <c r="B59" s="1" t="s">
        <v>28</v>
      </c>
      <c r="C59" s="2" t="s">
        <v>271</v>
      </c>
      <c r="D59" t="s">
        <v>1201</v>
      </c>
      <c r="E59" t="s">
        <v>391</v>
      </c>
      <c r="F59" t="s">
        <v>201</v>
      </c>
      <c r="G59" t="s">
        <v>2078</v>
      </c>
      <c r="H59" t="s">
        <v>201</v>
      </c>
      <c r="I59" t="s">
        <v>2233</v>
      </c>
      <c r="J59" t="s">
        <v>201</v>
      </c>
      <c r="K59" t="s">
        <v>2384</v>
      </c>
      <c r="L59" t="str">
        <f t="shared" si="1"/>
        <v>to dignose</v>
      </c>
      <c r="M59" s="1"/>
      <c r="N59" s="1" t="s">
        <v>40</v>
      </c>
    </row>
    <row r="60" spans="1:14" ht="19" hidden="1">
      <c r="A60">
        <v>59</v>
      </c>
      <c r="B60" s="1" t="s">
        <v>29</v>
      </c>
      <c r="C60" s="2" t="s">
        <v>271</v>
      </c>
      <c r="D60" t="s">
        <v>1204</v>
      </c>
      <c r="E60" t="s">
        <v>391</v>
      </c>
      <c r="F60" t="s">
        <v>192</v>
      </c>
      <c r="G60" t="s">
        <v>2134</v>
      </c>
      <c r="H60" t="s">
        <v>192</v>
      </c>
      <c r="I60" t="s">
        <v>2289</v>
      </c>
      <c r="J60" t="s">
        <v>192</v>
      </c>
      <c r="K60" t="s">
        <v>2422</v>
      </c>
      <c r="L60" t="str">
        <f t="shared" si="1"/>
        <v>to dignose</v>
      </c>
      <c r="M60" s="1"/>
      <c r="N60" s="1" t="s">
        <v>251</v>
      </c>
    </row>
    <row r="61" spans="1:14" ht="19" hidden="1">
      <c r="A61">
        <v>60</v>
      </c>
      <c r="B61" s="1" t="s">
        <v>239</v>
      </c>
      <c r="C61" s="2" t="s">
        <v>269</v>
      </c>
      <c r="D61" t="s">
        <v>84</v>
      </c>
      <c r="E61" t="s">
        <v>391</v>
      </c>
      <c r="F61" t="s">
        <v>192</v>
      </c>
      <c r="G61" t="s">
        <v>2087</v>
      </c>
      <c r="H61" t="s">
        <v>192</v>
      </c>
      <c r="I61" t="s">
        <v>2242</v>
      </c>
      <c r="J61" t="s">
        <v>192</v>
      </c>
      <c r="K61" t="s">
        <v>2392</v>
      </c>
      <c r="L61" t="str">
        <f t="shared" si="1"/>
        <v>segmented videos list</v>
      </c>
      <c r="M61" s="1"/>
      <c r="N61" s="1" t="s">
        <v>54</v>
      </c>
    </row>
    <row r="62" spans="1:14" ht="19">
      <c r="A62">
        <v>61</v>
      </c>
      <c r="B62" s="1" t="s">
        <v>30</v>
      </c>
      <c r="C62" s="2" t="s">
        <v>271</v>
      </c>
      <c r="D62" t="s">
        <v>1201</v>
      </c>
      <c r="E62" t="s">
        <v>391</v>
      </c>
      <c r="F62" t="s">
        <v>201</v>
      </c>
      <c r="G62" t="s">
        <v>2109</v>
      </c>
      <c r="H62" t="s">
        <v>201</v>
      </c>
      <c r="I62" t="s">
        <v>2229</v>
      </c>
      <c r="J62" t="s">
        <v>201</v>
      </c>
      <c r="K62" t="s">
        <v>2380</v>
      </c>
      <c r="L62" t="str">
        <f t="shared" si="1"/>
        <v>to dignose</v>
      </c>
      <c r="M62" s="1"/>
      <c r="N62" s="1" t="s">
        <v>55</v>
      </c>
    </row>
    <row r="63" spans="1:14" ht="19" hidden="1">
      <c r="A63">
        <v>62</v>
      </c>
      <c r="B63" s="1" t="s">
        <v>240</v>
      </c>
      <c r="C63" s="2" t="s">
        <v>269</v>
      </c>
      <c r="D63" t="s">
        <v>84</v>
      </c>
      <c r="E63" t="s">
        <v>391</v>
      </c>
      <c r="F63" t="s">
        <v>192</v>
      </c>
      <c r="G63" t="s">
        <v>2094</v>
      </c>
      <c r="H63" t="s">
        <v>192</v>
      </c>
      <c r="I63" t="s">
        <v>2249</v>
      </c>
      <c r="J63" t="s">
        <v>192</v>
      </c>
      <c r="K63" t="s">
        <v>2399</v>
      </c>
      <c r="L63" t="str">
        <f t="shared" si="1"/>
        <v>segmented videos list</v>
      </c>
      <c r="M63" s="1"/>
      <c r="N63" s="1" t="s">
        <v>252</v>
      </c>
    </row>
    <row r="64" spans="1:14" ht="19">
      <c r="A64">
        <v>63</v>
      </c>
      <c r="B64" s="1" t="s">
        <v>31</v>
      </c>
      <c r="C64" s="2" t="s">
        <v>271</v>
      </c>
      <c r="D64" t="s">
        <v>1201</v>
      </c>
      <c r="E64" t="s">
        <v>391</v>
      </c>
      <c r="F64" t="s">
        <v>201</v>
      </c>
      <c r="G64" t="s">
        <v>2125</v>
      </c>
      <c r="H64" t="s">
        <v>201</v>
      </c>
      <c r="I64" t="s">
        <v>2293</v>
      </c>
      <c r="J64" t="s">
        <v>201</v>
      </c>
      <c r="K64" t="s">
        <v>2434</v>
      </c>
      <c r="L64" t="str">
        <f t="shared" si="1"/>
        <v>to dignose</v>
      </c>
      <c r="M64" s="1"/>
      <c r="N64" s="1" t="s">
        <v>56</v>
      </c>
    </row>
    <row r="65" spans="1:14" ht="19" hidden="1">
      <c r="A65">
        <v>64</v>
      </c>
      <c r="B65" s="1" t="s">
        <v>241</v>
      </c>
      <c r="C65" s="2" t="s">
        <v>269</v>
      </c>
      <c r="D65" t="s">
        <v>84</v>
      </c>
      <c r="E65" t="s">
        <v>391</v>
      </c>
      <c r="F65" t="s">
        <v>192</v>
      </c>
      <c r="G65" t="s">
        <v>2073</v>
      </c>
      <c r="H65" t="s">
        <v>192</v>
      </c>
      <c r="I65" t="s">
        <v>2283</v>
      </c>
      <c r="J65" t="s">
        <v>192</v>
      </c>
      <c r="K65" t="s">
        <v>2377</v>
      </c>
      <c r="L65" t="str">
        <f t="shared" si="1"/>
        <v>segmented videos list</v>
      </c>
      <c r="M65" s="1"/>
      <c r="N65" s="1" t="s">
        <v>253</v>
      </c>
    </row>
    <row r="66" spans="1:14" ht="19" hidden="1">
      <c r="A66">
        <v>65</v>
      </c>
      <c r="B66" s="1" t="s">
        <v>32</v>
      </c>
      <c r="C66" s="2" t="s">
        <v>271</v>
      </c>
      <c r="D66" t="s">
        <v>84</v>
      </c>
      <c r="E66" t="s">
        <v>391</v>
      </c>
      <c r="F66" t="s">
        <v>192</v>
      </c>
      <c r="G66" t="s">
        <v>2103</v>
      </c>
      <c r="H66" t="s">
        <v>192</v>
      </c>
      <c r="I66" t="s">
        <v>2262</v>
      </c>
      <c r="J66" t="s">
        <v>192</v>
      </c>
      <c r="K66" t="s">
        <v>2417</v>
      </c>
      <c r="L66" t="str">
        <f t="shared" ref="L66:L97" si="2">IF(COUNTIF(M:M, B66)&gt;0,$M$1,IF(COUNTIF(N:N, B66)&gt;0,$N$1,"no"))</f>
        <v>segmented videos list</v>
      </c>
      <c r="M66" s="1"/>
      <c r="N66" s="1" t="s">
        <v>57</v>
      </c>
    </row>
    <row r="67" spans="1:14" ht="19" hidden="1">
      <c r="A67">
        <v>66</v>
      </c>
      <c r="B67" s="1" t="s">
        <v>33</v>
      </c>
      <c r="C67" s="2" t="s">
        <v>271</v>
      </c>
      <c r="D67" t="s">
        <v>1204</v>
      </c>
      <c r="E67" t="s">
        <v>391</v>
      </c>
      <c r="F67" t="s">
        <v>192</v>
      </c>
      <c r="G67" t="s">
        <v>2113</v>
      </c>
      <c r="H67" t="s">
        <v>192</v>
      </c>
      <c r="I67" t="s">
        <v>2253</v>
      </c>
      <c r="J67" t="s">
        <v>192</v>
      </c>
      <c r="K67" t="s">
        <v>2403</v>
      </c>
      <c r="L67" t="str">
        <f t="shared" si="2"/>
        <v>to dignose</v>
      </c>
      <c r="M67" s="1"/>
      <c r="N67" s="1" t="s">
        <v>58</v>
      </c>
    </row>
    <row r="68" spans="1:14" ht="19" hidden="1">
      <c r="A68">
        <v>67</v>
      </c>
      <c r="B68" s="1" t="s">
        <v>34</v>
      </c>
      <c r="C68" s="2" t="s">
        <v>271</v>
      </c>
      <c r="D68" t="s">
        <v>1204</v>
      </c>
      <c r="E68" t="s">
        <v>391</v>
      </c>
      <c r="F68" t="s">
        <v>192</v>
      </c>
      <c r="G68" t="s">
        <v>2135</v>
      </c>
      <c r="H68" t="s">
        <v>201</v>
      </c>
      <c r="I68" t="s">
        <v>2268</v>
      </c>
      <c r="J68" t="s">
        <v>201</v>
      </c>
      <c r="K68" t="s">
        <v>2355</v>
      </c>
      <c r="L68" t="str">
        <f t="shared" si="2"/>
        <v>to dignose</v>
      </c>
      <c r="M68" s="1"/>
      <c r="N68" s="1" t="s">
        <v>254</v>
      </c>
    </row>
    <row r="69" spans="1:14" ht="19" hidden="1">
      <c r="A69">
        <v>68</v>
      </c>
      <c r="B69" s="1" t="s">
        <v>35</v>
      </c>
      <c r="C69" s="2" t="s">
        <v>271</v>
      </c>
      <c r="D69" t="s">
        <v>85</v>
      </c>
      <c r="E69" t="s">
        <v>391</v>
      </c>
      <c r="F69" t="s">
        <v>192</v>
      </c>
      <c r="G69" t="s">
        <v>2137</v>
      </c>
      <c r="H69" t="s">
        <v>192</v>
      </c>
      <c r="I69" t="s">
        <v>2275</v>
      </c>
      <c r="J69" t="s">
        <v>192</v>
      </c>
      <c r="K69" t="s">
        <v>2429</v>
      </c>
      <c r="L69" t="str">
        <f t="shared" si="2"/>
        <v>segmented videos list</v>
      </c>
      <c r="M69" s="1"/>
      <c r="N69" s="1" t="s">
        <v>255</v>
      </c>
    </row>
    <row r="70" spans="1:14" ht="19" hidden="1">
      <c r="A70">
        <v>69</v>
      </c>
      <c r="B70" s="1" t="s">
        <v>36</v>
      </c>
      <c r="C70" s="2" t="s">
        <v>271</v>
      </c>
      <c r="D70" t="s">
        <v>85</v>
      </c>
      <c r="E70" t="s">
        <v>391</v>
      </c>
      <c r="F70" t="s">
        <v>192</v>
      </c>
      <c r="G70" t="s">
        <v>2132</v>
      </c>
      <c r="H70" t="s">
        <v>192</v>
      </c>
      <c r="I70" t="s">
        <v>2287</v>
      </c>
      <c r="J70" t="s">
        <v>192</v>
      </c>
      <c r="K70" t="s">
        <v>2408</v>
      </c>
      <c r="L70" t="str">
        <f t="shared" si="2"/>
        <v>segmented videos list</v>
      </c>
      <c r="M70" s="1"/>
      <c r="N70" s="1" t="s">
        <v>257</v>
      </c>
    </row>
    <row r="71" spans="1:14" ht="19" hidden="1">
      <c r="A71">
        <v>70</v>
      </c>
      <c r="B71" s="1" t="s">
        <v>37</v>
      </c>
      <c r="C71" s="2" t="s">
        <v>271</v>
      </c>
      <c r="D71" t="s">
        <v>1204</v>
      </c>
      <c r="E71" t="s">
        <v>391</v>
      </c>
      <c r="F71" t="s">
        <v>192</v>
      </c>
      <c r="G71" t="s">
        <v>2114</v>
      </c>
      <c r="H71" t="s">
        <v>192</v>
      </c>
      <c r="I71" t="s">
        <v>2254</v>
      </c>
      <c r="J71" t="s">
        <v>192</v>
      </c>
      <c r="K71" t="s">
        <v>2404</v>
      </c>
      <c r="L71" t="str">
        <f t="shared" si="2"/>
        <v>to dignose</v>
      </c>
      <c r="M71" s="1"/>
      <c r="N71" s="1" t="s">
        <v>264</v>
      </c>
    </row>
    <row r="72" spans="1:14" ht="19">
      <c r="A72">
        <v>71</v>
      </c>
      <c r="B72" s="1" t="s">
        <v>38</v>
      </c>
      <c r="C72" s="2" t="s">
        <v>271</v>
      </c>
      <c r="D72" t="s">
        <v>1201</v>
      </c>
      <c r="E72" t="s">
        <v>391</v>
      </c>
      <c r="F72" t="s">
        <v>192</v>
      </c>
      <c r="G72" t="s">
        <v>2130</v>
      </c>
      <c r="H72" t="s">
        <v>192</v>
      </c>
      <c r="I72" t="s">
        <v>2285</v>
      </c>
      <c r="J72" t="s">
        <v>192</v>
      </c>
      <c r="K72" t="s">
        <v>2406</v>
      </c>
      <c r="L72" t="str">
        <f t="shared" si="2"/>
        <v>to dignose</v>
      </c>
      <c r="M72" s="1"/>
      <c r="N72" s="1" t="s">
        <v>59</v>
      </c>
    </row>
    <row r="73" spans="1:14" ht="19" hidden="1">
      <c r="A73">
        <v>72</v>
      </c>
      <c r="B73" s="1" t="s">
        <v>39</v>
      </c>
      <c r="C73" s="2" t="s">
        <v>271</v>
      </c>
      <c r="D73" t="s">
        <v>84</v>
      </c>
      <c r="E73" t="s">
        <v>391</v>
      </c>
      <c r="F73" t="s">
        <v>192</v>
      </c>
      <c r="G73" t="s">
        <v>2091</v>
      </c>
      <c r="H73" t="s">
        <v>192</v>
      </c>
      <c r="I73" t="s">
        <v>2246</v>
      </c>
      <c r="J73" t="s">
        <v>192</v>
      </c>
      <c r="K73" t="s">
        <v>2396</v>
      </c>
      <c r="L73" t="str">
        <f t="shared" si="2"/>
        <v>segmented videos list</v>
      </c>
      <c r="M73" s="1"/>
      <c r="N73" s="1" t="s">
        <v>60</v>
      </c>
    </row>
    <row r="74" spans="1:14" ht="19" hidden="1">
      <c r="A74">
        <v>73</v>
      </c>
      <c r="B74" s="1" t="s">
        <v>242</v>
      </c>
      <c r="C74" s="2" t="s">
        <v>267</v>
      </c>
      <c r="D74" t="s">
        <v>84</v>
      </c>
      <c r="E74" t="s">
        <v>391</v>
      </c>
      <c r="F74" t="s">
        <v>192</v>
      </c>
      <c r="G74" t="s">
        <v>2070</v>
      </c>
      <c r="H74" t="s">
        <v>192</v>
      </c>
      <c r="I74" t="s">
        <v>2280</v>
      </c>
      <c r="J74" t="s">
        <v>192</v>
      </c>
      <c r="K74" t="s">
        <v>2374</v>
      </c>
      <c r="L74" t="str">
        <f t="shared" si="2"/>
        <v>segmented videos list</v>
      </c>
      <c r="M74" s="1"/>
      <c r="N74" s="1" t="s">
        <v>265</v>
      </c>
    </row>
    <row r="75" spans="1:14" ht="19" hidden="1">
      <c r="A75">
        <v>74</v>
      </c>
      <c r="B75" s="1" t="s">
        <v>40</v>
      </c>
      <c r="C75" s="2" t="s">
        <v>271</v>
      </c>
      <c r="D75" t="s">
        <v>1203</v>
      </c>
      <c r="E75" t="s">
        <v>391</v>
      </c>
      <c r="F75" t="s">
        <v>201</v>
      </c>
      <c r="G75" t="s">
        <v>2089</v>
      </c>
      <c r="H75" t="s">
        <v>201</v>
      </c>
      <c r="I75" t="s">
        <v>2244</v>
      </c>
      <c r="J75" t="s">
        <v>192</v>
      </c>
      <c r="K75" t="s">
        <v>2394</v>
      </c>
      <c r="L75" t="str">
        <f t="shared" si="2"/>
        <v>to dignose</v>
      </c>
      <c r="M75" s="1"/>
      <c r="N75" s="1" t="s">
        <v>61</v>
      </c>
    </row>
    <row r="76" spans="1:14" ht="19" hidden="1">
      <c r="A76">
        <v>75</v>
      </c>
      <c r="B76" s="1" t="s">
        <v>243</v>
      </c>
      <c r="C76" s="2" t="s">
        <v>269</v>
      </c>
      <c r="D76" t="s">
        <v>84</v>
      </c>
      <c r="E76" t="s">
        <v>391</v>
      </c>
      <c r="F76" t="s">
        <v>1717</v>
      </c>
      <c r="G76" t="e">
        <v>#N/A</v>
      </c>
      <c r="H76" t="s">
        <v>1717</v>
      </c>
      <c r="I76" t="e">
        <v>#N/A</v>
      </c>
      <c r="J76" t="s">
        <v>1717</v>
      </c>
      <c r="K76" t="e">
        <v>#N/A</v>
      </c>
      <c r="L76" t="str">
        <f t="shared" si="2"/>
        <v>no</v>
      </c>
      <c r="M76" s="1"/>
      <c r="N76" s="1" t="s">
        <v>266</v>
      </c>
    </row>
    <row r="77" spans="1:14" ht="19" hidden="1">
      <c r="A77">
        <v>76</v>
      </c>
      <c r="B77" s="1" t="s">
        <v>41</v>
      </c>
      <c r="C77" s="2" t="s">
        <v>271</v>
      </c>
      <c r="D77" t="s">
        <v>84</v>
      </c>
      <c r="E77" t="s">
        <v>391</v>
      </c>
      <c r="F77" t="s">
        <v>1717</v>
      </c>
      <c r="G77" t="e">
        <v>#N/A</v>
      </c>
      <c r="H77" t="s">
        <v>1717</v>
      </c>
      <c r="I77" t="e">
        <v>#N/A</v>
      </c>
      <c r="J77" t="s">
        <v>1717</v>
      </c>
      <c r="K77" t="e">
        <v>#N/A</v>
      </c>
      <c r="L77" t="str">
        <f t="shared" si="2"/>
        <v>no</v>
      </c>
      <c r="M77" s="1"/>
      <c r="N77" s="1" t="s">
        <v>62</v>
      </c>
    </row>
    <row r="78" spans="1:14" ht="19" hidden="1">
      <c r="A78">
        <v>77</v>
      </c>
      <c r="B78" s="1" t="s">
        <v>244</v>
      </c>
      <c r="C78" s="2" t="s">
        <v>274</v>
      </c>
      <c r="D78" t="s">
        <v>84</v>
      </c>
      <c r="E78" t="s">
        <v>391</v>
      </c>
      <c r="F78" t="s">
        <v>1717</v>
      </c>
      <c r="G78" t="e">
        <v>#N/A</v>
      </c>
      <c r="H78" t="s">
        <v>1717</v>
      </c>
      <c r="I78" t="e">
        <v>#N/A</v>
      </c>
      <c r="J78" t="s">
        <v>1717</v>
      </c>
      <c r="K78" t="e">
        <v>#N/A</v>
      </c>
      <c r="L78" t="str">
        <f t="shared" si="2"/>
        <v>no</v>
      </c>
      <c r="M78" s="1"/>
      <c r="N78" s="1" t="s">
        <v>63</v>
      </c>
    </row>
    <row r="79" spans="1:14" ht="19" hidden="1">
      <c r="A79">
        <v>78</v>
      </c>
      <c r="B79" s="1" t="s">
        <v>245</v>
      </c>
      <c r="C79" s="2" t="s">
        <v>269</v>
      </c>
      <c r="D79" t="s">
        <v>84</v>
      </c>
      <c r="E79" t="s">
        <v>391</v>
      </c>
      <c r="F79" t="s">
        <v>1717</v>
      </c>
      <c r="G79" t="e">
        <v>#N/A</v>
      </c>
      <c r="H79" t="s">
        <v>1717</v>
      </c>
      <c r="I79" t="e">
        <v>#N/A</v>
      </c>
      <c r="J79" t="s">
        <v>1717</v>
      </c>
      <c r="K79" t="e">
        <v>#N/A</v>
      </c>
      <c r="L79" t="str">
        <f t="shared" si="2"/>
        <v>no</v>
      </c>
      <c r="M79" s="1"/>
      <c r="N79" s="1"/>
    </row>
    <row r="80" spans="1:14" ht="19" hidden="1">
      <c r="A80">
        <v>79</v>
      </c>
      <c r="B80" s="1" t="s">
        <v>42</v>
      </c>
      <c r="C80" s="2" t="s">
        <v>271</v>
      </c>
      <c r="D80" t="s">
        <v>87</v>
      </c>
      <c r="E80" t="s">
        <v>391</v>
      </c>
      <c r="F80" t="s">
        <v>1717</v>
      </c>
      <c r="G80" t="e">
        <v>#N/A</v>
      </c>
      <c r="H80" t="s">
        <v>1717</v>
      </c>
      <c r="I80" t="e">
        <v>#N/A</v>
      </c>
      <c r="J80" t="s">
        <v>1717</v>
      </c>
      <c r="K80" t="e">
        <v>#N/A</v>
      </c>
      <c r="L80" t="str">
        <f t="shared" si="2"/>
        <v>no</v>
      </c>
      <c r="M80" s="1"/>
      <c r="N80" s="1"/>
    </row>
    <row r="81" spans="1:12" ht="19" hidden="1">
      <c r="A81">
        <v>80</v>
      </c>
      <c r="B81" s="1" t="s">
        <v>43</v>
      </c>
      <c r="C81" s="2" t="s">
        <v>271</v>
      </c>
      <c r="D81" t="s">
        <v>87</v>
      </c>
      <c r="E81" t="s">
        <v>391</v>
      </c>
      <c r="F81" t="s">
        <v>1717</v>
      </c>
      <c r="G81" t="e">
        <v>#N/A</v>
      </c>
      <c r="H81" t="s">
        <v>1717</v>
      </c>
      <c r="I81" t="e">
        <v>#N/A</v>
      </c>
      <c r="J81" t="s">
        <v>1717</v>
      </c>
      <c r="K81" t="e">
        <v>#N/A</v>
      </c>
      <c r="L81" t="str">
        <f t="shared" si="2"/>
        <v>no</v>
      </c>
    </row>
    <row r="82" spans="1:12" ht="19" hidden="1">
      <c r="A82">
        <v>81</v>
      </c>
      <c r="B82" s="1" t="s">
        <v>246</v>
      </c>
      <c r="C82" s="2" t="s">
        <v>273</v>
      </c>
      <c r="D82" t="s">
        <v>84</v>
      </c>
      <c r="E82" t="s">
        <v>391</v>
      </c>
      <c r="F82" t="s">
        <v>1717</v>
      </c>
      <c r="G82" t="e">
        <v>#N/A</v>
      </c>
      <c r="H82" t="s">
        <v>1717</v>
      </c>
      <c r="I82" t="e">
        <v>#N/A</v>
      </c>
      <c r="J82" t="s">
        <v>1717</v>
      </c>
      <c r="K82" t="e">
        <v>#N/A</v>
      </c>
      <c r="L82" t="str">
        <f t="shared" si="2"/>
        <v>no</v>
      </c>
    </row>
    <row r="83" spans="1:12" ht="19" hidden="1">
      <c r="A83">
        <v>82</v>
      </c>
      <c r="B83" s="1" t="s">
        <v>247</v>
      </c>
      <c r="C83" s="2" t="s">
        <v>269</v>
      </c>
      <c r="D83" t="s">
        <v>84</v>
      </c>
      <c r="E83" t="s">
        <v>391</v>
      </c>
      <c r="F83" t="s">
        <v>1717</v>
      </c>
      <c r="G83" t="e">
        <v>#N/A</v>
      </c>
      <c r="H83" t="s">
        <v>1717</v>
      </c>
      <c r="I83" t="e">
        <v>#N/A</v>
      </c>
      <c r="J83" t="s">
        <v>1717</v>
      </c>
      <c r="K83" t="e">
        <v>#N/A</v>
      </c>
      <c r="L83" t="str">
        <f t="shared" si="2"/>
        <v>no</v>
      </c>
    </row>
    <row r="84" spans="1:12" ht="19" hidden="1">
      <c r="A84">
        <v>83</v>
      </c>
      <c r="B84" s="1" t="s">
        <v>248</v>
      </c>
      <c r="C84" s="2" t="s">
        <v>269</v>
      </c>
      <c r="D84" t="s">
        <v>84</v>
      </c>
      <c r="E84" t="s">
        <v>391</v>
      </c>
      <c r="F84" t="s">
        <v>1717</v>
      </c>
      <c r="G84" t="e">
        <v>#N/A</v>
      </c>
      <c r="H84" t="s">
        <v>1717</v>
      </c>
      <c r="I84" t="e">
        <v>#N/A</v>
      </c>
      <c r="J84" t="s">
        <v>1717</v>
      </c>
      <c r="K84" t="e">
        <v>#N/A</v>
      </c>
      <c r="L84" t="str">
        <f t="shared" si="2"/>
        <v>no</v>
      </c>
    </row>
    <row r="85" spans="1:12" ht="19" hidden="1">
      <c r="A85">
        <v>84</v>
      </c>
      <c r="B85" s="1" t="s">
        <v>44</v>
      </c>
      <c r="C85" s="2" t="s">
        <v>271</v>
      </c>
      <c r="D85" t="s">
        <v>87</v>
      </c>
      <c r="E85" t="s">
        <v>391</v>
      </c>
      <c r="F85" t="s">
        <v>1717</v>
      </c>
      <c r="G85" t="e">
        <v>#N/A</v>
      </c>
      <c r="H85" t="s">
        <v>1717</v>
      </c>
      <c r="I85" t="e">
        <v>#N/A</v>
      </c>
      <c r="J85" t="s">
        <v>1717</v>
      </c>
      <c r="K85" t="e">
        <v>#N/A</v>
      </c>
      <c r="L85" t="str">
        <f t="shared" si="2"/>
        <v>no</v>
      </c>
    </row>
    <row r="86" spans="1:12" ht="19" hidden="1">
      <c r="A86">
        <v>85</v>
      </c>
      <c r="B86" s="1" t="s">
        <v>249</v>
      </c>
      <c r="C86" s="2" t="s">
        <v>274</v>
      </c>
      <c r="D86" t="s">
        <v>84</v>
      </c>
      <c r="E86" t="s">
        <v>391</v>
      </c>
      <c r="F86" t="s">
        <v>1717</v>
      </c>
      <c r="G86" t="e">
        <v>#N/A</v>
      </c>
      <c r="H86" t="s">
        <v>1717</v>
      </c>
      <c r="I86" t="e">
        <v>#N/A</v>
      </c>
      <c r="J86" t="s">
        <v>1717</v>
      </c>
      <c r="K86" t="e">
        <v>#N/A</v>
      </c>
      <c r="L86" t="str">
        <f t="shared" si="2"/>
        <v>no</v>
      </c>
    </row>
    <row r="87" spans="1:12" ht="19" hidden="1">
      <c r="A87">
        <v>86</v>
      </c>
      <c r="B87" s="1" t="s">
        <v>45</v>
      </c>
      <c r="C87" s="2" t="s">
        <v>271</v>
      </c>
      <c r="D87" t="s">
        <v>84</v>
      </c>
      <c r="E87" t="s">
        <v>391</v>
      </c>
      <c r="F87" t="s">
        <v>1717</v>
      </c>
      <c r="G87" t="e">
        <v>#N/A</v>
      </c>
      <c r="H87" t="s">
        <v>1717</v>
      </c>
      <c r="I87" t="e">
        <v>#N/A</v>
      </c>
      <c r="J87" t="s">
        <v>1717</v>
      </c>
      <c r="K87" t="e">
        <v>#N/A</v>
      </c>
      <c r="L87" t="str">
        <f t="shared" si="2"/>
        <v>no</v>
      </c>
    </row>
    <row r="88" spans="1:12" ht="19" hidden="1">
      <c r="A88">
        <v>87</v>
      </c>
      <c r="B88" s="1" t="s">
        <v>250</v>
      </c>
      <c r="C88" s="2" t="s">
        <v>268</v>
      </c>
      <c r="D88" t="s">
        <v>84</v>
      </c>
      <c r="E88" t="s">
        <v>391</v>
      </c>
      <c r="F88" t="s">
        <v>1717</v>
      </c>
      <c r="G88" t="e">
        <v>#N/A</v>
      </c>
      <c r="H88" t="s">
        <v>1717</v>
      </c>
      <c r="I88" t="e">
        <v>#N/A</v>
      </c>
      <c r="J88" t="s">
        <v>1717</v>
      </c>
      <c r="K88" t="e">
        <v>#N/A</v>
      </c>
      <c r="L88" t="str">
        <f t="shared" si="2"/>
        <v>no</v>
      </c>
    </row>
    <row r="89" spans="1:12" ht="19" hidden="1">
      <c r="A89">
        <v>88</v>
      </c>
      <c r="B89" s="1" t="s">
        <v>46</v>
      </c>
      <c r="C89" s="2" t="s">
        <v>271</v>
      </c>
      <c r="D89" t="s">
        <v>84</v>
      </c>
      <c r="E89" t="s">
        <v>391</v>
      </c>
      <c r="F89" t="s">
        <v>1717</v>
      </c>
      <c r="G89" t="e">
        <v>#N/A</v>
      </c>
      <c r="H89" t="s">
        <v>1717</v>
      </c>
      <c r="I89" t="e">
        <v>#N/A</v>
      </c>
      <c r="J89" t="s">
        <v>1717</v>
      </c>
      <c r="K89" t="e">
        <v>#N/A</v>
      </c>
      <c r="L89" t="str">
        <f t="shared" si="2"/>
        <v>no</v>
      </c>
    </row>
    <row r="90" spans="1:12" ht="19" hidden="1">
      <c r="A90">
        <v>89</v>
      </c>
      <c r="B90" s="1" t="s">
        <v>47</v>
      </c>
      <c r="C90" s="2" t="s">
        <v>271</v>
      </c>
      <c r="D90" t="s">
        <v>84</v>
      </c>
      <c r="E90" t="s">
        <v>391</v>
      </c>
      <c r="F90" t="s">
        <v>1717</v>
      </c>
      <c r="G90" t="e">
        <v>#N/A</v>
      </c>
      <c r="H90" t="s">
        <v>1717</v>
      </c>
      <c r="I90" t="e">
        <v>#N/A</v>
      </c>
      <c r="J90" t="s">
        <v>1717</v>
      </c>
      <c r="K90" t="e">
        <v>#N/A</v>
      </c>
      <c r="L90" t="str">
        <f t="shared" si="2"/>
        <v>no</v>
      </c>
    </row>
    <row r="91" spans="1:12" ht="19" hidden="1">
      <c r="A91">
        <v>90</v>
      </c>
      <c r="B91" s="1" t="s">
        <v>48</v>
      </c>
      <c r="C91" s="2" t="s">
        <v>271</v>
      </c>
      <c r="D91" t="s">
        <v>84</v>
      </c>
      <c r="E91" t="s">
        <v>391</v>
      </c>
      <c r="F91" t="s">
        <v>1717</v>
      </c>
      <c r="G91" t="e">
        <v>#N/A</v>
      </c>
      <c r="H91" t="s">
        <v>1717</v>
      </c>
      <c r="I91" t="e">
        <v>#N/A</v>
      </c>
      <c r="J91" t="s">
        <v>1717</v>
      </c>
      <c r="K91" t="e">
        <v>#N/A</v>
      </c>
      <c r="L91" t="str">
        <f t="shared" si="2"/>
        <v>no</v>
      </c>
    </row>
    <row r="92" spans="1:12" ht="19" hidden="1">
      <c r="A92">
        <v>91</v>
      </c>
      <c r="B92" s="1" t="s">
        <v>49</v>
      </c>
      <c r="C92" s="2" t="s">
        <v>271</v>
      </c>
      <c r="D92" t="s">
        <v>84</v>
      </c>
      <c r="E92" t="s">
        <v>391</v>
      </c>
      <c r="F92" t="s">
        <v>1717</v>
      </c>
      <c r="G92" t="e">
        <v>#N/A</v>
      </c>
      <c r="H92" t="s">
        <v>1717</v>
      </c>
      <c r="I92" t="e">
        <v>#N/A</v>
      </c>
      <c r="J92" t="s">
        <v>1717</v>
      </c>
      <c r="K92" t="e">
        <v>#N/A</v>
      </c>
      <c r="L92" t="str">
        <f t="shared" si="2"/>
        <v>no</v>
      </c>
    </row>
    <row r="93" spans="1:12" ht="19" hidden="1">
      <c r="A93">
        <v>92</v>
      </c>
      <c r="B93" s="1" t="s">
        <v>50</v>
      </c>
      <c r="C93" s="2" t="s">
        <v>271</v>
      </c>
      <c r="D93" t="s">
        <v>84</v>
      </c>
      <c r="E93" t="s">
        <v>391</v>
      </c>
      <c r="F93" t="s">
        <v>1717</v>
      </c>
      <c r="G93" t="e">
        <v>#N/A</v>
      </c>
      <c r="H93" t="s">
        <v>1717</v>
      </c>
      <c r="I93" t="e">
        <v>#N/A</v>
      </c>
      <c r="J93" t="s">
        <v>1717</v>
      </c>
      <c r="K93" t="e">
        <v>#N/A</v>
      </c>
      <c r="L93" t="str">
        <f t="shared" si="2"/>
        <v>no</v>
      </c>
    </row>
    <row r="94" spans="1:12" ht="19" hidden="1">
      <c r="A94">
        <v>93</v>
      </c>
      <c r="B94" s="1" t="s">
        <v>51</v>
      </c>
      <c r="C94" s="2" t="s">
        <v>271</v>
      </c>
      <c r="D94" t="s">
        <v>84</v>
      </c>
      <c r="E94" t="s">
        <v>391</v>
      </c>
      <c r="F94" t="s">
        <v>1717</v>
      </c>
      <c r="G94" t="e">
        <v>#N/A</v>
      </c>
      <c r="H94" t="s">
        <v>1717</v>
      </c>
      <c r="I94" t="e">
        <v>#N/A</v>
      </c>
      <c r="J94" t="s">
        <v>1717</v>
      </c>
      <c r="K94" t="e">
        <v>#N/A</v>
      </c>
      <c r="L94" t="str">
        <f t="shared" si="2"/>
        <v>no</v>
      </c>
    </row>
    <row r="95" spans="1:12" ht="19" hidden="1">
      <c r="A95">
        <v>94</v>
      </c>
      <c r="B95" s="1" t="s">
        <v>52</v>
      </c>
      <c r="C95" s="2" t="s">
        <v>271</v>
      </c>
      <c r="D95" t="s">
        <v>84</v>
      </c>
      <c r="E95" t="s">
        <v>391</v>
      </c>
      <c r="F95" t="s">
        <v>1717</v>
      </c>
      <c r="G95" t="e">
        <v>#N/A</v>
      </c>
      <c r="H95" t="s">
        <v>1717</v>
      </c>
      <c r="I95" t="e">
        <v>#N/A</v>
      </c>
      <c r="J95" t="s">
        <v>1717</v>
      </c>
      <c r="K95" t="e">
        <v>#N/A</v>
      </c>
      <c r="L95" t="str">
        <f t="shared" si="2"/>
        <v>no</v>
      </c>
    </row>
    <row r="96" spans="1:12" ht="19" hidden="1">
      <c r="A96">
        <v>95</v>
      </c>
      <c r="B96" s="1" t="s">
        <v>53</v>
      </c>
      <c r="C96" s="2" t="s">
        <v>271</v>
      </c>
      <c r="D96" t="s">
        <v>84</v>
      </c>
      <c r="E96" t="s">
        <v>391</v>
      </c>
      <c r="F96" t="s">
        <v>1717</v>
      </c>
      <c r="G96" t="e">
        <v>#N/A</v>
      </c>
      <c r="H96" t="s">
        <v>1717</v>
      </c>
      <c r="I96" t="e">
        <v>#N/A</v>
      </c>
      <c r="J96" t="s">
        <v>1717</v>
      </c>
      <c r="K96" t="e">
        <v>#N/A</v>
      </c>
      <c r="L96" t="str">
        <f t="shared" si="2"/>
        <v>no</v>
      </c>
    </row>
    <row r="97" spans="1:12" ht="19" hidden="1">
      <c r="A97">
        <v>96</v>
      </c>
      <c r="B97" s="1" t="s">
        <v>251</v>
      </c>
      <c r="C97" s="2" t="s">
        <v>267</v>
      </c>
      <c r="D97" t="s">
        <v>84</v>
      </c>
      <c r="E97" t="s">
        <v>391</v>
      </c>
      <c r="F97" t="s">
        <v>192</v>
      </c>
      <c r="G97" t="s">
        <v>2106</v>
      </c>
      <c r="H97" t="s">
        <v>192</v>
      </c>
      <c r="I97" t="s">
        <v>2266</v>
      </c>
      <c r="J97" t="s">
        <v>192</v>
      </c>
      <c r="K97" t="s">
        <v>2438</v>
      </c>
      <c r="L97" t="str">
        <f t="shared" si="2"/>
        <v>segmented videos list</v>
      </c>
    </row>
    <row r="98" spans="1:12" ht="19" hidden="1">
      <c r="A98">
        <v>97</v>
      </c>
      <c r="B98" s="1" t="s">
        <v>54</v>
      </c>
      <c r="C98" s="2" t="s">
        <v>271</v>
      </c>
      <c r="D98" t="s">
        <v>84</v>
      </c>
      <c r="E98" t="s">
        <v>391</v>
      </c>
      <c r="F98" t="s">
        <v>192</v>
      </c>
      <c r="G98" t="s">
        <v>2097</v>
      </c>
      <c r="H98" t="s">
        <v>192</v>
      </c>
      <c r="I98" t="s">
        <v>2256</v>
      </c>
      <c r="J98" t="s">
        <v>192</v>
      </c>
      <c r="K98" t="s">
        <v>2411</v>
      </c>
      <c r="L98" t="str">
        <f t="shared" ref="L98:L129" si="3">IF(COUNTIF(M:M, B98)&gt;0,$M$1,IF(COUNTIF(N:N, B98)&gt;0,$N$1,"no"))</f>
        <v>segmented videos list</v>
      </c>
    </row>
    <row r="99" spans="1:12" ht="19">
      <c r="A99">
        <v>98</v>
      </c>
      <c r="B99" s="1" t="s">
        <v>55</v>
      </c>
      <c r="C99" s="2" t="s">
        <v>271</v>
      </c>
      <c r="D99" t="s">
        <v>1201</v>
      </c>
      <c r="E99" t="s">
        <v>391</v>
      </c>
      <c r="F99" t="s">
        <v>192</v>
      </c>
      <c r="G99" t="s">
        <v>2133</v>
      </c>
      <c r="H99" t="s">
        <v>192</v>
      </c>
      <c r="I99" t="s">
        <v>2128</v>
      </c>
      <c r="J99" t="s">
        <v>192</v>
      </c>
      <c r="K99" t="s">
        <v>2421</v>
      </c>
      <c r="L99" t="str">
        <f t="shared" si="3"/>
        <v>to dignose</v>
      </c>
    </row>
    <row r="100" spans="1:12" ht="19" hidden="1">
      <c r="A100">
        <v>99</v>
      </c>
      <c r="B100" s="1" t="s">
        <v>252</v>
      </c>
      <c r="C100" s="2" t="s">
        <v>274</v>
      </c>
      <c r="D100" t="s">
        <v>84</v>
      </c>
      <c r="E100" t="s">
        <v>391</v>
      </c>
      <c r="F100" t="s">
        <v>192</v>
      </c>
      <c r="G100" t="s">
        <v>2084</v>
      </c>
      <c r="H100" t="s">
        <v>192</v>
      </c>
      <c r="I100" t="s">
        <v>2239</v>
      </c>
      <c r="J100" t="s">
        <v>192</v>
      </c>
      <c r="K100" t="s">
        <v>2389</v>
      </c>
      <c r="L100" t="str">
        <f t="shared" si="3"/>
        <v>segmented videos list</v>
      </c>
    </row>
    <row r="101" spans="1:12" ht="19" hidden="1">
      <c r="A101">
        <v>100</v>
      </c>
      <c r="B101" s="1" t="s">
        <v>56</v>
      </c>
      <c r="C101" s="2" t="s">
        <v>271</v>
      </c>
      <c r="D101" t="s">
        <v>84</v>
      </c>
      <c r="E101" t="s">
        <v>391</v>
      </c>
      <c r="F101" t="s">
        <v>192</v>
      </c>
      <c r="G101" t="s">
        <v>2128</v>
      </c>
      <c r="H101" t="s">
        <v>192</v>
      </c>
      <c r="I101" t="s">
        <v>2278</v>
      </c>
      <c r="J101" t="s">
        <v>192</v>
      </c>
      <c r="K101" t="s">
        <v>2402</v>
      </c>
      <c r="L101" t="str">
        <f t="shared" si="3"/>
        <v>segmented videos list</v>
      </c>
    </row>
    <row r="102" spans="1:12" ht="19" hidden="1">
      <c r="A102">
        <v>101</v>
      </c>
      <c r="B102" s="1" t="s">
        <v>253</v>
      </c>
      <c r="C102" s="2" t="s">
        <v>267</v>
      </c>
      <c r="D102" t="s">
        <v>84</v>
      </c>
      <c r="E102" t="s">
        <v>391</v>
      </c>
      <c r="F102" t="s">
        <v>192</v>
      </c>
      <c r="G102" t="s">
        <v>2069</v>
      </c>
      <c r="H102" t="s">
        <v>192</v>
      </c>
      <c r="I102" t="s">
        <v>2279</v>
      </c>
      <c r="J102" t="s">
        <v>192</v>
      </c>
      <c r="K102" t="s">
        <v>2437</v>
      </c>
      <c r="L102" t="str">
        <f t="shared" si="3"/>
        <v>segmented videos list</v>
      </c>
    </row>
    <row r="103" spans="1:12" ht="19" hidden="1">
      <c r="A103">
        <v>102</v>
      </c>
      <c r="B103" s="1" t="s">
        <v>57</v>
      </c>
      <c r="C103" s="2" t="s">
        <v>271</v>
      </c>
      <c r="D103" t="s">
        <v>84</v>
      </c>
      <c r="E103" t="s">
        <v>391</v>
      </c>
      <c r="F103" t="s">
        <v>192</v>
      </c>
      <c r="G103" t="s">
        <v>2108</v>
      </c>
      <c r="H103" t="s">
        <v>192</v>
      </c>
      <c r="I103" t="s">
        <v>2228</v>
      </c>
      <c r="J103" t="s">
        <v>192</v>
      </c>
      <c r="K103" t="s">
        <v>2379</v>
      </c>
      <c r="L103" t="str">
        <f t="shared" si="3"/>
        <v>segmented videos list</v>
      </c>
    </row>
    <row r="104" spans="1:12" ht="19" hidden="1">
      <c r="A104">
        <v>103</v>
      </c>
      <c r="B104" s="1" t="s">
        <v>58</v>
      </c>
      <c r="C104" s="2" t="s">
        <v>271</v>
      </c>
      <c r="D104" t="s">
        <v>1203</v>
      </c>
      <c r="E104" t="s">
        <v>391</v>
      </c>
      <c r="F104" t="s">
        <v>201</v>
      </c>
      <c r="G104" t="s">
        <v>2131</v>
      </c>
      <c r="H104" t="s">
        <v>201</v>
      </c>
      <c r="I104" t="s">
        <v>2286</v>
      </c>
      <c r="J104" t="s">
        <v>201</v>
      </c>
      <c r="K104" t="s">
        <v>2407</v>
      </c>
      <c r="L104" t="str">
        <f t="shared" si="3"/>
        <v>to dignose</v>
      </c>
    </row>
    <row r="105" spans="1:12" ht="19" hidden="1">
      <c r="A105">
        <v>104</v>
      </c>
      <c r="B105" s="1" t="s">
        <v>254</v>
      </c>
      <c r="C105" s="2" t="s">
        <v>269</v>
      </c>
      <c r="D105" t="s">
        <v>84</v>
      </c>
      <c r="E105" t="s">
        <v>391</v>
      </c>
      <c r="F105" t="s">
        <v>192</v>
      </c>
      <c r="G105" t="s">
        <v>2077</v>
      </c>
      <c r="H105" t="s">
        <v>192</v>
      </c>
      <c r="I105" t="s">
        <v>2232</v>
      </c>
      <c r="J105" t="s">
        <v>192</v>
      </c>
      <c r="K105" t="s">
        <v>2383</v>
      </c>
      <c r="L105" t="str">
        <f t="shared" si="3"/>
        <v>segmented videos list</v>
      </c>
    </row>
    <row r="106" spans="1:12" ht="19">
      <c r="A106">
        <v>105</v>
      </c>
      <c r="B106" s="1" t="s">
        <v>255</v>
      </c>
      <c r="C106" s="2" t="s">
        <v>269</v>
      </c>
      <c r="D106" t="s">
        <v>1201</v>
      </c>
      <c r="E106" t="s">
        <v>391</v>
      </c>
      <c r="F106" t="s">
        <v>192</v>
      </c>
      <c r="G106" t="s">
        <v>2122</v>
      </c>
      <c r="H106" t="s">
        <v>192</v>
      </c>
      <c r="I106" t="s">
        <v>2290</v>
      </c>
      <c r="J106" t="s">
        <v>192</v>
      </c>
      <c r="K106" t="s">
        <v>2431</v>
      </c>
      <c r="L106" t="str">
        <f t="shared" si="3"/>
        <v>to dignose</v>
      </c>
    </row>
    <row r="107" spans="1:12" ht="19" hidden="1">
      <c r="A107">
        <v>106</v>
      </c>
      <c r="B107" s="1" t="s">
        <v>256</v>
      </c>
      <c r="C107" s="2" t="s">
        <v>269</v>
      </c>
      <c r="D107" t="s">
        <v>84</v>
      </c>
      <c r="E107" t="s">
        <v>391</v>
      </c>
      <c r="F107" t="s">
        <v>1717</v>
      </c>
      <c r="G107" t="e">
        <v>#N/A</v>
      </c>
      <c r="H107" t="s">
        <v>1717</v>
      </c>
      <c r="I107" t="e">
        <v>#N/A</v>
      </c>
      <c r="J107" t="s">
        <v>1717</v>
      </c>
      <c r="K107" t="e">
        <v>#N/A</v>
      </c>
      <c r="L107" t="str">
        <f t="shared" si="3"/>
        <v>no</v>
      </c>
    </row>
    <row r="108" spans="1:12" ht="19" hidden="1">
      <c r="A108">
        <v>107</v>
      </c>
      <c r="B108" s="1" t="s">
        <v>257</v>
      </c>
      <c r="C108" s="2" t="s">
        <v>274</v>
      </c>
      <c r="D108" t="s">
        <v>84</v>
      </c>
      <c r="E108" t="s">
        <v>391</v>
      </c>
      <c r="F108" t="s">
        <v>192</v>
      </c>
      <c r="G108" t="s">
        <v>2095</v>
      </c>
      <c r="H108" t="s">
        <v>192</v>
      </c>
      <c r="I108" t="s">
        <v>2288</v>
      </c>
      <c r="J108" t="s">
        <v>192</v>
      </c>
      <c r="K108" t="s">
        <v>2409</v>
      </c>
      <c r="L108" t="str">
        <f t="shared" si="3"/>
        <v>segmented videos list</v>
      </c>
    </row>
    <row r="109" spans="1:12" ht="19" hidden="1">
      <c r="A109">
        <v>108</v>
      </c>
      <c r="B109" s="1" t="s">
        <v>258</v>
      </c>
      <c r="C109" s="2" t="s">
        <v>267</v>
      </c>
      <c r="D109" t="s">
        <v>84</v>
      </c>
      <c r="E109" t="s">
        <v>391</v>
      </c>
      <c r="F109" t="s">
        <v>1717</v>
      </c>
      <c r="G109" t="e">
        <v>#N/A</v>
      </c>
      <c r="H109" t="s">
        <v>1717</v>
      </c>
      <c r="I109" t="e">
        <v>#N/A</v>
      </c>
      <c r="J109" t="s">
        <v>1717</v>
      </c>
      <c r="K109" t="e">
        <v>#N/A</v>
      </c>
      <c r="L109" t="str">
        <f t="shared" si="3"/>
        <v>no</v>
      </c>
    </row>
    <row r="110" spans="1:12" ht="19" hidden="1">
      <c r="A110">
        <v>109</v>
      </c>
      <c r="B110" s="1" t="s">
        <v>259</v>
      </c>
      <c r="C110" s="2" t="s">
        <v>274</v>
      </c>
      <c r="D110" t="s">
        <v>84</v>
      </c>
      <c r="E110" t="s">
        <v>391</v>
      </c>
      <c r="F110" t="s">
        <v>1717</v>
      </c>
      <c r="G110" t="e">
        <v>#N/A</v>
      </c>
      <c r="H110" t="s">
        <v>1717</v>
      </c>
      <c r="I110" t="e">
        <v>#N/A</v>
      </c>
      <c r="J110" t="s">
        <v>1717</v>
      </c>
      <c r="K110" t="e">
        <v>#N/A</v>
      </c>
      <c r="L110" t="str">
        <f t="shared" si="3"/>
        <v>no</v>
      </c>
    </row>
    <row r="111" spans="1:12" ht="19" hidden="1">
      <c r="A111">
        <v>110</v>
      </c>
      <c r="B111" s="1" t="s">
        <v>260</v>
      </c>
      <c r="C111" s="2" t="s">
        <v>269</v>
      </c>
      <c r="D111" t="s">
        <v>84</v>
      </c>
      <c r="E111" t="s">
        <v>391</v>
      </c>
      <c r="F111" t="s">
        <v>1717</v>
      </c>
      <c r="G111" t="e">
        <v>#N/A</v>
      </c>
      <c r="H111" t="s">
        <v>1717</v>
      </c>
      <c r="I111" t="e">
        <v>#N/A</v>
      </c>
      <c r="J111" t="s">
        <v>1717</v>
      </c>
      <c r="K111" t="e">
        <v>#N/A</v>
      </c>
      <c r="L111" t="str">
        <f t="shared" si="3"/>
        <v>no</v>
      </c>
    </row>
    <row r="112" spans="1:12" ht="19" hidden="1">
      <c r="A112">
        <v>111</v>
      </c>
      <c r="B112" s="1" t="s">
        <v>261</v>
      </c>
      <c r="C112" s="2" t="s">
        <v>274</v>
      </c>
      <c r="D112" t="s">
        <v>84</v>
      </c>
      <c r="E112" t="s">
        <v>391</v>
      </c>
      <c r="F112" t="s">
        <v>1717</v>
      </c>
      <c r="G112" t="e">
        <v>#N/A</v>
      </c>
      <c r="H112" t="s">
        <v>1717</v>
      </c>
      <c r="I112" t="e">
        <v>#N/A</v>
      </c>
      <c r="J112" t="s">
        <v>1717</v>
      </c>
      <c r="K112" t="e">
        <v>#N/A</v>
      </c>
      <c r="L112" t="str">
        <f t="shared" si="3"/>
        <v>no</v>
      </c>
    </row>
    <row r="113" spans="1:12" ht="19" hidden="1">
      <c r="A113">
        <v>112</v>
      </c>
      <c r="B113" s="1" t="s">
        <v>262</v>
      </c>
      <c r="C113" s="2" t="s">
        <v>269</v>
      </c>
      <c r="D113" t="s">
        <v>84</v>
      </c>
      <c r="E113" t="s">
        <v>391</v>
      </c>
      <c r="F113" t="s">
        <v>1717</v>
      </c>
      <c r="G113" t="e">
        <v>#N/A</v>
      </c>
      <c r="H113" t="s">
        <v>1717</v>
      </c>
      <c r="I113" t="e">
        <v>#N/A</v>
      </c>
      <c r="J113" t="s">
        <v>1717</v>
      </c>
      <c r="K113" t="e">
        <v>#N/A</v>
      </c>
      <c r="L113" t="str">
        <f t="shared" si="3"/>
        <v>no</v>
      </c>
    </row>
    <row r="114" spans="1:12" ht="19" hidden="1">
      <c r="A114">
        <v>113</v>
      </c>
      <c r="B114" s="1" t="s">
        <v>263</v>
      </c>
      <c r="C114" s="2" t="s">
        <v>269</v>
      </c>
      <c r="D114" t="s">
        <v>84</v>
      </c>
      <c r="E114" t="s">
        <v>391</v>
      </c>
      <c r="F114" t="s">
        <v>1717</v>
      </c>
      <c r="G114" t="e">
        <v>#N/A</v>
      </c>
      <c r="H114" t="s">
        <v>1717</v>
      </c>
      <c r="I114" t="e">
        <v>#N/A</v>
      </c>
      <c r="J114" t="s">
        <v>1717</v>
      </c>
      <c r="K114" t="e">
        <v>#N/A</v>
      </c>
      <c r="L114" t="str">
        <f t="shared" si="3"/>
        <v>no</v>
      </c>
    </row>
    <row r="115" spans="1:12" ht="19" hidden="1">
      <c r="A115">
        <v>114</v>
      </c>
      <c r="B115" s="1" t="s">
        <v>264</v>
      </c>
      <c r="C115" s="2" t="s">
        <v>267</v>
      </c>
      <c r="D115" t="s">
        <v>85</v>
      </c>
      <c r="E115" t="s">
        <v>391</v>
      </c>
      <c r="F115" t="s">
        <v>192</v>
      </c>
      <c r="G115" t="s">
        <v>2088</v>
      </c>
      <c r="H115" t="s">
        <v>192</v>
      </c>
      <c r="I115" t="s">
        <v>2243</v>
      </c>
      <c r="J115" t="s">
        <v>192</v>
      </c>
      <c r="K115" t="s">
        <v>2393</v>
      </c>
      <c r="L115" t="str">
        <f t="shared" si="3"/>
        <v>segmented videos list</v>
      </c>
    </row>
    <row r="116" spans="1:12" ht="19" hidden="1">
      <c r="A116">
        <v>115</v>
      </c>
      <c r="B116" s="1" t="s">
        <v>59</v>
      </c>
      <c r="C116" s="2" t="s">
        <v>271</v>
      </c>
      <c r="D116" t="s">
        <v>1204</v>
      </c>
      <c r="E116" t="s">
        <v>391</v>
      </c>
      <c r="F116" t="s">
        <v>201</v>
      </c>
      <c r="G116" t="s">
        <v>2100</v>
      </c>
      <c r="H116" t="s">
        <v>201</v>
      </c>
      <c r="I116" t="s">
        <v>2259</v>
      </c>
      <c r="J116" t="s">
        <v>201</v>
      </c>
      <c r="K116" t="s">
        <v>2414</v>
      </c>
      <c r="L116" t="str">
        <f t="shared" si="3"/>
        <v>to dignose</v>
      </c>
    </row>
    <row r="117" spans="1:12" ht="19" hidden="1">
      <c r="A117">
        <v>116</v>
      </c>
      <c r="B117" s="1" t="s">
        <v>60</v>
      </c>
      <c r="C117" s="2" t="s">
        <v>271</v>
      </c>
      <c r="D117" t="s">
        <v>84</v>
      </c>
      <c r="E117" t="s">
        <v>391</v>
      </c>
      <c r="F117" t="s">
        <v>192</v>
      </c>
      <c r="G117" t="s">
        <v>2072</v>
      </c>
      <c r="H117" t="s">
        <v>192</v>
      </c>
      <c r="I117" t="s">
        <v>2282</v>
      </c>
      <c r="J117" t="s">
        <v>192</v>
      </c>
      <c r="K117" t="s">
        <v>2376</v>
      </c>
      <c r="L117" t="str">
        <f t="shared" si="3"/>
        <v>segmented videos list</v>
      </c>
    </row>
    <row r="118" spans="1:12" ht="19" hidden="1">
      <c r="A118">
        <v>117</v>
      </c>
      <c r="B118" s="1" t="s">
        <v>265</v>
      </c>
      <c r="C118" s="2" t="s">
        <v>267</v>
      </c>
      <c r="D118" t="s">
        <v>84</v>
      </c>
      <c r="E118" t="s">
        <v>391</v>
      </c>
      <c r="F118" t="s">
        <v>192</v>
      </c>
      <c r="G118" t="s">
        <v>2071</v>
      </c>
      <c r="H118" t="s">
        <v>192</v>
      </c>
      <c r="I118" t="s">
        <v>2281</v>
      </c>
      <c r="J118" t="s">
        <v>192</v>
      </c>
      <c r="K118" t="s">
        <v>2375</v>
      </c>
      <c r="L118" t="str">
        <f t="shared" si="3"/>
        <v>segmented videos list</v>
      </c>
    </row>
    <row r="119" spans="1:12" ht="19" hidden="1">
      <c r="A119">
        <v>118</v>
      </c>
      <c r="B119" s="1" t="s">
        <v>61</v>
      </c>
      <c r="C119" s="2" t="s">
        <v>271</v>
      </c>
      <c r="D119" t="s">
        <v>1203</v>
      </c>
      <c r="E119" t="s">
        <v>391</v>
      </c>
      <c r="F119" t="s">
        <v>201</v>
      </c>
      <c r="G119" t="s">
        <v>2083</v>
      </c>
      <c r="H119" t="s">
        <v>201</v>
      </c>
      <c r="I119" t="s">
        <v>2238</v>
      </c>
      <c r="J119" t="s">
        <v>201</v>
      </c>
      <c r="K119" t="s">
        <v>2083</v>
      </c>
      <c r="L119" t="str">
        <f t="shared" si="3"/>
        <v>to dignose</v>
      </c>
    </row>
    <row r="120" spans="1:12" ht="19" hidden="1">
      <c r="A120">
        <v>119</v>
      </c>
      <c r="B120" s="1" t="s">
        <v>266</v>
      </c>
      <c r="C120" s="2" t="s">
        <v>269</v>
      </c>
      <c r="D120" t="s">
        <v>84</v>
      </c>
      <c r="E120" t="s">
        <v>391</v>
      </c>
      <c r="F120" t="s">
        <v>192</v>
      </c>
      <c r="G120" t="s">
        <v>2120</v>
      </c>
      <c r="H120" t="s">
        <v>192</v>
      </c>
      <c r="I120" t="s">
        <v>2276</v>
      </c>
      <c r="J120" t="s">
        <v>192</v>
      </c>
      <c r="K120" t="s">
        <v>2430</v>
      </c>
      <c r="L120" t="str">
        <f t="shared" si="3"/>
        <v>segmented videos list</v>
      </c>
    </row>
    <row r="121" spans="1:12" ht="19" hidden="1">
      <c r="A121">
        <v>120</v>
      </c>
      <c r="B121" s="1" t="s">
        <v>62</v>
      </c>
      <c r="C121" s="2" t="s">
        <v>271</v>
      </c>
      <c r="D121" t="s">
        <v>84</v>
      </c>
      <c r="E121" t="s">
        <v>391</v>
      </c>
      <c r="F121" t="s">
        <v>192</v>
      </c>
      <c r="G121" t="s">
        <v>2119</v>
      </c>
      <c r="H121" t="s">
        <v>192</v>
      </c>
      <c r="I121" t="s">
        <v>2274</v>
      </c>
      <c r="J121" t="s">
        <v>192</v>
      </c>
      <c r="K121" t="s">
        <v>2428</v>
      </c>
      <c r="L121" t="str">
        <f t="shared" si="3"/>
        <v>segmented videos list</v>
      </c>
    </row>
    <row r="122" spans="1:12" ht="19" hidden="1">
      <c r="A122">
        <v>121</v>
      </c>
      <c r="B122" s="1" t="s">
        <v>63</v>
      </c>
      <c r="C122" s="2" t="s">
        <v>271</v>
      </c>
      <c r="D122" t="s">
        <v>84</v>
      </c>
      <c r="E122" t="s">
        <v>391</v>
      </c>
      <c r="F122" t="s">
        <v>192</v>
      </c>
      <c r="G122" t="s">
        <v>2121</v>
      </c>
      <c r="H122" t="s">
        <v>192</v>
      </c>
      <c r="I122" t="s">
        <v>2277</v>
      </c>
      <c r="J122" t="s">
        <v>192</v>
      </c>
      <c r="K122" t="s">
        <v>2440</v>
      </c>
      <c r="L122" t="str">
        <f t="shared" si="3"/>
        <v>segmented videos list</v>
      </c>
    </row>
    <row r="123" spans="1:12" ht="19" hidden="1">
      <c r="A123">
        <v>122</v>
      </c>
      <c r="B123" s="1" t="s">
        <v>64</v>
      </c>
      <c r="C123" s="2" t="s">
        <v>271</v>
      </c>
      <c r="D123" t="s">
        <v>84</v>
      </c>
      <c r="E123" t="s">
        <v>391</v>
      </c>
      <c r="F123" t="s">
        <v>1717</v>
      </c>
      <c r="G123" t="e">
        <v>#N/A</v>
      </c>
      <c r="H123" t="s">
        <v>1717</v>
      </c>
      <c r="I123" t="e">
        <v>#N/A</v>
      </c>
      <c r="J123" t="s">
        <v>1717</v>
      </c>
      <c r="K123" t="e">
        <v>#N/A</v>
      </c>
      <c r="L123" t="str">
        <f t="shared" si="3"/>
        <v>no</v>
      </c>
    </row>
    <row r="124" spans="1:12" ht="19" hidden="1">
      <c r="A124">
        <v>123</v>
      </c>
      <c r="B124" s="1" t="s">
        <v>65</v>
      </c>
      <c r="C124" s="2" t="s">
        <v>271</v>
      </c>
      <c r="D124" t="s">
        <v>84</v>
      </c>
      <c r="E124" t="s">
        <v>391</v>
      </c>
      <c r="F124" t="s">
        <v>1717</v>
      </c>
      <c r="G124" t="e">
        <v>#N/A</v>
      </c>
      <c r="H124" t="s">
        <v>1717</v>
      </c>
      <c r="I124" t="e">
        <v>#N/A</v>
      </c>
      <c r="J124" t="s">
        <v>1717</v>
      </c>
      <c r="K124" t="e">
        <v>#N/A</v>
      </c>
      <c r="L124" t="str">
        <f t="shared" si="3"/>
        <v>no</v>
      </c>
    </row>
    <row r="125" spans="1:12" ht="19" hidden="1">
      <c r="A125">
        <v>124</v>
      </c>
      <c r="B125" s="1" t="s">
        <v>66</v>
      </c>
      <c r="C125" s="2" t="s">
        <v>271</v>
      </c>
      <c r="D125" t="s">
        <v>84</v>
      </c>
      <c r="E125" t="s">
        <v>391</v>
      </c>
      <c r="F125" t="s">
        <v>1717</v>
      </c>
      <c r="G125" t="e">
        <v>#N/A</v>
      </c>
      <c r="H125" t="s">
        <v>1717</v>
      </c>
      <c r="I125" t="e">
        <v>#N/A</v>
      </c>
      <c r="J125" t="s">
        <v>1717</v>
      </c>
      <c r="K125" t="e">
        <v>#N/A</v>
      </c>
      <c r="L125" t="str">
        <f t="shared" si="3"/>
        <v>no</v>
      </c>
    </row>
    <row r="126" spans="1:12" ht="19" hidden="1">
      <c r="A126">
        <v>125</v>
      </c>
      <c r="B126" s="1" t="s">
        <v>67</v>
      </c>
      <c r="C126" s="2" t="s">
        <v>271</v>
      </c>
      <c r="D126" t="s">
        <v>84</v>
      </c>
      <c r="E126" t="s">
        <v>391</v>
      </c>
      <c r="F126" t="s">
        <v>1717</v>
      </c>
      <c r="G126" t="e">
        <v>#N/A</v>
      </c>
      <c r="H126" t="s">
        <v>1717</v>
      </c>
      <c r="I126" t="e">
        <v>#N/A</v>
      </c>
      <c r="J126" t="s">
        <v>1717</v>
      </c>
      <c r="K126" t="e">
        <v>#N/A</v>
      </c>
      <c r="L126" t="str">
        <f t="shared" si="3"/>
        <v>no</v>
      </c>
    </row>
    <row r="127" spans="1:12" ht="19" hidden="1">
      <c r="A127">
        <v>126</v>
      </c>
      <c r="B127" s="1" t="s">
        <v>68</v>
      </c>
      <c r="C127" s="2" t="s">
        <v>271</v>
      </c>
      <c r="D127" t="s">
        <v>84</v>
      </c>
      <c r="E127" t="s">
        <v>391</v>
      </c>
      <c r="F127" t="s">
        <v>1717</v>
      </c>
      <c r="G127" t="e">
        <v>#N/A</v>
      </c>
      <c r="H127" t="s">
        <v>1717</v>
      </c>
      <c r="I127" t="e">
        <v>#N/A</v>
      </c>
      <c r="J127" t="s">
        <v>1717</v>
      </c>
      <c r="K127" t="e">
        <v>#N/A</v>
      </c>
      <c r="L127" t="str">
        <f t="shared" si="3"/>
        <v>no</v>
      </c>
    </row>
    <row r="128" spans="1:12" ht="19" hidden="1">
      <c r="A128">
        <v>127</v>
      </c>
      <c r="B128" s="1" t="s">
        <v>69</v>
      </c>
      <c r="C128" s="2" t="s">
        <v>271</v>
      </c>
      <c r="D128" t="s">
        <v>84</v>
      </c>
      <c r="E128" t="s">
        <v>391</v>
      </c>
      <c r="F128" t="s">
        <v>1717</v>
      </c>
      <c r="G128" t="e">
        <v>#N/A</v>
      </c>
      <c r="H128" t="s">
        <v>1717</v>
      </c>
      <c r="I128" t="e">
        <v>#N/A</v>
      </c>
      <c r="J128" t="s">
        <v>1717</v>
      </c>
      <c r="K128" t="e">
        <v>#N/A</v>
      </c>
      <c r="L128" t="str">
        <f t="shared" si="3"/>
        <v>no</v>
      </c>
    </row>
    <row r="129" spans="1:12" ht="19" hidden="1">
      <c r="A129">
        <v>128</v>
      </c>
      <c r="B129" s="1" t="s">
        <v>70</v>
      </c>
      <c r="C129" s="2" t="s">
        <v>271</v>
      </c>
      <c r="D129" t="s">
        <v>84</v>
      </c>
      <c r="E129" t="s">
        <v>391</v>
      </c>
      <c r="F129" t="s">
        <v>1717</v>
      </c>
      <c r="G129" t="e">
        <v>#N/A</v>
      </c>
      <c r="H129" t="s">
        <v>1717</v>
      </c>
      <c r="I129" t="e">
        <v>#N/A</v>
      </c>
      <c r="J129" t="s">
        <v>1717</v>
      </c>
      <c r="K129" t="e">
        <v>#N/A</v>
      </c>
      <c r="L129" t="str">
        <f t="shared" si="3"/>
        <v>no</v>
      </c>
    </row>
    <row r="130" spans="1:12" ht="19" hidden="1">
      <c r="A130">
        <v>129</v>
      </c>
      <c r="B130" s="1" t="s">
        <v>71</v>
      </c>
      <c r="C130" s="2" t="s">
        <v>271</v>
      </c>
      <c r="D130" t="s">
        <v>84</v>
      </c>
      <c r="E130" t="s">
        <v>391</v>
      </c>
      <c r="F130" t="s">
        <v>1717</v>
      </c>
      <c r="G130" t="e">
        <v>#N/A</v>
      </c>
      <c r="H130" t="s">
        <v>1717</v>
      </c>
      <c r="I130" t="e">
        <v>#N/A</v>
      </c>
      <c r="J130" t="s">
        <v>1717</v>
      </c>
      <c r="K130" t="e">
        <v>#N/A</v>
      </c>
      <c r="L130" t="str">
        <f t="shared" ref="L130:L142" si="4">IF(COUNTIF(M:M, B130)&gt;0,$M$1,IF(COUNTIF(N:N, B130)&gt;0,$N$1,"no"))</f>
        <v>no</v>
      </c>
    </row>
    <row r="131" spans="1:12" ht="19" hidden="1">
      <c r="A131">
        <v>130</v>
      </c>
      <c r="B131" s="1" t="s">
        <v>72</v>
      </c>
      <c r="C131" s="2" t="s">
        <v>271</v>
      </c>
      <c r="D131" t="s">
        <v>84</v>
      </c>
      <c r="E131" t="s">
        <v>391</v>
      </c>
      <c r="F131" t="s">
        <v>1717</v>
      </c>
      <c r="G131" t="e">
        <v>#N/A</v>
      </c>
      <c r="H131" t="s">
        <v>1717</v>
      </c>
      <c r="I131" t="e">
        <v>#N/A</v>
      </c>
      <c r="J131" t="s">
        <v>1717</v>
      </c>
      <c r="K131" t="e">
        <v>#N/A</v>
      </c>
      <c r="L131" t="str">
        <f t="shared" si="4"/>
        <v>no</v>
      </c>
    </row>
    <row r="132" spans="1:12" ht="19" hidden="1">
      <c r="A132">
        <v>131</v>
      </c>
      <c r="B132" s="1" t="s">
        <v>73</v>
      </c>
      <c r="C132" s="2" t="s">
        <v>271</v>
      </c>
      <c r="D132" t="s">
        <v>84</v>
      </c>
      <c r="E132" t="s">
        <v>391</v>
      </c>
      <c r="F132" t="s">
        <v>1717</v>
      </c>
      <c r="G132" t="e">
        <v>#N/A</v>
      </c>
      <c r="H132" t="s">
        <v>1717</v>
      </c>
      <c r="I132" t="e">
        <v>#N/A</v>
      </c>
      <c r="J132" t="s">
        <v>1717</v>
      </c>
      <c r="K132" t="e">
        <v>#N/A</v>
      </c>
      <c r="L132" t="str">
        <f t="shared" si="4"/>
        <v>no</v>
      </c>
    </row>
    <row r="133" spans="1:12" ht="19" hidden="1">
      <c r="A133">
        <v>132</v>
      </c>
      <c r="B133" s="1" t="s">
        <v>74</v>
      </c>
      <c r="C133" s="2" t="s">
        <v>271</v>
      </c>
      <c r="D133" t="s">
        <v>84</v>
      </c>
      <c r="E133" t="s">
        <v>391</v>
      </c>
      <c r="F133" t="s">
        <v>1717</v>
      </c>
      <c r="G133" t="e">
        <v>#N/A</v>
      </c>
      <c r="H133" t="s">
        <v>1717</v>
      </c>
      <c r="I133" t="e">
        <v>#N/A</v>
      </c>
      <c r="J133" t="s">
        <v>1717</v>
      </c>
      <c r="K133" t="e">
        <v>#N/A</v>
      </c>
      <c r="L133" t="str">
        <f t="shared" si="4"/>
        <v>no</v>
      </c>
    </row>
    <row r="134" spans="1:12" ht="19" hidden="1">
      <c r="A134">
        <v>133</v>
      </c>
      <c r="B134" s="1" t="s">
        <v>75</v>
      </c>
      <c r="C134" s="2" t="s">
        <v>271</v>
      </c>
      <c r="D134" t="s">
        <v>84</v>
      </c>
      <c r="E134" t="s">
        <v>391</v>
      </c>
      <c r="F134" t="s">
        <v>1717</v>
      </c>
      <c r="G134" t="e">
        <v>#N/A</v>
      </c>
      <c r="H134" t="s">
        <v>1717</v>
      </c>
      <c r="I134" t="e">
        <v>#N/A</v>
      </c>
      <c r="J134" t="s">
        <v>1717</v>
      </c>
      <c r="K134" t="e">
        <v>#N/A</v>
      </c>
      <c r="L134" t="str">
        <f t="shared" si="4"/>
        <v>no</v>
      </c>
    </row>
    <row r="135" spans="1:12" ht="19" hidden="1">
      <c r="A135">
        <v>134</v>
      </c>
      <c r="B135" s="1" t="s">
        <v>76</v>
      </c>
      <c r="C135" s="2" t="s">
        <v>271</v>
      </c>
      <c r="D135" t="s">
        <v>84</v>
      </c>
      <c r="E135" t="s">
        <v>391</v>
      </c>
      <c r="F135" t="s">
        <v>1717</v>
      </c>
      <c r="G135" t="e">
        <v>#N/A</v>
      </c>
      <c r="H135" t="s">
        <v>1717</v>
      </c>
      <c r="I135" t="e">
        <v>#N/A</v>
      </c>
      <c r="J135" t="s">
        <v>1717</v>
      </c>
      <c r="K135" t="e">
        <v>#N/A</v>
      </c>
      <c r="L135" t="str">
        <f t="shared" si="4"/>
        <v>no</v>
      </c>
    </row>
    <row r="136" spans="1:12" ht="19" hidden="1">
      <c r="A136">
        <v>135</v>
      </c>
      <c r="B136" s="1" t="s">
        <v>77</v>
      </c>
      <c r="C136" s="2" t="s">
        <v>271</v>
      </c>
      <c r="D136" t="s">
        <v>84</v>
      </c>
      <c r="E136" t="s">
        <v>391</v>
      </c>
      <c r="F136" t="s">
        <v>1717</v>
      </c>
      <c r="G136" t="e">
        <v>#N/A</v>
      </c>
      <c r="H136" t="s">
        <v>1717</v>
      </c>
      <c r="I136" t="e">
        <v>#N/A</v>
      </c>
      <c r="J136" t="s">
        <v>1717</v>
      </c>
      <c r="K136" t="e">
        <v>#N/A</v>
      </c>
      <c r="L136" t="str">
        <f t="shared" si="4"/>
        <v>no</v>
      </c>
    </row>
    <row r="137" spans="1:12" ht="19" hidden="1">
      <c r="A137">
        <v>136</v>
      </c>
      <c r="B137" s="1" t="s">
        <v>78</v>
      </c>
      <c r="C137" s="2" t="s">
        <v>271</v>
      </c>
      <c r="D137" t="s">
        <v>84</v>
      </c>
      <c r="E137" t="s">
        <v>391</v>
      </c>
      <c r="F137" t="s">
        <v>1717</v>
      </c>
      <c r="G137" t="e">
        <v>#N/A</v>
      </c>
      <c r="H137" t="s">
        <v>1717</v>
      </c>
      <c r="I137" t="e">
        <v>#N/A</v>
      </c>
      <c r="J137" t="s">
        <v>1717</v>
      </c>
      <c r="K137" t="e">
        <v>#N/A</v>
      </c>
      <c r="L137" t="str">
        <f t="shared" si="4"/>
        <v>no</v>
      </c>
    </row>
    <row r="138" spans="1:12" ht="19" hidden="1">
      <c r="A138">
        <v>137</v>
      </c>
      <c r="B138" s="1" t="s">
        <v>79</v>
      </c>
      <c r="C138" s="2" t="s">
        <v>271</v>
      </c>
      <c r="D138" t="s">
        <v>84</v>
      </c>
      <c r="E138" t="s">
        <v>391</v>
      </c>
      <c r="F138" t="s">
        <v>1717</v>
      </c>
      <c r="G138" t="e">
        <v>#N/A</v>
      </c>
      <c r="H138" t="s">
        <v>1717</v>
      </c>
      <c r="I138" t="e">
        <v>#N/A</v>
      </c>
      <c r="J138" t="s">
        <v>1717</v>
      </c>
      <c r="K138" t="e">
        <v>#N/A</v>
      </c>
      <c r="L138" t="str">
        <f t="shared" si="4"/>
        <v>no</v>
      </c>
    </row>
    <row r="139" spans="1:12" ht="19" hidden="1">
      <c r="A139">
        <v>138</v>
      </c>
      <c r="B139" s="1" t="s">
        <v>80</v>
      </c>
      <c r="C139" s="2" t="s">
        <v>271</v>
      </c>
      <c r="D139" t="s">
        <v>84</v>
      </c>
      <c r="E139" t="s">
        <v>391</v>
      </c>
      <c r="F139" t="s">
        <v>1717</v>
      </c>
      <c r="G139" t="e">
        <v>#N/A</v>
      </c>
      <c r="H139" t="s">
        <v>1717</v>
      </c>
      <c r="I139" t="e">
        <v>#N/A</v>
      </c>
      <c r="J139" t="s">
        <v>1717</v>
      </c>
      <c r="K139" t="e">
        <v>#N/A</v>
      </c>
      <c r="L139" t="str">
        <f t="shared" si="4"/>
        <v>no</v>
      </c>
    </row>
    <row r="140" spans="1:12" ht="19" hidden="1">
      <c r="A140">
        <v>139</v>
      </c>
      <c r="B140" s="1" t="s">
        <v>81</v>
      </c>
      <c r="C140" s="2" t="s">
        <v>271</v>
      </c>
      <c r="D140" t="s">
        <v>84</v>
      </c>
      <c r="E140" t="s">
        <v>391</v>
      </c>
      <c r="F140" t="s">
        <v>1717</v>
      </c>
      <c r="G140" t="e">
        <v>#N/A</v>
      </c>
      <c r="H140" t="s">
        <v>1717</v>
      </c>
      <c r="I140" t="e">
        <v>#N/A</v>
      </c>
      <c r="J140" t="s">
        <v>1717</v>
      </c>
      <c r="K140" t="e">
        <v>#N/A</v>
      </c>
      <c r="L140" t="str">
        <f t="shared" si="4"/>
        <v>no</v>
      </c>
    </row>
    <row r="141" spans="1:12" ht="19" hidden="1">
      <c r="A141">
        <v>140</v>
      </c>
      <c r="B141" s="1" t="s">
        <v>82</v>
      </c>
      <c r="C141" s="2" t="s">
        <v>271</v>
      </c>
      <c r="D141" t="s">
        <v>84</v>
      </c>
      <c r="E141" t="s">
        <v>391</v>
      </c>
      <c r="F141" t="s">
        <v>1717</v>
      </c>
      <c r="G141" t="e">
        <v>#N/A</v>
      </c>
      <c r="H141" t="s">
        <v>1717</v>
      </c>
      <c r="I141" t="e">
        <v>#N/A</v>
      </c>
      <c r="J141" t="s">
        <v>1717</v>
      </c>
      <c r="K141" t="e">
        <v>#N/A</v>
      </c>
      <c r="L141" t="str">
        <f t="shared" si="4"/>
        <v>no</v>
      </c>
    </row>
    <row r="142" spans="1:12" ht="19" hidden="1">
      <c r="A142">
        <v>141</v>
      </c>
      <c r="B142" s="1" t="s">
        <v>83</v>
      </c>
      <c r="C142" s="2" t="s">
        <v>271</v>
      </c>
      <c r="D142" t="s">
        <v>84</v>
      </c>
      <c r="E142" t="s">
        <v>391</v>
      </c>
      <c r="F142" t="s">
        <v>1717</v>
      </c>
      <c r="G142" t="e">
        <v>#N/A</v>
      </c>
      <c r="H142" t="s">
        <v>1717</v>
      </c>
      <c r="I142" t="e">
        <v>#N/A</v>
      </c>
      <c r="J142" t="s">
        <v>1717</v>
      </c>
      <c r="K142" t="e">
        <v>#N/A</v>
      </c>
      <c r="L142" t="str">
        <f t="shared" si="4"/>
        <v>no</v>
      </c>
    </row>
    <row r="143" spans="1:12" ht="19">
      <c r="B143" s="1"/>
    </row>
    <row r="144" spans="1:12" ht="19">
      <c r="B144" s="1"/>
    </row>
  </sheetData>
  <autoFilter ref="A1:M142" xr:uid="{CDC925AE-7FF0-3244-95F6-37B0F343D4FE}">
    <filterColumn colId="3">
      <filters>
        <filter val="1quick"/>
      </filters>
    </filterColumn>
    <filterColumn colId="11">
      <filters>
        <filter val="to dignose"/>
      </filters>
    </filterColumn>
  </autoFilter>
  <phoneticPr fontId="1" type="noConversion"/>
  <conditionalFormatting sqref="E1:E1048576">
    <cfRule type="cellIs" dxfId="102" priority="4" operator="equal">
      <formula>"no"</formula>
    </cfRule>
    <cfRule type="cellIs" dxfId="101" priority="5" operator="equal">
      <formula>"yes"</formula>
    </cfRule>
  </conditionalFormatting>
  <conditionalFormatting sqref="F2:F142">
    <cfRule type="expression" dxfId="100" priority="3">
      <formula>F2&lt;&gt;E2</formula>
    </cfRule>
  </conditionalFormatting>
  <conditionalFormatting sqref="H2:H142">
    <cfRule type="expression" dxfId="99" priority="2" stopIfTrue="1">
      <formula>H2&lt;&gt;E2</formula>
    </cfRule>
  </conditionalFormatting>
  <conditionalFormatting sqref="J2:J142">
    <cfRule type="expression" dxfId="98" priority="1">
      <formula>J2&lt;&gt;E2</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02618-1901-224B-B43B-BC70044D2095}">
  <sheetPr filterMode="1"/>
  <dimension ref="A1:N142"/>
  <sheetViews>
    <sheetView workbookViewId="0">
      <selection activeCell="J3" sqref="J3"/>
    </sheetView>
  </sheetViews>
  <sheetFormatPr baseColWidth="10" defaultRowHeight="15"/>
  <cols>
    <col min="2" max="2" width="12" style="5" customWidth="1"/>
    <col min="3" max="3" width="5.1640625" customWidth="1"/>
    <col min="5" max="5" width="11.33203125" customWidth="1"/>
    <col min="12" max="12" width="14.33203125" customWidth="1"/>
  </cols>
  <sheetData>
    <row r="1" spans="1:14">
      <c r="A1" t="s">
        <v>88</v>
      </c>
      <c r="B1" s="5" t="s">
        <v>0</v>
      </c>
      <c r="C1" s="2" t="s">
        <v>202</v>
      </c>
      <c r="D1" t="s">
        <v>6</v>
      </c>
      <c r="E1" t="s">
        <v>1</v>
      </c>
      <c r="F1" t="s">
        <v>2058</v>
      </c>
      <c r="G1" t="s">
        <v>2060</v>
      </c>
      <c r="H1" t="s">
        <v>2058</v>
      </c>
      <c r="I1" t="s">
        <v>2060</v>
      </c>
      <c r="J1" t="s">
        <v>2059</v>
      </c>
      <c r="K1" t="s">
        <v>2060</v>
      </c>
      <c r="L1" t="s">
        <v>1067</v>
      </c>
      <c r="M1" t="s">
        <v>1192</v>
      </c>
      <c r="N1" t="s">
        <v>1105</v>
      </c>
    </row>
    <row r="2" spans="1:14" ht="19">
      <c r="A2">
        <v>1</v>
      </c>
      <c r="B2" s="14" t="s">
        <v>299</v>
      </c>
      <c r="C2" t="s">
        <v>271</v>
      </c>
      <c r="E2" t="s">
        <v>390</v>
      </c>
      <c r="F2" t="s">
        <v>201</v>
      </c>
      <c r="G2" t="s">
        <v>2172</v>
      </c>
      <c r="H2" t="s">
        <v>201</v>
      </c>
      <c r="I2" t="s">
        <v>2319</v>
      </c>
      <c r="J2" t="s">
        <v>201</v>
      </c>
      <c r="K2" t="s">
        <v>2173</v>
      </c>
      <c r="L2" t="str">
        <f>IF(COUNTIF(M:M, B2)&gt;0,$M$1,IF(COUNTIF(N:N, B2)&gt;0,$N$1,"no"))</f>
        <v>segmented videos list</v>
      </c>
      <c r="M2" s="1"/>
      <c r="N2" s="1" t="s">
        <v>327</v>
      </c>
    </row>
    <row r="3" spans="1:14" ht="19">
      <c r="A3">
        <v>2</v>
      </c>
      <c r="B3" s="14" t="s">
        <v>300</v>
      </c>
      <c r="C3" t="s">
        <v>271</v>
      </c>
      <c r="E3" t="s">
        <v>390</v>
      </c>
      <c r="F3" t="s">
        <v>192</v>
      </c>
      <c r="G3" t="s">
        <v>2158</v>
      </c>
      <c r="H3" t="s">
        <v>192</v>
      </c>
      <c r="I3" t="s">
        <v>2330</v>
      </c>
      <c r="J3" t="s">
        <v>201</v>
      </c>
      <c r="K3" t="s">
        <v>2462</v>
      </c>
      <c r="L3" t="str">
        <f t="shared" ref="L3:L66" si="0">IF(COUNTIF(M:M, B3)&gt;0,$M$1,IF(COUNTIF(N:N, B3)&gt;0,$N$1,"no"))</f>
        <v>segmented videos list</v>
      </c>
      <c r="M3" s="1"/>
      <c r="N3" s="1" t="s">
        <v>348</v>
      </c>
    </row>
    <row r="4" spans="1:14" ht="19" hidden="1">
      <c r="A4">
        <v>3</v>
      </c>
      <c r="B4" s="14" t="s">
        <v>301</v>
      </c>
      <c r="C4" t="s">
        <v>295</v>
      </c>
      <c r="E4" t="s">
        <v>391</v>
      </c>
      <c r="F4" t="s">
        <v>201</v>
      </c>
      <c r="G4" t="s">
        <v>2175</v>
      </c>
      <c r="H4" t="s">
        <v>201</v>
      </c>
      <c r="I4" t="s">
        <v>2325</v>
      </c>
      <c r="J4" t="s">
        <v>201</v>
      </c>
      <c r="K4" t="s">
        <v>2476</v>
      </c>
      <c r="L4" t="str">
        <f t="shared" si="0"/>
        <v>segmented videos list</v>
      </c>
      <c r="M4" s="1"/>
      <c r="N4" s="1" t="s">
        <v>311</v>
      </c>
    </row>
    <row r="5" spans="1:14" ht="19">
      <c r="A5">
        <v>4</v>
      </c>
      <c r="B5" s="14" t="s">
        <v>302</v>
      </c>
      <c r="C5" t="s">
        <v>271</v>
      </c>
      <c r="E5" t="s">
        <v>390</v>
      </c>
      <c r="F5" t="s">
        <v>201</v>
      </c>
      <c r="G5" t="s">
        <v>2161</v>
      </c>
      <c r="H5" t="s">
        <v>201</v>
      </c>
      <c r="I5" t="s">
        <v>2313</v>
      </c>
      <c r="J5" t="s">
        <v>201</v>
      </c>
      <c r="K5" t="s">
        <v>2145</v>
      </c>
      <c r="L5" t="str">
        <f t="shared" si="0"/>
        <v>segmented videos list</v>
      </c>
      <c r="M5" s="1"/>
      <c r="N5" s="1" t="s">
        <v>328</v>
      </c>
    </row>
    <row r="6" spans="1:14" ht="19" hidden="1">
      <c r="A6">
        <v>5</v>
      </c>
      <c r="B6" s="14" t="s">
        <v>303</v>
      </c>
      <c r="C6" t="s">
        <v>271</v>
      </c>
      <c r="E6" t="s">
        <v>390</v>
      </c>
      <c r="F6" t="s">
        <v>1717</v>
      </c>
      <c r="G6" t="e">
        <v>#N/A</v>
      </c>
      <c r="H6" t="s">
        <v>1717</v>
      </c>
      <c r="I6" t="e">
        <v>#N/A</v>
      </c>
      <c r="J6" t="s">
        <v>1717</v>
      </c>
      <c r="K6" t="e">
        <v>#N/A</v>
      </c>
      <c r="L6" t="str">
        <f t="shared" si="0"/>
        <v>no</v>
      </c>
      <c r="M6" s="1"/>
      <c r="N6" s="1" t="s">
        <v>349</v>
      </c>
    </row>
    <row r="7" spans="1:14" ht="19">
      <c r="A7">
        <v>6</v>
      </c>
      <c r="B7" s="14" t="s">
        <v>304</v>
      </c>
      <c r="C7" t="s">
        <v>268</v>
      </c>
      <c r="E7" t="s">
        <v>390</v>
      </c>
      <c r="F7" t="s">
        <v>192</v>
      </c>
      <c r="G7" t="s">
        <v>2167</v>
      </c>
      <c r="H7" t="s">
        <v>192</v>
      </c>
      <c r="I7" t="s">
        <v>2318</v>
      </c>
      <c r="J7" t="s">
        <v>192</v>
      </c>
      <c r="K7" t="s">
        <v>2469</v>
      </c>
      <c r="L7" t="str">
        <f t="shared" si="0"/>
        <v>segmented videos list</v>
      </c>
      <c r="M7" s="1"/>
      <c r="N7" s="1" t="s">
        <v>312</v>
      </c>
    </row>
    <row r="8" spans="1:14" ht="19">
      <c r="A8">
        <v>7</v>
      </c>
      <c r="B8" s="14" t="s">
        <v>305</v>
      </c>
      <c r="C8" t="s">
        <v>269</v>
      </c>
      <c r="E8" t="s">
        <v>390</v>
      </c>
      <c r="F8" t="s">
        <v>192</v>
      </c>
      <c r="G8" t="s">
        <v>2149</v>
      </c>
      <c r="H8" t="s">
        <v>192</v>
      </c>
      <c r="I8" t="s">
        <v>2305</v>
      </c>
      <c r="J8" t="s">
        <v>192</v>
      </c>
      <c r="K8" t="s">
        <v>2453</v>
      </c>
      <c r="L8" t="str">
        <f t="shared" si="0"/>
        <v>segmented videos list</v>
      </c>
      <c r="M8" s="1"/>
      <c r="N8" s="1" t="s">
        <v>329</v>
      </c>
    </row>
    <row r="9" spans="1:14" ht="19" hidden="1">
      <c r="A9">
        <v>8</v>
      </c>
      <c r="B9" s="14" t="s">
        <v>306</v>
      </c>
      <c r="C9" t="s">
        <v>295</v>
      </c>
      <c r="E9" t="s">
        <v>391</v>
      </c>
      <c r="F9" t="s">
        <v>1717</v>
      </c>
      <c r="G9" t="e">
        <v>#N/A</v>
      </c>
      <c r="H9" t="s">
        <v>1717</v>
      </c>
      <c r="I9" t="e">
        <v>#N/A</v>
      </c>
      <c r="J9" t="s">
        <v>1717</v>
      </c>
      <c r="K9" t="e">
        <v>#N/A</v>
      </c>
      <c r="L9" t="str">
        <f t="shared" si="0"/>
        <v>no</v>
      </c>
      <c r="M9" s="1"/>
      <c r="N9" s="1" t="s">
        <v>350</v>
      </c>
    </row>
    <row r="10" spans="1:14" ht="19" hidden="1">
      <c r="A10">
        <v>9</v>
      </c>
      <c r="B10" s="14" t="s">
        <v>307</v>
      </c>
      <c r="C10" t="s">
        <v>295</v>
      </c>
      <c r="E10" t="s">
        <v>391</v>
      </c>
      <c r="F10" t="s">
        <v>1717</v>
      </c>
      <c r="G10" t="e">
        <v>#N/A</v>
      </c>
      <c r="H10" t="s">
        <v>1717</v>
      </c>
      <c r="I10" t="e">
        <v>#N/A</v>
      </c>
      <c r="J10" t="s">
        <v>1717</v>
      </c>
      <c r="K10" t="e">
        <v>#N/A</v>
      </c>
      <c r="L10" t="str">
        <f t="shared" si="0"/>
        <v>no</v>
      </c>
      <c r="M10" s="1"/>
      <c r="N10" s="1" t="s">
        <v>313</v>
      </c>
    </row>
    <row r="11" spans="1:14" ht="19" hidden="1">
      <c r="A11">
        <v>10</v>
      </c>
      <c r="B11" s="14" t="s">
        <v>308</v>
      </c>
      <c r="C11" t="s">
        <v>295</v>
      </c>
      <c r="E11" t="s">
        <v>391</v>
      </c>
      <c r="F11" t="s">
        <v>192</v>
      </c>
      <c r="G11" t="s">
        <v>2148</v>
      </c>
      <c r="H11" t="s">
        <v>192</v>
      </c>
      <c r="I11" t="s">
        <v>2304</v>
      </c>
      <c r="J11" t="s">
        <v>192</v>
      </c>
      <c r="K11" t="s">
        <v>2452</v>
      </c>
      <c r="L11" t="str">
        <f t="shared" si="0"/>
        <v>segmented videos list</v>
      </c>
      <c r="M11" s="1"/>
      <c r="N11" s="1" t="s">
        <v>330</v>
      </c>
    </row>
    <row r="12" spans="1:14" ht="19" hidden="1">
      <c r="A12">
        <v>11</v>
      </c>
      <c r="B12" s="14" t="s">
        <v>309</v>
      </c>
      <c r="C12" t="s">
        <v>354</v>
      </c>
      <c r="E12" t="s">
        <v>391</v>
      </c>
      <c r="F12" t="s">
        <v>192</v>
      </c>
      <c r="G12" t="s">
        <v>2147</v>
      </c>
      <c r="H12" t="s">
        <v>192</v>
      </c>
      <c r="I12" t="s">
        <v>2303</v>
      </c>
      <c r="J12" t="s">
        <v>192</v>
      </c>
      <c r="K12" t="s">
        <v>2451</v>
      </c>
      <c r="L12" t="str">
        <f t="shared" si="0"/>
        <v>segmented videos list</v>
      </c>
      <c r="M12" s="1"/>
      <c r="N12" s="1" t="s">
        <v>351</v>
      </c>
    </row>
    <row r="13" spans="1:14" ht="19" hidden="1">
      <c r="A13">
        <v>12</v>
      </c>
      <c r="B13" s="14" t="s">
        <v>310</v>
      </c>
      <c r="C13" t="s">
        <v>295</v>
      </c>
      <c r="E13" t="s">
        <v>391</v>
      </c>
      <c r="F13" t="s">
        <v>192</v>
      </c>
      <c r="G13" t="s">
        <v>2155</v>
      </c>
      <c r="H13" t="s">
        <v>192</v>
      </c>
      <c r="I13" t="s">
        <v>2311</v>
      </c>
      <c r="J13" t="s">
        <v>192</v>
      </c>
      <c r="K13" t="s">
        <v>2459</v>
      </c>
      <c r="L13" t="str">
        <f t="shared" si="0"/>
        <v>segmented videos list</v>
      </c>
      <c r="M13" s="1"/>
      <c r="N13" s="1" t="s">
        <v>314</v>
      </c>
    </row>
    <row r="14" spans="1:14" ht="19" hidden="1">
      <c r="A14">
        <v>13</v>
      </c>
      <c r="B14" s="14" t="s">
        <v>311</v>
      </c>
      <c r="C14" t="s">
        <v>355</v>
      </c>
      <c r="E14" t="s">
        <v>391</v>
      </c>
      <c r="F14" t="s">
        <v>192</v>
      </c>
      <c r="G14" t="s">
        <v>2168</v>
      </c>
      <c r="H14" t="s">
        <v>192</v>
      </c>
      <c r="I14" t="s">
        <v>2320</v>
      </c>
      <c r="J14" t="s">
        <v>192</v>
      </c>
      <c r="K14" t="s">
        <v>2471</v>
      </c>
      <c r="L14" t="str">
        <f t="shared" si="0"/>
        <v>segmented videos list</v>
      </c>
      <c r="M14" s="1"/>
      <c r="N14" s="1" t="s">
        <v>331</v>
      </c>
    </row>
    <row r="15" spans="1:14" ht="19">
      <c r="A15">
        <v>14</v>
      </c>
      <c r="B15" s="14" t="s">
        <v>312</v>
      </c>
      <c r="C15" t="s">
        <v>271</v>
      </c>
      <c r="E15" t="s">
        <v>390</v>
      </c>
      <c r="F15" t="s">
        <v>192</v>
      </c>
      <c r="G15" t="s">
        <v>2144</v>
      </c>
      <c r="H15" t="s">
        <v>192</v>
      </c>
      <c r="I15" t="s">
        <v>2327</v>
      </c>
      <c r="J15" t="s">
        <v>192</v>
      </c>
      <c r="K15" t="s">
        <v>2447</v>
      </c>
      <c r="L15" t="str">
        <f t="shared" si="0"/>
        <v>segmented videos list</v>
      </c>
      <c r="M15" s="1"/>
      <c r="N15" s="1" t="s">
        <v>352</v>
      </c>
    </row>
    <row r="16" spans="1:14" ht="19" hidden="1">
      <c r="A16">
        <v>15</v>
      </c>
      <c r="B16" s="14" t="s">
        <v>313</v>
      </c>
      <c r="C16" t="s">
        <v>355</v>
      </c>
      <c r="E16" t="s">
        <v>391</v>
      </c>
      <c r="F16" t="s">
        <v>192</v>
      </c>
      <c r="G16" t="s">
        <v>2143</v>
      </c>
      <c r="H16" t="s">
        <v>192</v>
      </c>
      <c r="I16" t="s">
        <v>2299</v>
      </c>
      <c r="J16" t="s">
        <v>192</v>
      </c>
      <c r="K16" t="s">
        <v>2446</v>
      </c>
      <c r="L16" t="str">
        <f t="shared" si="0"/>
        <v>segmented videos list</v>
      </c>
      <c r="M16" s="1"/>
      <c r="N16" s="1" t="s">
        <v>318</v>
      </c>
    </row>
    <row r="17" spans="1:14" ht="19">
      <c r="A17">
        <v>16</v>
      </c>
      <c r="B17" s="14" t="s">
        <v>314</v>
      </c>
      <c r="C17" t="s">
        <v>270</v>
      </c>
      <c r="E17" t="s">
        <v>390</v>
      </c>
      <c r="F17" t="s">
        <v>192</v>
      </c>
      <c r="G17" t="s">
        <v>2153</v>
      </c>
      <c r="H17" t="s">
        <v>192</v>
      </c>
      <c r="I17" t="s">
        <v>2309</v>
      </c>
      <c r="J17" t="s">
        <v>192</v>
      </c>
      <c r="K17" t="s">
        <v>2457</v>
      </c>
      <c r="L17" t="str">
        <f t="shared" si="0"/>
        <v>segmented videos list</v>
      </c>
      <c r="M17" s="1"/>
      <c r="N17" s="1" t="s">
        <v>332</v>
      </c>
    </row>
    <row r="18" spans="1:14" ht="19" hidden="1">
      <c r="A18">
        <v>17</v>
      </c>
      <c r="B18" s="14" t="s">
        <v>315</v>
      </c>
      <c r="C18" t="s">
        <v>271</v>
      </c>
      <c r="E18" t="s">
        <v>390</v>
      </c>
      <c r="F18" t="s">
        <v>1717</v>
      </c>
      <c r="G18" t="e">
        <v>#N/A</v>
      </c>
      <c r="H18" t="s">
        <v>1717</v>
      </c>
      <c r="I18" t="e">
        <v>#N/A</v>
      </c>
      <c r="J18" t="s">
        <v>1717</v>
      </c>
      <c r="K18" t="e">
        <v>#N/A</v>
      </c>
      <c r="L18" t="str">
        <f t="shared" si="0"/>
        <v>no</v>
      </c>
      <c r="M18" s="1"/>
      <c r="N18" s="1" t="s">
        <v>299</v>
      </c>
    </row>
    <row r="19" spans="1:14" ht="19" hidden="1">
      <c r="A19">
        <v>18</v>
      </c>
      <c r="B19" s="14" t="s">
        <v>316</v>
      </c>
      <c r="C19" t="s">
        <v>271</v>
      </c>
      <c r="E19" t="s">
        <v>390</v>
      </c>
      <c r="F19" t="s">
        <v>1717</v>
      </c>
      <c r="G19" t="e">
        <v>#N/A</v>
      </c>
      <c r="H19" t="s">
        <v>1717</v>
      </c>
      <c r="I19" t="e">
        <v>#N/A</v>
      </c>
      <c r="J19" t="s">
        <v>1717</v>
      </c>
      <c r="K19" t="e">
        <v>#N/A</v>
      </c>
      <c r="L19" t="str">
        <f t="shared" si="0"/>
        <v>no</v>
      </c>
      <c r="M19" s="1"/>
      <c r="N19" s="1" t="s">
        <v>319</v>
      </c>
    </row>
    <row r="20" spans="1:14" ht="19" hidden="1">
      <c r="A20">
        <v>19</v>
      </c>
      <c r="B20" s="14" t="s">
        <v>317</v>
      </c>
      <c r="C20" t="s">
        <v>271</v>
      </c>
      <c r="E20" t="s">
        <v>390</v>
      </c>
      <c r="F20" t="s">
        <v>1717</v>
      </c>
      <c r="G20" t="e">
        <v>#N/A</v>
      </c>
      <c r="H20" t="s">
        <v>1717</v>
      </c>
      <c r="I20" t="e">
        <v>#N/A</v>
      </c>
      <c r="J20" t="s">
        <v>1717</v>
      </c>
      <c r="K20" t="e">
        <v>#N/A</v>
      </c>
      <c r="L20" t="str">
        <f t="shared" si="0"/>
        <v>no</v>
      </c>
      <c r="M20" s="1"/>
      <c r="N20" s="1" t="s">
        <v>333</v>
      </c>
    </row>
    <row r="21" spans="1:14" ht="19" hidden="1">
      <c r="A21">
        <v>20</v>
      </c>
      <c r="B21" s="14" t="s">
        <v>318</v>
      </c>
      <c r="C21" t="s">
        <v>295</v>
      </c>
      <c r="E21" t="s">
        <v>391</v>
      </c>
      <c r="F21" t="s">
        <v>192</v>
      </c>
      <c r="G21" t="s">
        <v>2159</v>
      </c>
      <c r="H21" t="s">
        <v>192</v>
      </c>
      <c r="I21" t="s">
        <v>2331</v>
      </c>
      <c r="J21" t="s">
        <v>192</v>
      </c>
      <c r="K21" t="s">
        <v>2478</v>
      </c>
      <c r="L21" t="str">
        <f t="shared" si="0"/>
        <v>segmented videos list</v>
      </c>
      <c r="M21" s="1"/>
      <c r="N21" s="1" t="s">
        <v>300</v>
      </c>
    </row>
    <row r="22" spans="1:14" ht="19" hidden="1">
      <c r="A22">
        <v>21</v>
      </c>
      <c r="B22" s="14" t="s">
        <v>319</v>
      </c>
      <c r="C22" t="s">
        <v>295</v>
      </c>
      <c r="E22" t="s">
        <v>391</v>
      </c>
      <c r="F22" t="s">
        <v>192</v>
      </c>
      <c r="G22" t="s">
        <v>2163</v>
      </c>
      <c r="H22" t="s">
        <v>192</v>
      </c>
      <c r="I22" t="s">
        <v>2315</v>
      </c>
      <c r="J22" t="s">
        <v>192</v>
      </c>
      <c r="K22" t="s">
        <v>2465</v>
      </c>
      <c r="L22" t="str">
        <f t="shared" si="0"/>
        <v>segmented videos list</v>
      </c>
      <c r="M22" s="1"/>
      <c r="N22" s="1" t="s">
        <v>320</v>
      </c>
    </row>
    <row r="23" spans="1:14" ht="19" hidden="1">
      <c r="A23">
        <v>22</v>
      </c>
      <c r="B23" s="14" t="s">
        <v>320</v>
      </c>
      <c r="C23" t="s">
        <v>295</v>
      </c>
      <c r="E23" t="s">
        <v>391</v>
      </c>
      <c r="F23" t="s">
        <v>192</v>
      </c>
      <c r="G23" t="s">
        <v>2162</v>
      </c>
      <c r="H23" t="s">
        <v>192</v>
      </c>
      <c r="I23" t="s">
        <v>2314</v>
      </c>
      <c r="J23" t="s">
        <v>192</v>
      </c>
      <c r="K23" t="s">
        <v>2464</v>
      </c>
      <c r="L23" t="str">
        <f t="shared" si="0"/>
        <v>segmented videos list</v>
      </c>
      <c r="M23" s="1"/>
      <c r="N23" s="1" t="s">
        <v>338</v>
      </c>
    </row>
    <row r="24" spans="1:14" ht="19" hidden="1">
      <c r="A24">
        <v>23</v>
      </c>
      <c r="B24" s="14" t="s">
        <v>321</v>
      </c>
      <c r="C24" t="s">
        <v>296</v>
      </c>
      <c r="E24" t="s">
        <v>391</v>
      </c>
      <c r="F24" t="s">
        <v>192</v>
      </c>
      <c r="G24" t="s">
        <v>2146</v>
      </c>
      <c r="H24" t="s">
        <v>192</v>
      </c>
      <c r="I24" t="s">
        <v>2302</v>
      </c>
      <c r="J24" t="s">
        <v>192</v>
      </c>
      <c r="K24" t="s">
        <v>2450</v>
      </c>
      <c r="L24" t="str">
        <f t="shared" si="0"/>
        <v>segmented videos list</v>
      </c>
      <c r="M24" s="1"/>
      <c r="N24" s="1" t="s">
        <v>301</v>
      </c>
    </row>
    <row r="25" spans="1:14" ht="19" hidden="1">
      <c r="A25">
        <v>24</v>
      </c>
      <c r="B25" s="14" t="s">
        <v>322</v>
      </c>
      <c r="C25" t="s">
        <v>296</v>
      </c>
      <c r="E25" t="s">
        <v>391</v>
      </c>
      <c r="F25" t="s">
        <v>192</v>
      </c>
      <c r="G25" t="s">
        <v>2150</v>
      </c>
      <c r="H25" t="s">
        <v>201</v>
      </c>
      <c r="I25" t="s">
        <v>2306</v>
      </c>
      <c r="J25" t="s">
        <v>192</v>
      </c>
      <c r="K25" t="s">
        <v>2454</v>
      </c>
      <c r="L25" t="str">
        <f t="shared" si="0"/>
        <v>segmented videos list</v>
      </c>
      <c r="M25" s="1"/>
      <c r="N25" s="1" t="s">
        <v>321</v>
      </c>
    </row>
    <row r="26" spans="1:14" ht="19" hidden="1">
      <c r="A26">
        <v>25</v>
      </c>
      <c r="B26" s="14" t="s">
        <v>323</v>
      </c>
      <c r="C26" t="s">
        <v>296</v>
      </c>
      <c r="E26" t="s">
        <v>391</v>
      </c>
      <c r="F26" t="s">
        <v>192</v>
      </c>
      <c r="G26" t="s">
        <v>2142</v>
      </c>
      <c r="H26" t="s">
        <v>192</v>
      </c>
      <c r="I26" t="s">
        <v>2298</v>
      </c>
      <c r="J26" t="s">
        <v>192</v>
      </c>
      <c r="K26" t="s">
        <v>2445</v>
      </c>
      <c r="L26" t="str">
        <f t="shared" si="0"/>
        <v>segmented videos list</v>
      </c>
      <c r="M26" s="1"/>
      <c r="N26" s="1" t="s">
        <v>339</v>
      </c>
    </row>
    <row r="27" spans="1:14" ht="19" hidden="1">
      <c r="A27">
        <v>26</v>
      </c>
      <c r="B27" s="14" t="s">
        <v>324</v>
      </c>
      <c r="C27" t="s">
        <v>296</v>
      </c>
      <c r="E27" t="s">
        <v>391</v>
      </c>
      <c r="F27" t="s">
        <v>192</v>
      </c>
      <c r="G27" t="s">
        <v>2157</v>
      </c>
      <c r="H27" t="s">
        <v>192</v>
      </c>
      <c r="I27" t="s">
        <v>2329</v>
      </c>
      <c r="J27" t="s">
        <v>192</v>
      </c>
      <c r="K27" t="s">
        <v>2461</v>
      </c>
      <c r="L27" t="str">
        <f t="shared" si="0"/>
        <v>segmented videos list</v>
      </c>
      <c r="M27" s="1"/>
      <c r="N27" s="1" t="s">
        <v>302</v>
      </c>
    </row>
    <row r="28" spans="1:14" ht="19" hidden="1">
      <c r="A28">
        <v>27</v>
      </c>
      <c r="B28" s="14" t="s">
        <v>325</v>
      </c>
      <c r="C28" t="s">
        <v>296</v>
      </c>
      <c r="E28" t="s">
        <v>391</v>
      </c>
      <c r="F28" t="s">
        <v>192</v>
      </c>
      <c r="G28" t="s">
        <v>2139</v>
      </c>
      <c r="H28" t="s">
        <v>192</v>
      </c>
      <c r="I28" t="s">
        <v>2296</v>
      </c>
      <c r="J28" t="s">
        <v>192</v>
      </c>
      <c r="K28" t="s">
        <v>2442</v>
      </c>
      <c r="L28" t="str">
        <f t="shared" si="0"/>
        <v>segmented videos list</v>
      </c>
      <c r="M28" s="1"/>
      <c r="N28" s="1" t="s">
        <v>322</v>
      </c>
    </row>
    <row r="29" spans="1:14" ht="19" hidden="1">
      <c r="A29">
        <v>28</v>
      </c>
      <c r="B29" s="14" t="s">
        <v>326</v>
      </c>
      <c r="C29" t="s">
        <v>296</v>
      </c>
      <c r="E29" t="s">
        <v>391</v>
      </c>
      <c r="F29" t="s">
        <v>192</v>
      </c>
      <c r="G29" t="s">
        <v>2152</v>
      </c>
      <c r="H29" t="s">
        <v>192</v>
      </c>
      <c r="I29" t="s">
        <v>2308</v>
      </c>
      <c r="J29" t="s">
        <v>192</v>
      </c>
      <c r="K29" t="s">
        <v>2456</v>
      </c>
      <c r="L29" t="str">
        <f t="shared" si="0"/>
        <v>segmented videos list</v>
      </c>
      <c r="M29" s="1"/>
      <c r="N29" s="1" t="s">
        <v>340</v>
      </c>
    </row>
    <row r="30" spans="1:14" ht="19">
      <c r="A30">
        <v>29</v>
      </c>
      <c r="B30" s="14" t="s">
        <v>327</v>
      </c>
      <c r="C30" t="s">
        <v>271</v>
      </c>
      <c r="E30" t="s">
        <v>390</v>
      </c>
      <c r="F30" t="s">
        <v>192</v>
      </c>
      <c r="G30" t="s">
        <v>2166</v>
      </c>
      <c r="H30" t="s">
        <v>192</v>
      </c>
      <c r="I30" t="s">
        <v>2317</v>
      </c>
      <c r="J30" t="s">
        <v>192</v>
      </c>
      <c r="K30" t="s">
        <v>2468</v>
      </c>
      <c r="L30" t="str">
        <f t="shared" si="0"/>
        <v>segmented videos list</v>
      </c>
      <c r="M30" s="1"/>
      <c r="N30" s="1" t="s">
        <v>304</v>
      </c>
    </row>
    <row r="31" spans="1:14" ht="19">
      <c r="A31">
        <v>30</v>
      </c>
      <c r="B31" s="14" t="s">
        <v>328</v>
      </c>
      <c r="C31" t="s">
        <v>270</v>
      </c>
      <c r="E31" t="s">
        <v>390</v>
      </c>
      <c r="F31" t="s">
        <v>192</v>
      </c>
      <c r="G31" t="s">
        <v>2156</v>
      </c>
      <c r="H31" t="s">
        <v>192</v>
      </c>
      <c r="I31" t="s">
        <v>2312</v>
      </c>
      <c r="J31" t="s">
        <v>192</v>
      </c>
      <c r="K31" t="s">
        <v>2460</v>
      </c>
      <c r="L31" t="str">
        <f t="shared" si="0"/>
        <v>segmented videos list</v>
      </c>
      <c r="M31" s="1"/>
      <c r="N31" s="1" t="s">
        <v>323</v>
      </c>
    </row>
    <row r="32" spans="1:14" ht="19">
      <c r="A32">
        <v>31</v>
      </c>
      <c r="B32" s="14" t="s">
        <v>329</v>
      </c>
      <c r="C32" t="s">
        <v>269</v>
      </c>
      <c r="E32" t="s">
        <v>390</v>
      </c>
      <c r="F32" t="s">
        <v>201</v>
      </c>
      <c r="G32" t="s">
        <v>2089</v>
      </c>
      <c r="H32" t="s">
        <v>201</v>
      </c>
      <c r="I32" t="s">
        <v>2295</v>
      </c>
      <c r="J32" t="s">
        <v>201</v>
      </c>
      <c r="K32" t="s">
        <v>2441</v>
      </c>
      <c r="L32" t="str">
        <f t="shared" si="0"/>
        <v>segmented videos list</v>
      </c>
      <c r="M32" s="1"/>
      <c r="N32" s="1" t="s">
        <v>341</v>
      </c>
    </row>
    <row r="33" spans="1:14" ht="19">
      <c r="A33">
        <v>32</v>
      </c>
      <c r="B33" s="14" t="s">
        <v>330</v>
      </c>
      <c r="C33" t="s">
        <v>269</v>
      </c>
      <c r="E33" t="s">
        <v>390</v>
      </c>
      <c r="F33" t="s">
        <v>201</v>
      </c>
      <c r="G33" t="s">
        <v>2170</v>
      </c>
      <c r="H33" t="s">
        <v>201</v>
      </c>
      <c r="I33" t="s">
        <v>2328</v>
      </c>
      <c r="J33" t="s">
        <v>201</v>
      </c>
      <c r="K33" t="s">
        <v>2448</v>
      </c>
      <c r="L33" t="str">
        <f t="shared" si="0"/>
        <v>segmented videos list</v>
      </c>
      <c r="M33" s="1"/>
      <c r="N33" s="1" t="s">
        <v>305</v>
      </c>
    </row>
    <row r="34" spans="1:14" ht="19">
      <c r="A34">
        <v>33</v>
      </c>
      <c r="B34" s="14" t="s">
        <v>331</v>
      </c>
      <c r="C34" t="s">
        <v>271</v>
      </c>
      <c r="E34" t="s">
        <v>390</v>
      </c>
      <c r="F34" t="s">
        <v>201</v>
      </c>
      <c r="G34" t="s">
        <v>2165</v>
      </c>
      <c r="H34" t="s">
        <v>201</v>
      </c>
      <c r="I34" t="s">
        <v>2067</v>
      </c>
      <c r="J34" t="s">
        <v>201</v>
      </c>
      <c r="K34" t="s">
        <v>2467</v>
      </c>
      <c r="L34" t="str">
        <f t="shared" si="0"/>
        <v>segmented videos list</v>
      </c>
      <c r="M34" s="1"/>
      <c r="N34" s="1" t="s">
        <v>324</v>
      </c>
    </row>
    <row r="35" spans="1:14" ht="19" hidden="1">
      <c r="A35">
        <v>34</v>
      </c>
      <c r="B35" s="14" t="s">
        <v>332</v>
      </c>
      <c r="C35" t="s">
        <v>295</v>
      </c>
      <c r="E35" t="s">
        <v>391</v>
      </c>
      <c r="F35" t="s">
        <v>201</v>
      </c>
      <c r="G35" t="s">
        <v>2170</v>
      </c>
      <c r="H35" t="s">
        <v>192</v>
      </c>
      <c r="I35" t="s">
        <v>2322</v>
      </c>
      <c r="J35" t="s">
        <v>201</v>
      </c>
      <c r="K35" t="s">
        <v>2473</v>
      </c>
      <c r="L35" t="str">
        <f t="shared" si="0"/>
        <v>segmented videos list</v>
      </c>
      <c r="M35" s="1"/>
      <c r="N35" s="1" t="s">
        <v>342</v>
      </c>
    </row>
    <row r="36" spans="1:14" ht="19">
      <c r="A36">
        <v>35</v>
      </c>
      <c r="B36" s="14" t="s">
        <v>333</v>
      </c>
      <c r="C36" t="s">
        <v>269</v>
      </c>
      <c r="E36" t="s">
        <v>390</v>
      </c>
      <c r="F36" t="s">
        <v>192</v>
      </c>
      <c r="G36" t="s">
        <v>2151</v>
      </c>
      <c r="H36" t="s">
        <v>192</v>
      </c>
      <c r="I36" t="s">
        <v>2307</v>
      </c>
      <c r="J36" t="s">
        <v>192</v>
      </c>
      <c r="K36" t="s">
        <v>2455</v>
      </c>
      <c r="L36" t="str">
        <f t="shared" si="0"/>
        <v>segmented videos list</v>
      </c>
      <c r="M36" s="1"/>
      <c r="N36" s="1" t="s">
        <v>308</v>
      </c>
    </row>
    <row r="37" spans="1:14" ht="19" hidden="1">
      <c r="A37">
        <v>36</v>
      </c>
      <c r="B37" s="14" t="s">
        <v>334</v>
      </c>
      <c r="C37" t="s">
        <v>296</v>
      </c>
      <c r="E37" t="s">
        <v>391</v>
      </c>
      <c r="F37" t="s">
        <v>1717</v>
      </c>
      <c r="G37" t="e">
        <v>#N/A</v>
      </c>
      <c r="H37" t="s">
        <v>1717</v>
      </c>
      <c r="I37" t="e">
        <v>#N/A</v>
      </c>
      <c r="J37" t="s">
        <v>1717</v>
      </c>
      <c r="K37" t="e">
        <v>#N/A</v>
      </c>
      <c r="L37" t="str">
        <f t="shared" si="0"/>
        <v>no</v>
      </c>
      <c r="M37" s="1"/>
      <c r="N37" s="1" t="s">
        <v>325</v>
      </c>
    </row>
    <row r="38" spans="1:14" ht="19" hidden="1">
      <c r="A38">
        <v>37</v>
      </c>
      <c r="B38" s="14" t="s">
        <v>335</v>
      </c>
      <c r="C38" t="s">
        <v>355</v>
      </c>
      <c r="E38" t="s">
        <v>391</v>
      </c>
      <c r="F38" t="s">
        <v>1717</v>
      </c>
      <c r="G38" t="e">
        <v>#N/A</v>
      </c>
      <c r="H38" t="s">
        <v>1717</v>
      </c>
      <c r="I38" t="e">
        <v>#N/A</v>
      </c>
      <c r="J38" t="s">
        <v>1717</v>
      </c>
      <c r="K38" t="e">
        <v>#N/A</v>
      </c>
      <c r="L38" t="str">
        <f t="shared" si="0"/>
        <v>no</v>
      </c>
      <c r="M38" s="1"/>
      <c r="N38" s="1" t="s">
        <v>343</v>
      </c>
    </row>
    <row r="39" spans="1:14" ht="19" hidden="1">
      <c r="A39">
        <v>38</v>
      </c>
      <c r="B39" s="14" t="s">
        <v>336</v>
      </c>
      <c r="C39" t="s">
        <v>268</v>
      </c>
      <c r="E39" t="s">
        <v>390</v>
      </c>
      <c r="F39" t="s">
        <v>1717</v>
      </c>
      <c r="G39" t="e">
        <v>#N/A</v>
      </c>
      <c r="H39" t="s">
        <v>1717</v>
      </c>
      <c r="I39" t="e">
        <v>#N/A</v>
      </c>
      <c r="J39" t="s">
        <v>1717</v>
      </c>
      <c r="K39" t="e">
        <v>#N/A</v>
      </c>
      <c r="L39" t="str">
        <f t="shared" si="0"/>
        <v>no</v>
      </c>
      <c r="M39" s="1"/>
      <c r="N39" s="1" t="s">
        <v>309</v>
      </c>
    </row>
    <row r="40" spans="1:14" ht="19" hidden="1">
      <c r="A40">
        <v>39</v>
      </c>
      <c r="B40" s="14" t="s">
        <v>337</v>
      </c>
      <c r="C40" t="s">
        <v>296</v>
      </c>
      <c r="E40" t="s">
        <v>391</v>
      </c>
      <c r="F40" t="s">
        <v>1717</v>
      </c>
      <c r="G40" t="e">
        <v>#N/A</v>
      </c>
      <c r="H40" t="s">
        <v>1717</v>
      </c>
      <c r="I40" t="e">
        <v>#N/A</v>
      </c>
      <c r="J40" t="s">
        <v>1717</v>
      </c>
      <c r="K40" t="e">
        <v>#N/A</v>
      </c>
      <c r="L40" t="str">
        <f t="shared" si="0"/>
        <v>no</v>
      </c>
      <c r="M40" s="1"/>
      <c r="N40" s="1" t="s">
        <v>326</v>
      </c>
    </row>
    <row r="41" spans="1:14" ht="19" hidden="1">
      <c r="A41">
        <v>40</v>
      </c>
      <c r="B41" s="14" t="s">
        <v>338</v>
      </c>
      <c r="C41" t="s">
        <v>296</v>
      </c>
      <c r="E41" t="s">
        <v>391</v>
      </c>
      <c r="F41" t="s">
        <v>192</v>
      </c>
      <c r="G41" t="s">
        <v>2154</v>
      </c>
      <c r="H41" t="s">
        <v>192</v>
      </c>
      <c r="I41" t="s">
        <v>2310</v>
      </c>
      <c r="J41" t="s">
        <v>192</v>
      </c>
      <c r="K41" t="s">
        <v>2458</v>
      </c>
      <c r="L41" t="str">
        <f t="shared" si="0"/>
        <v>segmented videos list</v>
      </c>
      <c r="M41" s="1"/>
      <c r="N41" s="1" t="s">
        <v>347</v>
      </c>
    </row>
    <row r="42" spans="1:14" ht="19">
      <c r="A42">
        <v>41</v>
      </c>
      <c r="B42" s="14" t="s">
        <v>339</v>
      </c>
      <c r="C42" t="s">
        <v>271</v>
      </c>
      <c r="E42" t="s">
        <v>390</v>
      </c>
      <c r="F42" t="s">
        <v>201</v>
      </c>
      <c r="G42" t="s">
        <v>2145</v>
      </c>
      <c r="H42" t="s">
        <v>201</v>
      </c>
      <c r="I42" t="s">
        <v>2301</v>
      </c>
      <c r="J42" t="s">
        <v>201</v>
      </c>
      <c r="K42" t="s">
        <v>2083</v>
      </c>
      <c r="L42" t="str">
        <f t="shared" si="0"/>
        <v>segmented videos list</v>
      </c>
      <c r="M42" s="1"/>
      <c r="N42" s="1" t="s">
        <v>310</v>
      </c>
    </row>
    <row r="43" spans="1:14" ht="19" hidden="1">
      <c r="A43">
        <v>42</v>
      </c>
      <c r="B43" s="14" t="s">
        <v>340</v>
      </c>
      <c r="C43" t="s">
        <v>296</v>
      </c>
      <c r="E43" t="s">
        <v>391</v>
      </c>
      <c r="F43" t="s">
        <v>192</v>
      </c>
      <c r="G43" t="s">
        <v>2171</v>
      </c>
      <c r="H43" t="s">
        <v>201</v>
      </c>
      <c r="I43" t="s">
        <v>2300</v>
      </c>
      <c r="J43" t="s">
        <v>192</v>
      </c>
      <c r="K43" t="s">
        <v>2449</v>
      </c>
      <c r="L43" t="str">
        <f t="shared" si="0"/>
        <v>segmented videos list</v>
      </c>
      <c r="M43" s="1"/>
      <c r="N43" s="1"/>
    </row>
    <row r="44" spans="1:14" ht="19" hidden="1">
      <c r="A44">
        <v>43</v>
      </c>
      <c r="B44" s="14" t="s">
        <v>341</v>
      </c>
      <c r="C44" t="s">
        <v>295</v>
      </c>
      <c r="E44" t="s">
        <v>391</v>
      </c>
      <c r="F44" t="s">
        <v>192</v>
      </c>
      <c r="G44" t="s">
        <v>2164</v>
      </c>
      <c r="H44" t="s">
        <v>192</v>
      </c>
      <c r="I44" t="s">
        <v>2316</v>
      </c>
      <c r="J44" t="s">
        <v>192</v>
      </c>
      <c r="K44" t="s">
        <v>2466</v>
      </c>
      <c r="L44" t="str">
        <f t="shared" si="0"/>
        <v>segmented videos list</v>
      </c>
      <c r="M44" s="1"/>
      <c r="N44" s="1"/>
    </row>
    <row r="45" spans="1:14" ht="19">
      <c r="A45">
        <v>44</v>
      </c>
      <c r="B45" s="14" t="s">
        <v>342</v>
      </c>
      <c r="C45" t="s">
        <v>269</v>
      </c>
      <c r="E45" t="s">
        <v>390</v>
      </c>
      <c r="F45" t="s">
        <v>192</v>
      </c>
      <c r="G45" t="s">
        <v>2169</v>
      </c>
      <c r="H45" t="s">
        <v>192</v>
      </c>
      <c r="I45" t="s">
        <v>2321</v>
      </c>
      <c r="J45" s="5" t="s">
        <v>192</v>
      </c>
      <c r="K45" s="5" t="s">
        <v>2472</v>
      </c>
      <c r="L45" t="str">
        <f t="shared" si="0"/>
        <v>segmented videos list</v>
      </c>
      <c r="M45" s="1"/>
      <c r="N45" s="1"/>
    </row>
    <row r="46" spans="1:14" ht="19" hidden="1">
      <c r="A46">
        <v>45</v>
      </c>
      <c r="B46" s="14" t="s">
        <v>343</v>
      </c>
      <c r="C46" t="s">
        <v>296</v>
      </c>
      <c r="E46" t="s">
        <v>391</v>
      </c>
      <c r="F46" t="s">
        <v>192</v>
      </c>
      <c r="G46" t="s">
        <v>2174</v>
      </c>
      <c r="H46" t="s">
        <v>192</v>
      </c>
      <c r="I46" t="s">
        <v>2324</v>
      </c>
      <c r="J46" t="s">
        <v>192</v>
      </c>
      <c r="K46" t="s">
        <v>2475</v>
      </c>
      <c r="L46" t="str">
        <f t="shared" si="0"/>
        <v>segmented videos list</v>
      </c>
      <c r="M46" s="1"/>
      <c r="N46" s="1"/>
    </row>
    <row r="47" spans="1:14" ht="19" hidden="1">
      <c r="A47">
        <v>46</v>
      </c>
      <c r="B47" s="14" t="s">
        <v>344</v>
      </c>
      <c r="C47" t="s">
        <v>295</v>
      </c>
      <c r="E47" t="s">
        <v>391</v>
      </c>
      <c r="F47" t="s">
        <v>1717</v>
      </c>
      <c r="G47" t="e">
        <v>#N/A</v>
      </c>
      <c r="H47" t="s">
        <v>1717</v>
      </c>
      <c r="I47" t="e">
        <v>#N/A</v>
      </c>
      <c r="J47" t="s">
        <v>1717</v>
      </c>
      <c r="K47" t="e">
        <v>#N/A</v>
      </c>
      <c r="L47" t="str">
        <f t="shared" si="0"/>
        <v>no</v>
      </c>
      <c r="M47" s="1"/>
      <c r="N47" s="1"/>
    </row>
    <row r="48" spans="1:14" ht="19" hidden="1">
      <c r="A48">
        <v>47</v>
      </c>
      <c r="B48" s="14" t="s">
        <v>345</v>
      </c>
      <c r="C48" t="s">
        <v>296</v>
      </c>
      <c r="E48" t="s">
        <v>391</v>
      </c>
      <c r="F48" t="s">
        <v>1717</v>
      </c>
      <c r="G48" t="e">
        <v>#N/A</v>
      </c>
      <c r="H48" t="s">
        <v>1717</v>
      </c>
      <c r="I48" t="e">
        <v>#N/A</v>
      </c>
      <c r="J48" t="s">
        <v>1717</v>
      </c>
      <c r="K48" t="e">
        <v>#N/A</v>
      </c>
      <c r="L48" t="str">
        <f t="shared" si="0"/>
        <v>no</v>
      </c>
      <c r="M48" s="1"/>
      <c r="N48" s="1"/>
    </row>
    <row r="49" spans="1:14" ht="19" hidden="1">
      <c r="A49">
        <v>48</v>
      </c>
      <c r="B49" s="14" t="s">
        <v>346</v>
      </c>
      <c r="C49" t="s">
        <v>296</v>
      </c>
      <c r="E49" t="s">
        <v>391</v>
      </c>
      <c r="F49" t="s">
        <v>1717</v>
      </c>
      <c r="G49" t="e">
        <v>#N/A</v>
      </c>
      <c r="H49" t="s">
        <v>1717</v>
      </c>
      <c r="I49" t="e">
        <v>#N/A</v>
      </c>
      <c r="J49" t="s">
        <v>1717</v>
      </c>
      <c r="K49" t="e">
        <v>#N/A</v>
      </c>
      <c r="L49" t="str">
        <f t="shared" si="0"/>
        <v>no</v>
      </c>
      <c r="M49" s="1"/>
      <c r="N49" s="1"/>
    </row>
    <row r="50" spans="1:14" ht="19" hidden="1">
      <c r="A50">
        <v>49</v>
      </c>
      <c r="B50" s="14" t="s">
        <v>347</v>
      </c>
      <c r="C50" t="s">
        <v>295</v>
      </c>
      <c r="E50" t="s">
        <v>391</v>
      </c>
      <c r="F50" t="s">
        <v>192</v>
      </c>
      <c r="G50" t="s">
        <v>2141</v>
      </c>
      <c r="H50" t="s">
        <v>192</v>
      </c>
      <c r="I50" t="s">
        <v>2297</v>
      </c>
      <c r="J50" t="s">
        <v>192</v>
      </c>
      <c r="K50" t="s">
        <v>2444</v>
      </c>
      <c r="L50" t="str">
        <f t="shared" si="0"/>
        <v>segmented videos list</v>
      </c>
      <c r="M50" s="1"/>
      <c r="N50" s="1"/>
    </row>
    <row r="51" spans="1:14" ht="19">
      <c r="A51">
        <v>50</v>
      </c>
      <c r="B51" s="14" t="s">
        <v>348</v>
      </c>
      <c r="C51" t="s">
        <v>268</v>
      </c>
      <c r="E51" t="s">
        <v>390</v>
      </c>
      <c r="F51" t="s">
        <v>201</v>
      </c>
      <c r="G51" t="s">
        <v>2173</v>
      </c>
      <c r="H51" t="s">
        <v>192</v>
      </c>
      <c r="I51" t="s">
        <v>2323</v>
      </c>
      <c r="J51" t="s">
        <v>201</v>
      </c>
      <c r="K51" t="s">
        <v>2474</v>
      </c>
      <c r="L51" t="str">
        <f t="shared" si="0"/>
        <v>segmented videos list</v>
      </c>
      <c r="M51" s="1"/>
      <c r="N51" s="1"/>
    </row>
    <row r="52" spans="1:14" ht="19">
      <c r="A52">
        <v>51</v>
      </c>
      <c r="B52" s="14" t="s">
        <v>349</v>
      </c>
      <c r="C52" t="s">
        <v>271</v>
      </c>
      <c r="E52" t="s">
        <v>390</v>
      </c>
      <c r="F52" t="s">
        <v>201</v>
      </c>
      <c r="G52" t="s">
        <v>2145</v>
      </c>
      <c r="H52" t="s">
        <v>201</v>
      </c>
      <c r="I52" t="s">
        <v>2319</v>
      </c>
      <c r="J52" t="s">
        <v>201</v>
      </c>
      <c r="K52" t="s">
        <v>2470</v>
      </c>
      <c r="L52" t="str">
        <f t="shared" si="0"/>
        <v>segmented videos list</v>
      </c>
      <c r="M52" s="1"/>
      <c r="N52" s="1"/>
    </row>
    <row r="53" spans="1:14" ht="19">
      <c r="A53">
        <v>52</v>
      </c>
      <c r="B53" s="14" t="s">
        <v>350</v>
      </c>
      <c r="C53" t="s">
        <v>271</v>
      </c>
      <c r="E53" t="s">
        <v>390</v>
      </c>
      <c r="F53" t="s">
        <v>201</v>
      </c>
      <c r="G53" t="s">
        <v>2140</v>
      </c>
      <c r="H53" t="s">
        <v>201</v>
      </c>
      <c r="I53" t="s">
        <v>2067</v>
      </c>
      <c r="J53" t="s">
        <v>201</v>
      </c>
      <c r="K53" t="s">
        <v>2443</v>
      </c>
      <c r="L53" t="str">
        <f t="shared" si="0"/>
        <v>segmented videos list</v>
      </c>
      <c r="M53" s="1"/>
      <c r="N53" s="1"/>
    </row>
    <row r="54" spans="1:14" ht="19">
      <c r="A54">
        <v>53</v>
      </c>
      <c r="B54" s="14" t="s">
        <v>351</v>
      </c>
      <c r="E54" t="s">
        <v>390</v>
      </c>
      <c r="F54" t="s">
        <v>192</v>
      </c>
      <c r="G54" t="s">
        <v>2160</v>
      </c>
      <c r="H54" t="s">
        <v>192</v>
      </c>
      <c r="I54" t="s">
        <v>2332</v>
      </c>
      <c r="J54" t="s">
        <v>192</v>
      </c>
      <c r="K54" t="s">
        <v>2463</v>
      </c>
      <c r="L54" t="str">
        <f t="shared" si="0"/>
        <v>segmented videos list</v>
      </c>
      <c r="M54" s="1"/>
      <c r="N54" s="1"/>
    </row>
    <row r="55" spans="1:14" ht="19">
      <c r="A55">
        <v>54</v>
      </c>
      <c r="B55" s="14" t="s">
        <v>352</v>
      </c>
      <c r="E55" t="s">
        <v>390</v>
      </c>
      <c r="F55" t="s">
        <v>201</v>
      </c>
      <c r="G55" t="s">
        <v>2173</v>
      </c>
      <c r="H55" t="s">
        <v>201</v>
      </c>
      <c r="I55" t="s">
        <v>2326</v>
      </c>
      <c r="J55" t="s">
        <v>201</v>
      </c>
      <c r="K55" t="s">
        <v>2477</v>
      </c>
      <c r="L55" t="str">
        <f t="shared" si="0"/>
        <v>segmented videos list</v>
      </c>
      <c r="M55" s="1"/>
      <c r="N55" s="1"/>
    </row>
    <row r="56" spans="1:14" ht="19" hidden="1">
      <c r="A56">
        <v>55</v>
      </c>
      <c r="B56" s="14" t="s">
        <v>353</v>
      </c>
      <c r="E56" t="s">
        <v>390</v>
      </c>
      <c r="F56" t="s">
        <v>1717</v>
      </c>
      <c r="G56" t="e">
        <v>#N/A</v>
      </c>
      <c r="H56" t="s">
        <v>1717</v>
      </c>
      <c r="I56" t="e">
        <v>#N/A</v>
      </c>
      <c r="J56" t="s">
        <v>1717</v>
      </c>
      <c r="K56" t="e">
        <v>#N/A</v>
      </c>
      <c r="L56" t="str">
        <f t="shared" si="0"/>
        <v>no</v>
      </c>
      <c r="M56" s="1"/>
      <c r="N56" s="1"/>
    </row>
    <row r="57" spans="1:14" ht="19" hidden="1">
      <c r="H57" t="s">
        <v>1717</v>
      </c>
      <c r="I57" t="e">
        <v>#N/A</v>
      </c>
      <c r="J57" t="s">
        <v>1717</v>
      </c>
      <c r="K57" t="e">
        <v>#N/A</v>
      </c>
      <c r="L57" t="str">
        <f t="shared" si="0"/>
        <v>no</v>
      </c>
      <c r="M57" s="1"/>
      <c r="N57" s="1"/>
    </row>
    <row r="58" spans="1:14" ht="19" hidden="1">
      <c r="H58" t="s">
        <v>1717</v>
      </c>
      <c r="I58" t="e">
        <v>#N/A</v>
      </c>
      <c r="J58" t="s">
        <v>1717</v>
      </c>
      <c r="K58" t="e">
        <v>#N/A</v>
      </c>
      <c r="L58" t="str">
        <f t="shared" si="0"/>
        <v>no</v>
      </c>
      <c r="M58" s="1"/>
      <c r="N58" s="1"/>
    </row>
    <row r="59" spans="1:14" ht="19" hidden="1">
      <c r="H59" t="s">
        <v>1717</v>
      </c>
      <c r="I59" t="e">
        <v>#N/A</v>
      </c>
      <c r="J59" t="s">
        <v>1717</v>
      </c>
      <c r="K59" t="e">
        <v>#N/A</v>
      </c>
      <c r="L59" t="str">
        <f t="shared" si="0"/>
        <v>no</v>
      </c>
      <c r="M59" s="1"/>
      <c r="N59" s="1"/>
    </row>
    <row r="60" spans="1:14" ht="19" hidden="1">
      <c r="H60" t="s">
        <v>1717</v>
      </c>
      <c r="I60" t="e">
        <v>#N/A</v>
      </c>
      <c r="J60" t="s">
        <v>1717</v>
      </c>
      <c r="K60" t="e">
        <v>#N/A</v>
      </c>
      <c r="L60" t="str">
        <f t="shared" si="0"/>
        <v>no</v>
      </c>
      <c r="M60" s="1"/>
      <c r="N60" s="1"/>
    </row>
    <row r="61" spans="1:14" ht="19" hidden="1">
      <c r="H61" t="s">
        <v>1717</v>
      </c>
      <c r="I61" t="e">
        <v>#N/A</v>
      </c>
      <c r="J61" t="s">
        <v>1717</v>
      </c>
      <c r="K61" t="e">
        <v>#N/A</v>
      </c>
      <c r="L61" t="str">
        <f t="shared" si="0"/>
        <v>no</v>
      </c>
      <c r="M61" s="1"/>
      <c r="N61" s="1"/>
    </row>
    <row r="62" spans="1:14" ht="19" hidden="1">
      <c r="H62" t="s">
        <v>1717</v>
      </c>
      <c r="I62" t="e">
        <v>#N/A</v>
      </c>
      <c r="J62" t="s">
        <v>1717</v>
      </c>
      <c r="K62" t="e">
        <v>#N/A</v>
      </c>
      <c r="L62" t="str">
        <f t="shared" si="0"/>
        <v>no</v>
      </c>
      <c r="M62" s="1"/>
      <c r="N62" s="1"/>
    </row>
    <row r="63" spans="1:14" ht="19" hidden="1">
      <c r="H63" t="s">
        <v>1717</v>
      </c>
      <c r="I63" t="e">
        <v>#N/A</v>
      </c>
      <c r="J63" t="s">
        <v>1717</v>
      </c>
      <c r="K63" t="e">
        <v>#N/A</v>
      </c>
      <c r="L63" t="str">
        <f t="shared" si="0"/>
        <v>no</v>
      </c>
      <c r="M63" s="1"/>
      <c r="N63" s="1"/>
    </row>
    <row r="64" spans="1:14" ht="19" hidden="1">
      <c r="H64" t="s">
        <v>1717</v>
      </c>
      <c r="I64" t="e">
        <v>#N/A</v>
      </c>
      <c r="J64" t="s">
        <v>1717</v>
      </c>
      <c r="K64" t="e">
        <v>#N/A</v>
      </c>
      <c r="L64" t="str">
        <f t="shared" si="0"/>
        <v>no</v>
      </c>
      <c r="M64" s="1"/>
      <c r="N64" s="1"/>
    </row>
    <row r="65" spans="8:14" ht="19" hidden="1">
      <c r="H65" t="s">
        <v>1717</v>
      </c>
      <c r="I65" t="e">
        <v>#N/A</v>
      </c>
      <c r="J65" t="s">
        <v>1717</v>
      </c>
      <c r="K65" t="e">
        <v>#N/A</v>
      </c>
      <c r="L65" t="str">
        <f t="shared" si="0"/>
        <v>no</v>
      </c>
      <c r="M65" s="1"/>
      <c r="N65" s="1"/>
    </row>
    <row r="66" spans="8:14" ht="19" hidden="1">
      <c r="H66" t="s">
        <v>1717</v>
      </c>
      <c r="I66" t="e">
        <v>#N/A</v>
      </c>
      <c r="J66" t="s">
        <v>1717</v>
      </c>
      <c r="K66" t="e">
        <v>#N/A</v>
      </c>
      <c r="L66" t="str">
        <f t="shared" si="0"/>
        <v>no</v>
      </c>
      <c r="M66" s="1"/>
      <c r="N66" s="1"/>
    </row>
    <row r="67" spans="8:14" ht="19" hidden="1">
      <c r="H67" t="s">
        <v>1717</v>
      </c>
      <c r="I67" t="e">
        <v>#N/A</v>
      </c>
      <c r="J67" t="s">
        <v>1717</v>
      </c>
      <c r="K67" t="e">
        <v>#N/A</v>
      </c>
      <c r="L67" t="str">
        <f t="shared" ref="L67:L130" si="1">IF(COUNTIF(M:M, B67)&gt;0,$M$1,IF(COUNTIF(N:N, B67)&gt;0,$N$1,"no"))</f>
        <v>no</v>
      </c>
      <c r="M67" s="1"/>
      <c r="N67" s="1"/>
    </row>
    <row r="68" spans="8:14" ht="19" hidden="1">
      <c r="H68" t="s">
        <v>1717</v>
      </c>
      <c r="I68" t="e">
        <v>#N/A</v>
      </c>
      <c r="J68" t="s">
        <v>1717</v>
      </c>
      <c r="K68" t="e">
        <v>#N/A</v>
      </c>
      <c r="L68" t="str">
        <f t="shared" si="1"/>
        <v>no</v>
      </c>
      <c r="M68" s="1"/>
      <c r="N68" s="1"/>
    </row>
    <row r="69" spans="8:14" ht="19" hidden="1">
      <c r="H69" t="s">
        <v>1717</v>
      </c>
      <c r="I69" t="e">
        <v>#N/A</v>
      </c>
      <c r="J69" t="s">
        <v>1717</v>
      </c>
      <c r="K69" t="e">
        <v>#N/A</v>
      </c>
      <c r="L69" t="str">
        <f t="shared" si="1"/>
        <v>no</v>
      </c>
      <c r="M69" s="1"/>
      <c r="N69" s="1"/>
    </row>
    <row r="70" spans="8:14" ht="19" hidden="1">
      <c r="H70" t="s">
        <v>1717</v>
      </c>
      <c r="I70" t="e">
        <v>#N/A</v>
      </c>
      <c r="J70" t="s">
        <v>1717</v>
      </c>
      <c r="K70" t="e">
        <v>#N/A</v>
      </c>
      <c r="L70" t="str">
        <f t="shared" si="1"/>
        <v>no</v>
      </c>
      <c r="M70" s="1"/>
      <c r="N70" s="1"/>
    </row>
    <row r="71" spans="8:14" ht="19" hidden="1">
      <c r="H71" t="s">
        <v>1717</v>
      </c>
      <c r="I71" t="e">
        <v>#N/A</v>
      </c>
      <c r="J71" t="s">
        <v>1717</v>
      </c>
      <c r="K71" t="e">
        <v>#N/A</v>
      </c>
      <c r="L71" t="str">
        <f t="shared" si="1"/>
        <v>no</v>
      </c>
      <c r="M71" s="1"/>
      <c r="N71" s="1"/>
    </row>
    <row r="72" spans="8:14" ht="19" hidden="1">
      <c r="H72" t="s">
        <v>1717</v>
      </c>
      <c r="I72" t="e">
        <v>#N/A</v>
      </c>
      <c r="J72" t="s">
        <v>1717</v>
      </c>
      <c r="K72" t="e">
        <v>#N/A</v>
      </c>
      <c r="L72" t="str">
        <f t="shared" si="1"/>
        <v>no</v>
      </c>
      <c r="M72" s="1"/>
      <c r="N72" s="1"/>
    </row>
    <row r="73" spans="8:14" ht="19" hidden="1">
      <c r="H73" t="s">
        <v>1717</v>
      </c>
      <c r="I73" t="e">
        <v>#N/A</v>
      </c>
      <c r="J73" t="s">
        <v>1717</v>
      </c>
      <c r="K73" t="e">
        <v>#N/A</v>
      </c>
      <c r="L73" t="str">
        <f t="shared" si="1"/>
        <v>no</v>
      </c>
      <c r="M73" s="1"/>
      <c r="N73" s="1"/>
    </row>
    <row r="74" spans="8:14" ht="19" hidden="1">
      <c r="H74" t="s">
        <v>1717</v>
      </c>
      <c r="I74" t="e">
        <v>#N/A</v>
      </c>
      <c r="J74" t="s">
        <v>1717</v>
      </c>
      <c r="K74" t="e">
        <v>#N/A</v>
      </c>
      <c r="L74" t="str">
        <f t="shared" si="1"/>
        <v>no</v>
      </c>
      <c r="M74" s="1"/>
      <c r="N74" s="1"/>
    </row>
    <row r="75" spans="8:14" ht="19" hidden="1">
      <c r="H75" t="s">
        <v>1717</v>
      </c>
      <c r="I75" t="e">
        <v>#N/A</v>
      </c>
      <c r="J75" t="s">
        <v>1717</v>
      </c>
      <c r="K75" t="e">
        <v>#N/A</v>
      </c>
      <c r="L75" t="str">
        <f t="shared" si="1"/>
        <v>no</v>
      </c>
      <c r="M75" s="1"/>
      <c r="N75" s="1"/>
    </row>
    <row r="76" spans="8:14" ht="19" hidden="1">
      <c r="H76" t="s">
        <v>1717</v>
      </c>
      <c r="I76" t="e">
        <v>#N/A</v>
      </c>
      <c r="J76" t="s">
        <v>1717</v>
      </c>
      <c r="K76" t="e">
        <v>#N/A</v>
      </c>
      <c r="L76" t="str">
        <f t="shared" si="1"/>
        <v>no</v>
      </c>
      <c r="M76" s="1"/>
      <c r="N76" s="1"/>
    </row>
    <row r="77" spans="8:14" ht="19" hidden="1">
      <c r="H77" t="s">
        <v>1717</v>
      </c>
      <c r="I77" t="e">
        <v>#N/A</v>
      </c>
      <c r="J77" t="s">
        <v>1717</v>
      </c>
      <c r="K77" t="e">
        <v>#N/A</v>
      </c>
      <c r="L77" t="str">
        <f t="shared" si="1"/>
        <v>no</v>
      </c>
      <c r="M77" s="1"/>
      <c r="N77" s="1"/>
    </row>
    <row r="78" spans="8:14" ht="19" hidden="1">
      <c r="H78" t="s">
        <v>1717</v>
      </c>
      <c r="I78" t="e">
        <v>#N/A</v>
      </c>
      <c r="J78" t="s">
        <v>1717</v>
      </c>
      <c r="K78" t="e">
        <v>#N/A</v>
      </c>
      <c r="L78" t="str">
        <f t="shared" si="1"/>
        <v>no</v>
      </c>
      <c r="M78" s="1"/>
      <c r="N78" s="1"/>
    </row>
    <row r="79" spans="8:14" ht="19" hidden="1">
      <c r="H79" t="s">
        <v>1717</v>
      </c>
      <c r="I79" t="e">
        <v>#N/A</v>
      </c>
      <c r="J79" t="s">
        <v>1717</v>
      </c>
      <c r="K79" t="e">
        <v>#N/A</v>
      </c>
      <c r="L79" t="str">
        <f t="shared" si="1"/>
        <v>no</v>
      </c>
      <c r="M79" s="1"/>
      <c r="N79" s="1"/>
    </row>
    <row r="80" spans="8:14" ht="19" hidden="1">
      <c r="H80" t="s">
        <v>1717</v>
      </c>
      <c r="I80" t="e">
        <v>#N/A</v>
      </c>
      <c r="J80" t="s">
        <v>1717</v>
      </c>
      <c r="K80" t="e">
        <v>#N/A</v>
      </c>
      <c r="L80" t="str">
        <f t="shared" si="1"/>
        <v>no</v>
      </c>
      <c r="M80" s="1"/>
      <c r="N80" s="1"/>
    </row>
    <row r="81" spans="8:12" hidden="1">
      <c r="H81" t="s">
        <v>1717</v>
      </c>
      <c r="I81" t="e">
        <v>#N/A</v>
      </c>
      <c r="J81" t="s">
        <v>1717</v>
      </c>
      <c r="K81" t="e">
        <v>#N/A</v>
      </c>
      <c r="L81" t="str">
        <f t="shared" si="1"/>
        <v>no</v>
      </c>
    </row>
    <row r="82" spans="8:12" hidden="1">
      <c r="H82" t="s">
        <v>1717</v>
      </c>
      <c r="I82" t="e">
        <v>#N/A</v>
      </c>
      <c r="J82" t="s">
        <v>1717</v>
      </c>
      <c r="K82" t="e">
        <v>#N/A</v>
      </c>
      <c r="L82" t="str">
        <f t="shared" si="1"/>
        <v>no</v>
      </c>
    </row>
    <row r="83" spans="8:12" hidden="1">
      <c r="H83" t="s">
        <v>1717</v>
      </c>
      <c r="I83" t="e">
        <v>#N/A</v>
      </c>
      <c r="J83" t="s">
        <v>1717</v>
      </c>
      <c r="K83" t="e">
        <v>#N/A</v>
      </c>
      <c r="L83" t="str">
        <f t="shared" si="1"/>
        <v>no</v>
      </c>
    </row>
    <row r="84" spans="8:12" hidden="1">
      <c r="H84" t="s">
        <v>1717</v>
      </c>
      <c r="I84" t="e">
        <v>#N/A</v>
      </c>
      <c r="J84" t="s">
        <v>1717</v>
      </c>
      <c r="K84" t="e">
        <v>#N/A</v>
      </c>
      <c r="L84" t="str">
        <f t="shared" si="1"/>
        <v>no</v>
      </c>
    </row>
    <row r="85" spans="8:12" hidden="1">
      <c r="H85" t="s">
        <v>1717</v>
      </c>
      <c r="I85" t="e">
        <v>#N/A</v>
      </c>
      <c r="J85" t="s">
        <v>1717</v>
      </c>
      <c r="K85" t="e">
        <v>#N/A</v>
      </c>
      <c r="L85" t="str">
        <f t="shared" si="1"/>
        <v>no</v>
      </c>
    </row>
    <row r="86" spans="8:12" hidden="1">
      <c r="H86" t="s">
        <v>1717</v>
      </c>
      <c r="I86" t="e">
        <v>#N/A</v>
      </c>
      <c r="J86" t="s">
        <v>1717</v>
      </c>
      <c r="K86" t="e">
        <v>#N/A</v>
      </c>
      <c r="L86" t="str">
        <f t="shared" si="1"/>
        <v>no</v>
      </c>
    </row>
    <row r="87" spans="8:12" hidden="1">
      <c r="H87" t="s">
        <v>1717</v>
      </c>
      <c r="I87" t="e">
        <v>#N/A</v>
      </c>
      <c r="J87" t="s">
        <v>1717</v>
      </c>
      <c r="K87" t="e">
        <v>#N/A</v>
      </c>
      <c r="L87" t="str">
        <f t="shared" si="1"/>
        <v>no</v>
      </c>
    </row>
    <row r="88" spans="8:12" hidden="1">
      <c r="H88" t="s">
        <v>1717</v>
      </c>
      <c r="I88" t="e">
        <v>#N/A</v>
      </c>
      <c r="J88" t="s">
        <v>1717</v>
      </c>
      <c r="K88" t="e">
        <v>#N/A</v>
      </c>
      <c r="L88" t="str">
        <f t="shared" si="1"/>
        <v>no</v>
      </c>
    </row>
    <row r="89" spans="8:12" hidden="1">
      <c r="H89" t="s">
        <v>1717</v>
      </c>
      <c r="I89" t="e">
        <v>#N/A</v>
      </c>
      <c r="J89" t="s">
        <v>1717</v>
      </c>
      <c r="K89" t="e">
        <v>#N/A</v>
      </c>
      <c r="L89" t="str">
        <f t="shared" si="1"/>
        <v>no</v>
      </c>
    </row>
    <row r="90" spans="8:12" hidden="1">
      <c r="H90" t="s">
        <v>1717</v>
      </c>
      <c r="I90" t="e">
        <v>#N/A</v>
      </c>
      <c r="J90" t="s">
        <v>1717</v>
      </c>
      <c r="K90" t="e">
        <v>#N/A</v>
      </c>
      <c r="L90" t="str">
        <f t="shared" si="1"/>
        <v>no</v>
      </c>
    </row>
    <row r="91" spans="8:12" hidden="1">
      <c r="H91" t="s">
        <v>1717</v>
      </c>
      <c r="I91" t="e">
        <v>#N/A</v>
      </c>
      <c r="J91" t="s">
        <v>1717</v>
      </c>
      <c r="K91" t="e">
        <v>#N/A</v>
      </c>
      <c r="L91" t="str">
        <f t="shared" si="1"/>
        <v>no</v>
      </c>
    </row>
    <row r="92" spans="8:12" hidden="1">
      <c r="H92" t="s">
        <v>1717</v>
      </c>
      <c r="I92" t="e">
        <v>#N/A</v>
      </c>
      <c r="J92" t="s">
        <v>1717</v>
      </c>
      <c r="K92" t="e">
        <v>#N/A</v>
      </c>
      <c r="L92" t="str">
        <f t="shared" si="1"/>
        <v>no</v>
      </c>
    </row>
    <row r="93" spans="8:12" hidden="1">
      <c r="H93" t="s">
        <v>1717</v>
      </c>
      <c r="I93" t="e">
        <v>#N/A</v>
      </c>
      <c r="J93" t="s">
        <v>1717</v>
      </c>
      <c r="K93" t="e">
        <v>#N/A</v>
      </c>
      <c r="L93" t="str">
        <f t="shared" si="1"/>
        <v>no</v>
      </c>
    </row>
    <row r="94" spans="8:12" hidden="1">
      <c r="H94" t="s">
        <v>1717</v>
      </c>
      <c r="I94" t="e">
        <v>#N/A</v>
      </c>
      <c r="J94" t="s">
        <v>1717</v>
      </c>
      <c r="K94" t="e">
        <v>#N/A</v>
      </c>
      <c r="L94" t="str">
        <f t="shared" si="1"/>
        <v>no</v>
      </c>
    </row>
    <row r="95" spans="8:12" hidden="1">
      <c r="H95" t="s">
        <v>1717</v>
      </c>
      <c r="I95" t="e">
        <v>#N/A</v>
      </c>
      <c r="J95" t="s">
        <v>1717</v>
      </c>
      <c r="K95" t="e">
        <v>#N/A</v>
      </c>
      <c r="L95" t="str">
        <f t="shared" si="1"/>
        <v>no</v>
      </c>
    </row>
    <row r="96" spans="8:12" hidden="1">
      <c r="H96" t="s">
        <v>1717</v>
      </c>
      <c r="I96" t="e">
        <v>#N/A</v>
      </c>
      <c r="J96" t="s">
        <v>1717</v>
      </c>
      <c r="K96" t="e">
        <v>#N/A</v>
      </c>
      <c r="L96" t="str">
        <f t="shared" si="1"/>
        <v>no</v>
      </c>
    </row>
    <row r="97" spans="8:12" hidden="1">
      <c r="H97" t="s">
        <v>1717</v>
      </c>
      <c r="I97" t="e">
        <v>#N/A</v>
      </c>
      <c r="J97" t="s">
        <v>1717</v>
      </c>
      <c r="K97" t="e">
        <v>#N/A</v>
      </c>
      <c r="L97" t="str">
        <f t="shared" si="1"/>
        <v>no</v>
      </c>
    </row>
    <row r="98" spans="8:12" hidden="1">
      <c r="H98" t="s">
        <v>1717</v>
      </c>
      <c r="I98" t="e">
        <v>#N/A</v>
      </c>
      <c r="J98" t="s">
        <v>1717</v>
      </c>
      <c r="K98" t="e">
        <v>#N/A</v>
      </c>
      <c r="L98" t="str">
        <f t="shared" si="1"/>
        <v>no</v>
      </c>
    </row>
    <row r="99" spans="8:12" hidden="1">
      <c r="H99" t="s">
        <v>1717</v>
      </c>
      <c r="I99" t="e">
        <v>#N/A</v>
      </c>
      <c r="J99" t="s">
        <v>1717</v>
      </c>
      <c r="K99" t="e">
        <v>#N/A</v>
      </c>
      <c r="L99" t="str">
        <f t="shared" si="1"/>
        <v>no</v>
      </c>
    </row>
    <row r="100" spans="8:12" hidden="1">
      <c r="H100" t="s">
        <v>1717</v>
      </c>
      <c r="I100" t="e">
        <v>#N/A</v>
      </c>
      <c r="J100" t="s">
        <v>1717</v>
      </c>
      <c r="K100" t="e">
        <v>#N/A</v>
      </c>
      <c r="L100" t="str">
        <f t="shared" si="1"/>
        <v>no</v>
      </c>
    </row>
    <row r="101" spans="8:12" hidden="1">
      <c r="H101" t="s">
        <v>1717</v>
      </c>
      <c r="I101" t="e">
        <v>#N/A</v>
      </c>
      <c r="J101" t="s">
        <v>1717</v>
      </c>
      <c r="K101" t="e">
        <v>#N/A</v>
      </c>
      <c r="L101" t="str">
        <f t="shared" si="1"/>
        <v>no</v>
      </c>
    </row>
    <row r="102" spans="8:12" hidden="1">
      <c r="H102" t="s">
        <v>1717</v>
      </c>
      <c r="I102" t="e">
        <v>#N/A</v>
      </c>
      <c r="J102" t="s">
        <v>1717</v>
      </c>
      <c r="K102" t="e">
        <v>#N/A</v>
      </c>
      <c r="L102" t="str">
        <f t="shared" si="1"/>
        <v>no</v>
      </c>
    </row>
    <row r="103" spans="8:12" hidden="1">
      <c r="H103" t="s">
        <v>1717</v>
      </c>
      <c r="I103" t="e">
        <v>#N/A</v>
      </c>
      <c r="J103" t="s">
        <v>1717</v>
      </c>
      <c r="K103" t="e">
        <v>#N/A</v>
      </c>
      <c r="L103" t="str">
        <f t="shared" si="1"/>
        <v>no</v>
      </c>
    </row>
    <row r="104" spans="8:12" hidden="1">
      <c r="H104" t="s">
        <v>1717</v>
      </c>
      <c r="I104" t="e">
        <v>#N/A</v>
      </c>
      <c r="J104" t="s">
        <v>1717</v>
      </c>
      <c r="K104" t="e">
        <v>#N/A</v>
      </c>
      <c r="L104" t="str">
        <f t="shared" si="1"/>
        <v>no</v>
      </c>
    </row>
    <row r="105" spans="8:12" hidden="1">
      <c r="H105" t="s">
        <v>1717</v>
      </c>
      <c r="I105" t="e">
        <v>#N/A</v>
      </c>
      <c r="J105" t="s">
        <v>1717</v>
      </c>
      <c r="K105" t="e">
        <v>#N/A</v>
      </c>
      <c r="L105" t="str">
        <f t="shared" si="1"/>
        <v>no</v>
      </c>
    </row>
    <row r="106" spans="8:12" hidden="1">
      <c r="H106" t="s">
        <v>1717</v>
      </c>
      <c r="I106" t="e">
        <v>#N/A</v>
      </c>
      <c r="J106" t="s">
        <v>1717</v>
      </c>
      <c r="K106" t="e">
        <v>#N/A</v>
      </c>
      <c r="L106" t="str">
        <f t="shared" si="1"/>
        <v>no</v>
      </c>
    </row>
    <row r="107" spans="8:12" hidden="1">
      <c r="H107" t="s">
        <v>1717</v>
      </c>
      <c r="I107" t="e">
        <v>#N/A</v>
      </c>
      <c r="J107" t="s">
        <v>1717</v>
      </c>
      <c r="K107" t="e">
        <v>#N/A</v>
      </c>
      <c r="L107" t="str">
        <f t="shared" si="1"/>
        <v>no</v>
      </c>
    </row>
    <row r="108" spans="8:12" hidden="1">
      <c r="H108" t="s">
        <v>1717</v>
      </c>
      <c r="I108" t="e">
        <v>#N/A</v>
      </c>
      <c r="J108" t="s">
        <v>1717</v>
      </c>
      <c r="K108" t="e">
        <v>#N/A</v>
      </c>
      <c r="L108" t="str">
        <f t="shared" si="1"/>
        <v>no</v>
      </c>
    </row>
    <row r="109" spans="8:12" hidden="1">
      <c r="H109" t="s">
        <v>1717</v>
      </c>
      <c r="I109" t="e">
        <v>#N/A</v>
      </c>
      <c r="J109" t="s">
        <v>1717</v>
      </c>
      <c r="K109" t="e">
        <v>#N/A</v>
      </c>
      <c r="L109" t="str">
        <f t="shared" si="1"/>
        <v>no</v>
      </c>
    </row>
    <row r="110" spans="8:12" hidden="1">
      <c r="H110" t="s">
        <v>1717</v>
      </c>
      <c r="I110" t="e">
        <v>#N/A</v>
      </c>
      <c r="J110" t="s">
        <v>1717</v>
      </c>
      <c r="K110" t="e">
        <v>#N/A</v>
      </c>
      <c r="L110" t="str">
        <f t="shared" si="1"/>
        <v>no</v>
      </c>
    </row>
    <row r="111" spans="8:12" hidden="1">
      <c r="H111" t="s">
        <v>1717</v>
      </c>
      <c r="I111" t="e">
        <v>#N/A</v>
      </c>
      <c r="J111" t="s">
        <v>1717</v>
      </c>
      <c r="K111" t="e">
        <v>#N/A</v>
      </c>
      <c r="L111" t="str">
        <f t="shared" si="1"/>
        <v>no</v>
      </c>
    </row>
    <row r="112" spans="8:12" hidden="1">
      <c r="H112" t="s">
        <v>1717</v>
      </c>
      <c r="I112" t="e">
        <v>#N/A</v>
      </c>
      <c r="J112" t="s">
        <v>1717</v>
      </c>
      <c r="K112" t="e">
        <v>#N/A</v>
      </c>
      <c r="L112" t="str">
        <f t="shared" si="1"/>
        <v>no</v>
      </c>
    </row>
    <row r="113" spans="8:12" hidden="1">
      <c r="H113" t="s">
        <v>1717</v>
      </c>
      <c r="I113" t="e">
        <v>#N/A</v>
      </c>
      <c r="J113" t="s">
        <v>1717</v>
      </c>
      <c r="K113" t="e">
        <v>#N/A</v>
      </c>
      <c r="L113" t="str">
        <f t="shared" si="1"/>
        <v>no</v>
      </c>
    </row>
    <row r="114" spans="8:12" hidden="1">
      <c r="H114" t="s">
        <v>1717</v>
      </c>
      <c r="I114" t="e">
        <v>#N/A</v>
      </c>
      <c r="J114" t="s">
        <v>1717</v>
      </c>
      <c r="K114" t="e">
        <v>#N/A</v>
      </c>
      <c r="L114" t="str">
        <f t="shared" si="1"/>
        <v>no</v>
      </c>
    </row>
    <row r="115" spans="8:12" hidden="1">
      <c r="H115" t="s">
        <v>1717</v>
      </c>
      <c r="I115" t="e">
        <v>#N/A</v>
      </c>
      <c r="J115" t="s">
        <v>1717</v>
      </c>
      <c r="K115" t="e">
        <v>#N/A</v>
      </c>
      <c r="L115" t="str">
        <f t="shared" si="1"/>
        <v>no</v>
      </c>
    </row>
    <row r="116" spans="8:12" hidden="1">
      <c r="H116" t="s">
        <v>1717</v>
      </c>
      <c r="I116" t="e">
        <v>#N/A</v>
      </c>
      <c r="J116" t="s">
        <v>1717</v>
      </c>
      <c r="K116" t="e">
        <v>#N/A</v>
      </c>
      <c r="L116" t="str">
        <f t="shared" si="1"/>
        <v>no</v>
      </c>
    </row>
    <row r="117" spans="8:12" hidden="1">
      <c r="H117" t="s">
        <v>1717</v>
      </c>
      <c r="I117" t="e">
        <v>#N/A</v>
      </c>
      <c r="J117" t="s">
        <v>1717</v>
      </c>
      <c r="K117" t="e">
        <v>#N/A</v>
      </c>
      <c r="L117" t="str">
        <f t="shared" si="1"/>
        <v>no</v>
      </c>
    </row>
    <row r="118" spans="8:12" hidden="1">
      <c r="H118" t="s">
        <v>1717</v>
      </c>
      <c r="I118" t="e">
        <v>#N/A</v>
      </c>
      <c r="J118" t="s">
        <v>1717</v>
      </c>
      <c r="K118" t="e">
        <v>#N/A</v>
      </c>
      <c r="L118" t="str">
        <f t="shared" si="1"/>
        <v>no</v>
      </c>
    </row>
    <row r="119" spans="8:12" hidden="1">
      <c r="H119" t="s">
        <v>1717</v>
      </c>
      <c r="I119" t="e">
        <v>#N/A</v>
      </c>
      <c r="J119" t="s">
        <v>1717</v>
      </c>
      <c r="K119" t="e">
        <v>#N/A</v>
      </c>
      <c r="L119" t="str">
        <f t="shared" si="1"/>
        <v>no</v>
      </c>
    </row>
    <row r="120" spans="8:12" hidden="1">
      <c r="H120" t="s">
        <v>1717</v>
      </c>
      <c r="I120" t="e">
        <v>#N/A</v>
      </c>
      <c r="J120" t="s">
        <v>1717</v>
      </c>
      <c r="K120" t="e">
        <v>#N/A</v>
      </c>
      <c r="L120" t="str">
        <f t="shared" si="1"/>
        <v>no</v>
      </c>
    </row>
    <row r="121" spans="8:12" hidden="1">
      <c r="H121" t="s">
        <v>1717</v>
      </c>
      <c r="I121" t="e">
        <v>#N/A</v>
      </c>
      <c r="J121" t="s">
        <v>1717</v>
      </c>
      <c r="K121" t="e">
        <v>#N/A</v>
      </c>
      <c r="L121" t="str">
        <f t="shared" si="1"/>
        <v>no</v>
      </c>
    </row>
    <row r="122" spans="8:12" hidden="1">
      <c r="H122" t="s">
        <v>1717</v>
      </c>
      <c r="I122" t="e">
        <v>#N/A</v>
      </c>
      <c r="J122" t="s">
        <v>1717</v>
      </c>
      <c r="K122" t="e">
        <v>#N/A</v>
      </c>
      <c r="L122" t="str">
        <f t="shared" si="1"/>
        <v>no</v>
      </c>
    </row>
    <row r="123" spans="8:12" hidden="1">
      <c r="H123" t="s">
        <v>1717</v>
      </c>
      <c r="I123" t="e">
        <v>#N/A</v>
      </c>
      <c r="J123" t="s">
        <v>1717</v>
      </c>
      <c r="K123" t="e">
        <v>#N/A</v>
      </c>
      <c r="L123" t="str">
        <f t="shared" si="1"/>
        <v>no</v>
      </c>
    </row>
    <row r="124" spans="8:12" hidden="1">
      <c r="H124" t="s">
        <v>1717</v>
      </c>
      <c r="I124" t="e">
        <v>#N/A</v>
      </c>
      <c r="J124" t="s">
        <v>1717</v>
      </c>
      <c r="K124" t="e">
        <v>#N/A</v>
      </c>
      <c r="L124" t="str">
        <f t="shared" si="1"/>
        <v>no</v>
      </c>
    </row>
    <row r="125" spans="8:12" hidden="1">
      <c r="H125" t="s">
        <v>1717</v>
      </c>
      <c r="I125" t="e">
        <v>#N/A</v>
      </c>
      <c r="J125" t="s">
        <v>1717</v>
      </c>
      <c r="K125" t="e">
        <v>#N/A</v>
      </c>
      <c r="L125" t="str">
        <f t="shared" si="1"/>
        <v>no</v>
      </c>
    </row>
    <row r="126" spans="8:12" hidden="1">
      <c r="H126" t="s">
        <v>1717</v>
      </c>
      <c r="I126" t="e">
        <v>#N/A</v>
      </c>
      <c r="J126" t="s">
        <v>1717</v>
      </c>
      <c r="K126" t="e">
        <v>#N/A</v>
      </c>
      <c r="L126" t="str">
        <f t="shared" si="1"/>
        <v>no</v>
      </c>
    </row>
    <row r="127" spans="8:12" hidden="1">
      <c r="H127" t="s">
        <v>1717</v>
      </c>
      <c r="I127" t="e">
        <v>#N/A</v>
      </c>
      <c r="J127" t="s">
        <v>1717</v>
      </c>
      <c r="K127" t="e">
        <v>#N/A</v>
      </c>
      <c r="L127" t="str">
        <f t="shared" si="1"/>
        <v>no</v>
      </c>
    </row>
    <row r="128" spans="8:12" hidden="1">
      <c r="H128" t="s">
        <v>1717</v>
      </c>
      <c r="I128" t="e">
        <v>#N/A</v>
      </c>
      <c r="J128" t="s">
        <v>1717</v>
      </c>
      <c r="K128" t="e">
        <v>#N/A</v>
      </c>
      <c r="L128" t="str">
        <f t="shared" si="1"/>
        <v>no</v>
      </c>
    </row>
    <row r="129" spans="8:12" hidden="1">
      <c r="H129" t="s">
        <v>1717</v>
      </c>
      <c r="I129" t="e">
        <v>#N/A</v>
      </c>
      <c r="J129" t="s">
        <v>1717</v>
      </c>
      <c r="K129" t="e">
        <v>#N/A</v>
      </c>
      <c r="L129" t="str">
        <f t="shared" si="1"/>
        <v>no</v>
      </c>
    </row>
    <row r="130" spans="8:12" hidden="1">
      <c r="H130" t="s">
        <v>1717</v>
      </c>
      <c r="I130" t="e">
        <v>#N/A</v>
      </c>
      <c r="J130" t="s">
        <v>1717</v>
      </c>
      <c r="K130" t="e">
        <v>#N/A</v>
      </c>
      <c r="L130" t="str">
        <f t="shared" si="1"/>
        <v>no</v>
      </c>
    </row>
    <row r="131" spans="8:12" hidden="1">
      <c r="H131" t="s">
        <v>1717</v>
      </c>
      <c r="I131" t="e">
        <v>#N/A</v>
      </c>
      <c r="J131" t="s">
        <v>1717</v>
      </c>
      <c r="K131" t="e">
        <v>#N/A</v>
      </c>
      <c r="L131" t="str">
        <f t="shared" ref="L131:L142" si="2">IF(COUNTIF(M:M, B131)&gt;0,$M$1,IF(COUNTIF(N:N, B131)&gt;0,$N$1,"no"))</f>
        <v>no</v>
      </c>
    </row>
    <row r="132" spans="8:12" hidden="1">
      <c r="H132" t="s">
        <v>1717</v>
      </c>
      <c r="I132" t="e">
        <v>#N/A</v>
      </c>
      <c r="J132" t="s">
        <v>1717</v>
      </c>
      <c r="K132" t="e">
        <v>#N/A</v>
      </c>
      <c r="L132" t="str">
        <f t="shared" si="2"/>
        <v>no</v>
      </c>
    </row>
    <row r="133" spans="8:12" hidden="1">
      <c r="H133" t="s">
        <v>1717</v>
      </c>
      <c r="I133" t="e">
        <v>#N/A</v>
      </c>
      <c r="J133" t="s">
        <v>1717</v>
      </c>
      <c r="K133" t="e">
        <v>#N/A</v>
      </c>
      <c r="L133" t="str">
        <f t="shared" si="2"/>
        <v>no</v>
      </c>
    </row>
    <row r="134" spans="8:12" hidden="1">
      <c r="H134" t="s">
        <v>1717</v>
      </c>
      <c r="I134" t="e">
        <v>#N/A</v>
      </c>
      <c r="J134" t="s">
        <v>1717</v>
      </c>
      <c r="K134" t="e">
        <v>#N/A</v>
      </c>
      <c r="L134" t="str">
        <f t="shared" si="2"/>
        <v>no</v>
      </c>
    </row>
    <row r="135" spans="8:12" hidden="1">
      <c r="H135" t="s">
        <v>1717</v>
      </c>
      <c r="I135" t="e">
        <v>#N/A</v>
      </c>
      <c r="J135" t="s">
        <v>1717</v>
      </c>
      <c r="K135" t="e">
        <v>#N/A</v>
      </c>
      <c r="L135" t="str">
        <f t="shared" si="2"/>
        <v>no</v>
      </c>
    </row>
    <row r="136" spans="8:12" hidden="1">
      <c r="H136" t="s">
        <v>1717</v>
      </c>
      <c r="I136" t="e">
        <v>#N/A</v>
      </c>
      <c r="J136" t="s">
        <v>1717</v>
      </c>
      <c r="K136" t="e">
        <v>#N/A</v>
      </c>
      <c r="L136" t="str">
        <f t="shared" si="2"/>
        <v>no</v>
      </c>
    </row>
    <row r="137" spans="8:12" hidden="1">
      <c r="H137" t="s">
        <v>1717</v>
      </c>
      <c r="I137" t="e">
        <v>#N/A</v>
      </c>
      <c r="J137" t="s">
        <v>1717</v>
      </c>
      <c r="K137" t="e">
        <v>#N/A</v>
      </c>
      <c r="L137" t="str">
        <f t="shared" si="2"/>
        <v>no</v>
      </c>
    </row>
    <row r="138" spans="8:12" hidden="1">
      <c r="H138" t="s">
        <v>1717</v>
      </c>
      <c r="I138" t="e">
        <v>#N/A</v>
      </c>
      <c r="J138" t="s">
        <v>1717</v>
      </c>
      <c r="K138" t="e">
        <v>#N/A</v>
      </c>
      <c r="L138" t="str">
        <f t="shared" si="2"/>
        <v>no</v>
      </c>
    </row>
    <row r="139" spans="8:12" hidden="1">
      <c r="H139" t="s">
        <v>1717</v>
      </c>
      <c r="I139" t="e">
        <v>#N/A</v>
      </c>
      <c r="J139" t="s">
        <v>1717</v>
      </c>
      <c r="K139" t="e">
        <v>#N/A</v>
      </c>
      <c r="L139" t="str">
        <f t="shared" si="2"/>
        <v>no</v>
      </c>
    </row>
    <row r="140" spans="8:12" hidden="1">
      <c r="H140" t="s">
        <v>1717</v>
      </c>
      <c r="I140" t="e">
        <v>#N/A</v>
      </c>
      <c r="J140" t="s">
        <v>1717</v>
      </c>
      <c r="K140" t="e">
        <v>#N/A</v>
      </c>
      <c r="L140" t="str">
        <f t="shared" si="2"/>
        <v>no</v>
      </c>
    </row>
    <row r="141" spans="8:12" hidden="1">
      <c r="H141" t="s">
        <v>1717</v>
      </c>
      <c r="I141" t="e">
        <v>#N/A</v>
      </c>
      <c r="J141" t="s">
        <v>1717</v>
      </c>
      <c r="K141" t="e">
        <v>#N/A</v>
      </c>
      <c r="L141" t="str">
        <f t="shared" si="2"/>
        <v>no</v>
      </c>
    </row>
    <row r="142" spans="8:12" hidden="1">
      <c r="H142" t="s">
        <v>1717</v>
      </c>
      <c r="I142" t="e">
        <v>#N/A</v>
      </c>
      <c r="J142" t="s">
        <v>1717</v>
      </c>
      <c r="K142" t="e">
        <v>#N/A</v>
      </c>
      <c r="L142" t="str">
        <f t="shared" si="2"/>
        <v>no</v>
      </c>
    </row>
  </sheetData>
  <autoFilter ref="A1:N142" xr:uid="{454B3E56-1CA8-6546-98E3-2D158BBFEBE9}">
    <filterColumn colId="4">
      <filters blank="1">
        <filter val="no"/>
      </filters>
    </filterColumn>
    <filterColumn colId="11">
      <filters>
        <filter val="segmented videos list"/>
      </filters>
    </filterColumn>
  </autoFilter>
  <phoneticPr fontId="1" type="noConversion"/>
  <conditionalFormatting sqref="E1:E1048576">
    <cfRule type="cellIs" dxfId="97" priority="4" operator="equal">
      <formula>"no"</formula>
    </cfRule>
    <cfRule type="cellIs" dxfId="96" priority="5" operator="equal">
      <formula>"yes"</formula>
    </cfRule>
  </conditionalFormatting>
  <conditionalFormatting sqref="F2:F142">
    <cfRule type="expression" dxfId="95" priority="3">
      <formula>F2&lt;&gt;E2</formula>
    </cfRule>
  </conditionalFormatting>
  <conditionalFormatting sqref="H2:H142">
    <cfRule type="expression" dxfId="94" priority="2" stopIfTrue="1">
      <formula>H2&lt;&gt;E2</formula>
    </cfRule>
  </conditionalFormatting>
  <conditionalFormatting sqref="J2:J142">
    <cfRule type="expression" dxfId="93" priority="1">
      <formula>J2&lt;&gt;E2</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8EC8-B92B-164E-BE2E-4C5832BAAFF3}">
  <sheetPr filterMode="1"/>
  <dimension ref="A1:N142"/>
  <sheetViews>
    <sheetView workbookViewId="0">
      <selection activeCell="J1" sqref="J1"/>
    </sheetView>
  </sheetViews>
  <sheetFormatPr baseColWidth="10" defaultRowHeight="15"/>
  <cols>
    <col min="3" max="3" width="4.83203125" customWidth="1"/>
    <col min="5" max="5" width="11.33203125" customWidth="1"/>
    <col min="12" max="12" width="14.33203125" customWidth="1"/>
  </cols>
  <sheetData>
    <row r="1" spans="1:14">
      <c r="A1" t="s">
        <v>88</v>
      </c>
      <c r="B1" t="s">
        <v>0</v>
      </c>
      <c r="C1" s="2" t="s">
        <v>202</v>
      </c>
      <c r="D1" t="s">
        <v>6</v>
      </c>
      <c r="E1" t="s">
        <v>1</v>
      </c>
      <c r="F1" t="s">
        <v>2058</v>
      </c>
      <c r="G1" t="s">
        <v>2060</v>
      </c>
      <c r="H1" t="s">
        <v>2058</v>
      </c>
      <c r="I1" t="s">
        <v>2060</v>
      </c>
      <c r="J1" t="s">
        <v>2058</v>
      </c>
      <c r="K1" t="s">
        <v>2060</v>
      </c>
      <c r="L1" t="s">
        <v>1067</v>
      </c>
      <c r="M1" t="s">
        <v>1192</v>
      </c>
      <c r="N1" t="s">
        <v>1105</v>
      </c>
    </row>
    <row r="2" spans="1:14" ht="19">
      <c r="A2">
        <v>1</v>
      </c>
      <c r="B2" s="1" t="s">
        <v>275</v>
      </c>
      <c r="C2" t="s">
        <v>271</v>
      </c>
      <c r="E2" t="s">
        <v>390</v>
      </c>
      <c r="F2" t="s">
        <v>192</v>
      </c>
      <c r="G2" t="s">
        <v>2189</v>
      </c>
      <c r="H2" t="s">
        <v>192</v>
      </c>
      <c r="I2" t="s">
        <v>2346</v>
      </c>
      <c r="J2" t="s">
        <v>192</v>
      </c>
      <c r="K2" t="s">
        <v>2490</v>
      </c>
      <c r="L2" t="str">
        <f>IF(COUNTIF(M:M, B2)&gt;0,$M$1,IF(COUNTIF(N:N, B2)&gt;0,$N$1,"no"))</f>
        <v>segmented videos list</v>
      </c>
      <c r="M2" s="1"/>
      <c r="N2" s="1" t="s">
        <v>285</v>
      </c>
    </row>
    <row r="3" spans="1:14" ht="19">
      <c r="A3">
        <v>2</v>
      </c>
      <c r="B3" s="1" t="s">
        <v>276</v>
      </c>
      <c r="C3" t="s">
        <v>269</v>
      </c>
      <c r="E3" t="s">
        <v>390</v>
      </c>
      <c r="F3" t="s">
        <v>192</v>
      </c>
      <c r="G3" t="s">
        <v>2190</v>
      </c>
      <c r="H3" t="s">
        <v>201</v>
      </c>
      <c r="I3" t="s">
        <v>2145</v>
      </c>
      <c r="J3" t="s">
        <v>192</v>
      </c>
      <c r="K3" t="s">
        <v>2491</v>
      </c>
      <c r="L3" t="str">
        <f t="shared" ref="L3:L66" si="0">IF(COUNTIF(M:M, B3)&gt;0,$M$1,IF(COUNTIF(N:N, B3)&gt;0,$N$1,"no"))</f>
        <v>segmented videos list</v>
      </c>
      <c r="M3" s="1"/>
      <c r="N3" s="1" t="s">
        <v>294</v>
      </c>
    </row>
    <row r="4" spans="1:14" ht="19">
      <c r="A4">
        <v>3</v>
      </c>
      <c r="B4" s="1" t="s">
        <v>277</v>
      </c>
      <c r="C4" t="s">
        <v>267</v>
      </c>
      <c r="E4" t="s">
        <v>390</v>
      </c>
      <c r="F4" t="s">
        <v>192</v>
      </c>
      <c r="G4" t="s">
        <v>2180</v>
      </c>
      <c r="H4" t="s">
        <v>192</v>
      </c>
      <c r="I4" t="s">
        <v>2337</v>
      </c>
      <c r="J4" t="s">
        <v>192</v>
      </c>
      <c r="K4" t="s">
        <v>2483</v>
      </c>
      <c r="L4" t="str">
        <f t="shared" si="0"/>
        <v>segmented videos list</v>
      </c>
      <c r="M4" s="1"/>
      <c r="N4" s="1" t="s">
        <v>280</v>
      </c>
    </row>
    <row r="5" spans="1:14" ht="19">
      <c r="A5">
        <v>4</v>
      </c>
      <c r="B5" s="1" t="s">
        <v>278</v>
      </c>
      <c r="C5" t="s">
        <v>271</v>
      </c>
      <c r="E5" t="s">
        <v>390</v>
      </c>
      <c r="F5" t="s">
        <v>201</v>
      </c>
      <c r="G5" t="s">
        <v>2181</v>
      </c>
      <c r="H5" t="s">
        <v>201</v>
      </c>
      <c r="I5" t="s">
        <v>2338</v>
      </c>
      <c r="J5" t="s">
        <v>201</v>
      </c>
      <c r="K5" t="s">
        <v>2145</v>
      </c>
      <c r="L5" t="str">
        <f t="shared" si="0"/>
        <v>segmented videos list</v>
      </c>
      <c r="M5" s="1"/>
      <c r="N5" s="1" t="s">
        <v>286</v>
      </c>
    </row>
    <row r="6" spans="1:14" ht="19">
      <c r="A6">
        <v>5</v>
      </c>
      <c r="B6" s="1" t="s">
        <v>279</v>
      </c>
      <c r="C6" t="s">
        <v>271</v>
      </c>
      <c r="E6" t="s">
        <v>390</v>
      </c>
      <c r="F6" t="s">
        <v>201</v>
      </c>
      <c r="G6" t="s">
        <v>2183</v>
      </c>
      <c r="H6" t="s">
        <v>201</v>
      </c>
      <c r="I6" t="s">
        <v>2341</v>
      </c>
      <c r="J6" t="s">
        <v>201</v>
      </c>
      <c r="K6" t="s">
        <v>2145</v>
      </c>
      <c r="L6" t="str">
        <f t="shared" si="0"/>
        <v>segmented videos list</v>
      </c>
      <c r="M6" s="1"/>
      <c r="N6" s="1" t="s">
        <v>275</v>
      </c>
    </row>
    <row r="7" spans="1:14" ht="19" hidden="1">
      <c r="A7">
        <v>6</v>
      </c>
      <c r="B7" s="1" t="s">
        <v>280</v>
      </c>
      <c r="C7" t="s">
        <v>297</v>
      </c>
      <c r="E7" t="s">
        <v>391</v>
      </c>
      <c r="F7" t="s">
        <v>192</v>
      </c>
      <c r="G7" t="s">
        <v>2188</v>
      </c>
      <c r="H7" t="s">
        <v>192</v>
      </c>
      <c r="I7" t="s">
        <v>2345</v>
      </c>
      <c r="J7" t="s">
        <v>192</v>
      </c>
      <c r="K7" t="s">
        <v>2489</v>
      </c>
      <c r="L7" t="str">
        <f t="shared" si="0"/>
        <v>segmented videos list</v>
      </c>
      <c r="M7" s="1"/>
      <c r="N7" s="1" t="s">
        <v>281</v>
      </c>
    </row>
    <row r="8" spans="1:14" ht="19" hidden="1">
      <c r="A8">
        <v>7</v>
      </c>
      <c r="B8" s="1" t="s">
        <v>281</v>
      </c>
      <c r="C8" t="s">
        <v>298</v>
      </c>
      <c r="E8" t="s">
        <v>391</v>
      </c>
      <c r="F8" t="s">
        <v>192</v>
      </c>
      <c r="G8" t="s">
        <v>2187</v>
      </c>
      <c r="H8" t="s">
        <v>192</v>
      </c>
      <c r="I8" t="s">
        <v>2344</v>
      </c>
      <c r="J8" t="s">
        <v>192</v>
      </c>
      <c r="K8" t="s">
        <v>2486</v>
      </c>
      <c r="L8" t="str">
        <f t="shared" si="0"/>
        <v>segmented videos list</v>
      </c>
      <c r="M8" s="1"/>
      <c r="N8" s="1" t="s">
        <v>290</v>
      </c>
    </row>
    <row r="9" spans="1:14" ht="19" hidden="1">
      <c r="A9">
        <v>8</v>
      </c>
      <c r="B9" s="1" t="s">
        <v>282</v>
      </c>
      <c r="C9" t="s">
        <v>298</v>
      </c>
      <c r="E9" t="s">
        <v>391</v>
      </c>
      <c r="F9" t="s">
        <v>192</v>
      </c>
      <c r="G9" t="s">
        <v>2179</v>
      </c>
      <c r="H9" t="s">
        <v>192</v>
      </c>
      <c r="I9" t="s">
        <v>2336</v>
      </c>
      <c r="J9" t="s">
        <v>192</v>
      </c>
      <c r="K9" t="s">
        <v>2482</v>
      </c>
      <c r="L9" t="str">
        <f t="shared" si="0"/>
        <v>segmented videos list</v>
      </c>
      <c r="M9" s="1"/>
      <c r="N9" s="1" t="s">
        <v>276</v>
      </c>
    </row>
    <row r="10" spans="1:14" ht="19">
      <c r="A10">
        <v>9</v>
      </c>
      <c r="B10" s="1" t="s">
        <v>283</v>
      </c>
      <c r="C10" t="s">
        <v>274</v>
      </c>
      <c r="E10" t="s">
        <v>390</v>
      </c>
      <c r="F10" t="s">
        <v>192</v>
      </c>
      <c r="G10" t="s">
        <v>2177</v>
      </c>
      <c r="H10" t="s">
        <v>192</v>
      </c>
      <c r="I10" t="s">
        <v>2334</v>
      </c>
      <c r="J10" t="s">
        <v>192</v>
      </c>
      <c r="K10" t="s">
        <v>2480</v>
      </c>
      <c r="L10" t="str">
        <f t="shared" si="0"/>
        <v>segmented videos list</v>
      </c>
      <c r="M10" s="1"/>
      <c r="N10" s="1" t="s">
        <v>282</v>
      </c>
    </row>
    <row r="11" spans="1:14" ht="19" hidden="1">
      <c r="A11">
        <v>10</v>
      </c>
      <c r="B11" s="1" t="s">
        <v>284</v>
      </c>
      <c r="C11" t="s">
        <v>271</v>
      </c>
      <c r="E11" t="s">
        <v>390</v>
      </c>
      <c r="F11" t="s">
        <v>1717</v>
      </c>
      <c r="G11" t="e">
        <v>#N/A</v>
      </c>
      <c r="H11" t="s">
        <v>1717</v>
      </c>
      <c r="I11" t="e">
        <v>#N/A</v>
      </c>
      <c r="J11" t="s">
        <v>1717</v>
      </c>
      <c r="K11" t="e">
        <v>#N/A</v>
      </c>
      <c r="L11" t="str">
        <f t="shared" si="0"/>
        <v>no</v>
      </c>
      <c r="M11" s="1"/>
      <c r="N11" s="1" t="s">
        <v>291</v>
      </c>
    </row>
    <row r="12" spans="1:14" ht="19">
      <c r="A12">
        <v>11</v>
      </c>
      <c r="B12" s="1" t="s">
        <v>285</v>
      </c>
      <c r="C12" t="s">
        <v>274</v>
      </c>
      <c r="E12" t="s">
        <v>390</v>
      </c>
      <c r="F12" t="s">
        <v>192</v>
      </c>
      <c r="G12" t="s">
        <v>2184</v>
      </c>
      <c r="H12" t="s">
        <v>192</v>
      </c>
      <c r="I12" t="s">
        <v>2342</v>
      </c>
      <c r="J12" t="s">
        <v>192</v>
      </c>
      <c r="K12" t="s">
        <v>2487</v>
      </c>
      <c r="L12" t="str">
        <f t="shared" si="0"/>
        <v>segmented videos list</v>
      </c>
      <c r="M12" s="1"/>
      <c r="N12" s="1" t="s">
        <v>277</v>
      </c>
    </row>
    <row r="13" spans="1:14" ht="19">
      <c r="A13">
        <v>12</v>
      </c>
      <c r="B13" s="1" t="s">
        <v>286</v>
      </c>
      <c r="C13" t="s">
        <v>271</v>
      </c>
      <c r="E13" t="s">
        <v>390</v>
      </c>
      <c r="F13" t="s">
        <v>192</v>
      </c>
      <c r="G13" t="s">
        <v>2178</v>
      </c>
      <c r="H13" t="s">
        <v>201</v>
      </c>
      <c r="I13" t="s">
        <v>2335</v>
      </c>
      <c r="J13" t="s">
        <v>192</v>
      </c>
      <c r="K13" t="s">
        <v>2481</v>
      </c>
      <c r="L13" t="str">
        <f t="shared" si="0"/>
        <v>segmented videos list</v>
      </c>
      <c r="M13" s="1"/>
      <c r="N13" s="1" t="s">
        <v>283</v>
      </c>
    </row>
    <row r="14" spans="1:14" ht="19" hidden="1">
      <c r="A14">
        <v>13</v>
      </c>
      <c r="B14" s="1" t="s">
        <v>287</v>
      </c>
      <c r="C14" t="s">
        <v>298</v>
      </c>
      <c r="E14" t="s">
        <v>391</v>
      </c>
      <c r="F14" t="s">
        <v>1717</v>
      </c>
      <c r="G14" t="e">
        <v>#N/A</v>
      </c>
      <c r="H14" t="s">
        <v>1717</v>
      </c>
      <c r="I14" t="e">
        <v>#N/A</v>
      </c>
      <c r="J14" t="s">
        <v>1717</v>
      </c>
      <c r="K14" t="e">
        <v>#N/A</v>
      </c>
      <c r="L14" t="str">
        <f t="shared" si="0"/>
        <v>no</v>
      </c>
      <c r="M14" s="1"/>
      <c r="N14" s="1" t="s">
        <v>292</v>
      </c>
    </row>
    <row r="15" spans="1:14" ht="19" hidden="1">
      <c r="A15">
        <v>14</v>
      </c>
      <c r="B15" s="1" t="s">
        <v>288</v>
      </c>
      <c r="C15" t="s">
        <v>274</v>
      </c>
      <c r="E15" t="s">
        <v>390</v>
      </c>
      <c r="F15" t="s">
        <v>1717</v>
      </c>
      <c r="G15" t="e">
        <v>#N/A</v>
      </c>
      <c r="H15" t="s">
        <v>1717</v>
      </c>
      <c r="I15" t="e">
        <v>#N/A</v>
      </c>
      <c r="J15" t="s">
        <v>1717</v>
      </c>
      <c r="K15" t="e">
        <v>#N/A</v>
      </c>
      <c r="L15" t="str">
        <f t="shared" si="0"/>
        <v>no</v>
      </c>
      <c r="M15" s="1"/>
      <c r="N15" s="1" t="s">
        <v>278</v>
      </c>
    </row>
    <row r="16" spans="1:14" ht="19" hidden="1">
      <c r="A16">
        <v>15</v>
      </c>
      <c r="B16" s="1" t="s">
        <v>289</v>
      </c>
      <c r="C16" t="s">
        <v>295</v>
      </c>
      <c r="E16" t="s">
        <v>391</v>
      </c>
      <c r="F16" t="s">
        <v>1717</v>
      </c>
      <c r="G16" t="e">
        <v>#N/A</v>
      </c>
      <c r="H16" t="s">
        <v>1717</v>
      </c>
      <c r="I16" t="e">
        <v>#N/A</v>
      </c>
      <c r="J16" t="s">
        <v>1717</v>
      </c>
      <c r="K16" t="e">
        <v>#N/A</v>
      </c>
      <c r="L16" t="str">
        <f t="shared" si="0"/>
        <v>no</v>
      </c>
      <c r="M16" s="1"/>
      <c r="N16" s="1" t="s">
        <v>293</v>
      </c>
    </row>
    <row r="17" spans="1:14" ht="19">
      <c r="A17">
        <v>16</v>
      </c>
      <c r="B17" s="1" t="s">
        <v>290</v>
      </c>
      <c r="C17" t="s">
        <v>271</v>
      </c>
      <c r="E17" t="s">
        <v>390</v>
      </c>
      <c r="F17" t="s">
        <v>201</v>
      </c>
      <c r="G17" t="s">
        <v>2083</v>
      </c>
      <c r="H17" t="s">
        <v>201</v>
      </c>
      <c r="I17" t="s">
        <v>2140</v>
      </c>
      <c r="J17" t="s">
        <v>201</v>
      </c>
      <c r="K17" t="s">
        <v>2145</v>
      </c>
      <c r="L17" t="str">
        <f t="shared" si="0"/>
        <v>segmented videos list</v>
      </c>
      <c r="M17" s="1"/>
      <c r="N17" s="1" t="s">
        <v>279</v>
      </c>
    </row>
    <row r="18" spans="1:14" ht="19">
      <c r="A18">
        <v>17</v>
      </c>
      <c r="B18" s="1" t="s">
        <v>291</v>
      </c>
      <c r="C18" t="s">
        <v>271</v>
      </c>
      <c r="E18" t="s">
        <v>390</v>
      </c>
      <c r="F18" t="s">
        <v>192</v>
      </c>
      <c r="G18" t="s">
        <v>2176</v>
      </c>
      <c r="H18" t="s">
        <v>192</v>
      </c>
      <c r="I18" t="s">
        <v>2333</v>
      </c>
      <c r="J18" t="s">
        <v>192</v>
      </c>
      <c r="K18" t="s">
        <v>2479</v>
      </c>
      <c r="L18" t="str">
        <f t="shared" si="0"/>
        <v>segmented videos list</v>
      </c>
      <c r="M18" s="1"/>
      <c r="N18" s="1"/>
    </row>
    <row r="19" spans="1:14" ht="19">
      <c r="A19">
        <v>18</v>
      </c>
      <c r="B19" s="1" t="s">
        <v>292</v>
      </c>
      <c r="C19" t="s">
        <v>267</v>
      </c>
      <c r="E19" t="s">
        <v>390</v>
      </c>
      <c r="F19" t="s">
        <v>192</v>
      </c>
      <c r="G19" t="s">
        <v>2186</v>
      </c>
      <c r="H19" t="s">
        <v>201</v>
      </c>
      <c r="I19" t="s">
        <v>2340</v>
      </c>
      <c r="J19" t="s">
        <v>201</v>
      </c>
      <c r="K19" t="s">
        <v>2485</v>
      </c>
      <c r="L19" t="str">
        <f t="shared" si="0"/>
        <v>segmented videos list</v>
      </c>
      <c r="M19" s="1"/>
      <c r="N19" s="1"/>
    </row>
    <row r="20" spans="1:14" ht="19">
      <c r="A20">
        <v>19</v>
      </c>
      <c r="B20" s="1" t="s">
        <v>293</v>
      </c>
      <c r="C20" t="s">
        <v>271</v>
      </c>
      <c r="E20" t="s">
        <v>390</v>
      </c>
      <c r="F20" t="s">
        <v>201</v>
      </c>
      <c r="G20" t="s">
        <v>2182</v>
      </c>
      <c r="H20" t="s">
        <v>201</v>
      </c>
      <c r="I20" t="s">
        <v>2339</v>
      </c>
      <c r="J20" t="s">
        <v>201</v>
      </c>
      <c r="K20" t="s">
        <v>2484</v>
      </c>
      <c r="L20" t="str">
        <f t="shared" si="0"/>
        <v>segmented videos list</v>
      </c>
      <c r="M20" s="1"/>
      <c r="N20" s="1"/>
    </row>
    <row r="21" spans="1:14" ht="19">
      <c r="A21">
        <v>20</v>
      </c>
      <c r="B21" s="1" t="s">
        <v>294</v>
      </c>
      <c r="C21" t="s">
        <v>271</v>
      </c>
      <c r="E21" t="s">
        <v>390</v>
      </c>
      <c r="F21" t="s">
        <v>201</v>
      </c>
      <c r="G21" t="s">
        <v>2185</v>
      </c>
      <c r="H21" t="s">
        <v>201</v>
      </c>
      <c r="I21" t="s">
        <v>2343</v>
      </c>
      <c r="J21" t="s">
        <v>192</v>
      </c>
      <c r="K21" t="s">
        <v>2488</v>
      </c>
      <c r="L21" t="str">
        <f t="shared" si="0"/>
        <v>segmented videos list</v>
      </c>
      <c r="M21" s="1"/>
      <c r="N21" s="1"/>
    </row>
    <row r="22" spans="1:14" ht="19" hidden="1">
      <c r="H22" t="s">
        <v>1717</v>
      </c>
      <c r="I22" t="e">
        <v>#N/A</v>
      </c>
      <c r="J22" t="s">
        <v>1717</v>
      </c>
      <c r="K22" t="e">
        <v>#N/A</v>
      </c>
      <c r="L22" t="str">
        <f t="shared" si="0"/>
        <v>no</v>
      </c>
      <c r="M22" s="1"/>
      <c r="N22" s="1"/>
    </row>
    <row r="23" spans="1:14" ht="19" hidden="1">
      <c r="H23" t="s">
        <v>1717</v>
      </c>
      <c r="I23" t="e">
        <v>#N/A</v>
      </c>
      <c r="J23" t="s">
        <v>1717</v>
      </c>
      <c r="K23" t="e">
        <v>#N/A</v>
      </c>
      <c r="L23" t="str">
        <f t="shared" si="0"/>
        <v>no</v>
      </c>
      <c r="M23" s="1"/>
      <c r="N23" s="1"/>
    </row>
    <row r="24" spans="1:14" ht="19" hidden="1">
      <c r="H24" t="s">
        <v>1717</v>
      </c>
      <c r="I24" t="e">
        <v>#N/A</v>
      </c>
      <c r="J24" t="s">
        <v>1717</v>
      </c>
      <c r="K24" t="e">
        <v>#N/A</v>
      </c>
      <c r="L24" t="str">
        <f t="shared" si="0"/>
        <v>no</v>
      </c>
      <c r="M24" s="1"/>
      <c r="N24" s="1"/>
    </row>
    <row r="25" spans="1:14" ht="19" hidden="1">
      <c r="H25" t="s">
        <v>1717</v>
      </c>
      <c r="I25" t="e">
        <v>#N/A</v>
      </c>
      <c r="J25" t="s">
        <v>1717</v>
      </c>
      <c r="K25" t="e">
        <v>#N/A</v>
      </c>
      <c r="L25" t="str">
        <f t="shared" si="0"/>
        <v>no</v>
      </c>
      <c r="M25" s="1"/>
      <c r="N25" s="1"/>
    </row>
    <row r="26" spans="1:14" ht="19" hidden="1">
      <c r="H26" t="s">
        <v>1717</v>
      </c>
      <c r="I26" t="e">
        <v>#N/A</v>
      </c>
      <c r="J26" t="s">
        <v>1717</v>
      </c>
      <c r="K26" t="e">
        <v>#N/A</v>
      </c>
      <c r="L26" t="str">
        <f t="shared" si="0"/>
        <v>no</v>
      </c>
      <c r="M26" s="1"/>
      <c r="N26" s="1"/>
    </row>
    <row r="27" spans="1:14" ht="19" hidden="1">
      <c r="H27" t="s">
        <v>1717</v>
      </c>
      <c r="I27" t="e">
        <v>#N/A</v>
      </c>
      <c r="J27" t="s">
        <v>1717</v>
      </c>
      <c r="K27" t="e">
        <v>#N/A</v>
      </c>
      <c r="L27" t="str">
        <f t="shared" si="0"/>
        <v>no</v>
      </c>
      <c r="M27" s="1"/>
      <c r="N27" s="1"/>
    </row>
    <row r="28" spans="1:14" ht="19" hidden="1">
      <c r="H28" t="s">
        <v>1717</v>
      </c>
      <c r="I28" t="e">
        <v>#N/A</v>
      </c>
      <c r="J28" t="s">
        <v>1717</v>
      </c>
      <c r="K28" t="e">
        <v>#N/A</v>
      </c>
      <c r="L28" t="str">
        <f t="shared" si="0"/>
        <v>no</v>
      </c>
      <c r="M28" s="1"/>
      <c r="N28" s="1"/>
    </row>
    <row r="29" spans="1:14" ht="19" hidden="1">
      <c r="H29" t="s">
        <v>1717</v>
      </c>
      <c r="I29" t="e">
        <v>#N/A</v>
      </c>
      <c r="J29" t="s">
        <v>1717</v>
      </c>
      <c r="K29" t="e">
        <v>#N/A</v>
      </c>
      <c r="L29" t="str">
        <f t="shared" si="0"/>
        <v>no</v>
      </c>
      <c r="M29" s="1"/>
      <c r="N29" s="1"/>
    </row>
    <row r="30" spans="1:14" ht="19" hidden="1">
      <c r="H30" t="s">
        <v>1717</v>
      </c>
      <c r="I30" t="e">
        <v>#N/A</v>
      </c>
      <c r="J30" t="s">
        <v>1717</v>
      </c>
      <c r="K30" t="e">
        <v>#N/A</v>
      </c>
      <c r="L30" t="str">
        <f t="shared" si="0"/>
        <v>no</v>
      </c>
      <c r="M30" s="1"/>
      <c r="N30" s="1"/>
    </row>
    <row r="31" spans="1:14" ht="19" hidden="1">
      <c r="H31" t="s">
        <v>1717</v>
      </c>
      <c r="I31" t="e">
        <v>#N/A</v>
      </c>
      <c r="J31" t="s">
        <v>1717</v>
      </c>
      <c r="K31" t="e">
        <v>#N/A</v>
      </c>
      <c r="L31" t="str">
        <f t="shared" si="0"/>
        <v>no</v>
      </c>
      <c r="M31" s="1"/>
      <c r="N31" s="1"/>
    </row>
    <row r="32" spans="1:14" ht="19" hidden="1">
      <c r="H32" t="s">
        <v>1717</v>
      </c>
      <c r="I32" t="e">
        <v>#N/A</v>
      </c>
      <c r="J32" t="s">
        <v>1717</v>
      </c>
      <c r="K32" t="e">
        <v>#N/A</v>
      </c>
      <c r="L32" t="str">
        <f t="shared" si="0"/>
        <v>no</v>
      </c>
      <c r="M32" s="1"/>
      <c r="N32" s="1"/>
    </row>
    <row r="33" spans="8:14" ht="19" hidden="1">
      <c r="H33" t="s">
        <v>1717</v>
      </c>
      <c r="I33" t="e">
        <v>#N/A</v>
      </c>
      <c r="J33" t="s">
        <v>1717</v>
      </c>
      <c r="K33" t="e">
        <v>#N/A</v>
      </c>
      <c r="L33" t="str">
        <f t="shared" si="0"/>
        <v>no</v>
      </c>
      <c r="M33" s="1"/>
      <c r="N33" s="1"/>
    </row>
    <row r="34" spans="8:14" ht="19" hidden="1">
      <c r="H34" t="s">
        <v>1717</v>
      </c>
      <c r="I34" t="e">
        <v>#N/A</v>
      </c>
      <c r="J34" t="s">
        <v>1717</v>
      </c>
      <c r="K34" t="e">
        <v>#N/A</v>
      </c>
      <c r="L34" t="str">
        <f t="shared" si="0"/>
        <v>no</v>
      </c>
      <c r="M34" s="1"/>
      <c r="N34" s="1"/>
    </row>
    <row r="35" spans="8:14" ht="19" hidden="1">
      <c r="H35" t="s">
        <v>1717</v>
      </c>
      <c r="I35" t="e">
        <v>#N/A</v>
      </c>
      <c r="J35" t="s">
        <v>1717</v>
      </c>
      <c r="K35" t="e">
        <v>#N/A</v>
      </c>
      <c r="L35" t="str">
        <f t="shared" si="0"/>
        <v>no</v>
      </c>
      <c r="M35" s="1"/>
      <c r="N35" s="1"/>
    </row>
    <row r="36" spans="8:14" ht="19" hidden="1">
      <c r="H36" t="s">
        <v>1717</v>
      </c>
      <c r="I36" t="e">
        <v>#N/A</v>
      </c>
      <c r="J36" t="s">
        <v>1717</v>
      </c>
      <c r="K36" t="e">
        <v>#N/A</v>
      </c>
      <c r="L36" t="str">
        <f t="shared" si="0"/>
        <v>no</v>
      </c>
      <c r="M36" s="1"/>
      <c r="N36" s="1"/>
    </row>
    <row r="37" spans="8:14" ht="19" hidden="1">
      <c r="H37" t="s">
        <v>1717</v>
      </c>
      <c r="I37" t="e">
        <v>#N/A</v>
      </c>
      <c r="J37" t="s">
        <v>1717</v>
      </c>
      <c r="K37" t="e">
        <v>#N/A</v>
      </c>
      <c r="L37" t="str">
        <f t="shared" si="0"/>
        <v>no</v>
      </c>
      <c r="M37" s="1"/>
      <c r="N37" s="1"/>
    </row>
    <row r="38" spans="8:14" ht="19" hidden="1">
      <c r="H38" t="s">
        <v>1717</v>
      </c>
      <c r="I38" t="e">
        <v>#N/A</v>
      </c>
      <c r="J38" t="s">
        <v>1717</v>
      </c>
      <c r="K38" t="e">
        <v>#N/A</v>
      </c>
      <c r="L38" t="str">
        <f t="shared" si="0"/>
        <v>no</v>
      </c>
      <c r="M38" s="1"/>
      <c r="N38" s="1"/>
    </row>
    <row r="39" spans="8:14" ht="19" hidden="1">
      <c r="H39" t="s">
        <v>1717</v>
      </c>
      <c r="I39" t="e">
        <v>#N/A</v>
      </c>
      <c r="J39" t="s">
        <v>1717</v>
      </c>
      <c r="K39" t="e">
        <v>#N/A</v>
      </c>
      <c r="L39" t="str">
        <f t="shared" si="0"/>
        <v>no</v>
      </c>
      <c r="M39" s="1"/>
      <c r="N39" s="1"/>
    </row>
    <row r="40" spans="8:14" ht="19" hidden="1">
      <c r="H40" t="s">
        <v>1717</v>
      </c>
      <c r="I40" t="e">
        <v>#N/A</v>
      </c>
      <c r="J40" t="s">
        <v>1717</v>
      </c>
      <c r="K40" t="e">
        <v>#N/A</v>
      </c>
      <c r="L40" t="str">
        <f t="shared" si="0"/>
        <v>no</v>
      </c>
      <c r="M40" s="1"/>
      <c r="N40" s="1"/>
    </row>
    <row r="41" spans="8:14" ht="19" hidden="1">
      <c r="H41" t="s">
        <v>1717</v>
      </c>
      <c r="I41" t="e">
        <v>#N/A</v>
      </c>
      <c r="J41" t="s">
        <v>1717</v>
      </c>
      <c r="K41" t="e">
        <v>#N/A</v>
      </c>
      <c r="L41" t="str">
        <f t="shared" si="0"/>
        <v>no</v>
      </c>
      <c r="M41" s="1"/>
      <c r="N41" s="1"/>
    </row>
    <row r="42" spans="8:14" ht="19" hidden="1">
      <c r="H42" t="s">
        <v>1717</v>
      </c>
      <c r="I42" t="e">
        <v>#N/A</v>
      </c>
      <c r="J42" t="s">
        <v>1717</v>
      </c>
      <c r="K42" t="e">
        <v>#N/A</v>
      </c>
      <c r="L42" t="str">
        <f t="shared" si="0"/>
        <v>no</v>
      </c>
      <c r="M42" s="1"/>
      <c r="N42" s="1"/>
    </row>
    <row r="43" spans="8:14" ht="19" hidden="1">
      <c r="H43" t="s">
        <v>1717</v>
      </c>
      <c r="I43" t="e">
        <v>#N/A</v>
      </c>
      <c r="J43" t="s">
        <v>1717</v>
      </c>
      <c r="K43" t="e">
        <v>#N/A</v>
      </c>
      <c r="L43" t="str">
        <f t="shared" si="0"/>
        <v>no</v>
      </c>
      <c r="M43" s="1"/>
      <c r="N43" s="1"/>
    </row>
    <row r="44" spans="8:14" ht="19" hidden="1">
      <c r="H44" t="s">
        <v>1717</v>
      </c>
      <c r="I44" t="e">
        <v>#N/A</v>
      </c>
      <c r="J44" t="s">
        <v>1717</v>
      </c>
      <c r="K44" t="e">
        <v>#N/A</v>
      </c>
      <c r="L44" t="str">
        <f t="shared" si="0"/>
        <v>no</v>
      </c>
      <c r="M44" s="1"/>
      <c r="N44" s="1"/>
    </row>
    <row r="45" spans="8:14" ht="19" hidden="1">
      <c r="H45" t="s">
        <v>1717</v>
      </c>
      <c r="I45" t="e">
        <v>#N/A</v>
      </c>
      <c r="J45" t="s">
        <v>1717</v>
      </c>
      <c r="K45" t="e">
        <v>#N/A</v>
      </c>
      <c r="L45" t="str">
        <f t="shared" si="0"/>
        <v>no</v>
      </c>
      <c r="M45" s="1"/>
      <c r="N45" s="1"/>
    </row>
    <row r="46" spans="8:14" ht="19" hidden="1">
      <c r="H46" t="s">
        <v>1717</v>
      </c>
      <c r="I46" t="e">
        <v>#N/A</v>
      </c>
      <c r="J46" t="s">
        <v>1717</v>
      </c>
      <c r="K46" t="e">
        <v>#N/A</v>
      </c>
      <c r="L46" t="str">
        <f t="shared" si="0"/>
        <v>no</v>
      </c>
      <c r="M46" s="1"/>
      <c r="N46" s="1"/>
    </row>
    <row r="47" spans="8:14" ht="19" hidden="1">
      <c r="H47" t="s">
        <v>1717</v>
      </c>
      <c r="I47" t="e">
        <v>#N/A</v>
      </c>
      <c r="J47" t="s">
        <v>1717</v>
      </c>
      <c r="K47" t="e">
        <v>#N/A</v>
      </c>
      <c r="L47" t="str">
        <f t="shared" si="0"/>
        <v>no</v>
      </c>
      <c r="M47" s="1"/>
      <c r="N47" s="1"/>
    </row>
    <row r="48" spans="8:14" ht="19" hidden="1">
      <c r="H48" t="s">
        <v>1717</v>
      </c>
      <c r="I48" t="e">
        <v>#N/A</v>
      </c>
      <c r="J48" t="s">
        <v>1717</v>
      </c>
      <c r="K48" t="e">
        <v>#N/A</v>
      </c>
      <c r="L48" t="str">
        <f t="shared" si="0"/>
        <v>no</v>
      </c>
      <c r="M48" s="1"/>
      <c r="N48" s="1"/>
    </row>
    <row r="49" spans="8:14" ht="19" hidden="1">
      <c r="H49" t="s">
        <v>1717</v>
      </c>
      <c r="I49" t="e">
        <v>#N/A</v>
      </c>
      <c r="J49" t="s">
        <v>1717</v>
      </c>
      <c r="K49" t="e">
        <v>#N/A</v>
      </c>
      <c r="L49" t="str">
        <f t="shared" si="0"/>
        <v>no</v>
      </c>
      <c r="M49" s="1"/>
      <c r="N49" s="1"/>
    </row>
    <row r="50" spans="8:14" ht="19" hidden="1">
      <c r="H50" t="s">
        <v>1717</v>
      </c>
      <c r="I50" t="e">
        <v>#N/A</v>
      </c>
      <c r="J50" t="s">
        <v>1717</v>
      </c>
      <c r="K50" t="e">
        <v>#N/A</v>
      </c>
      <c r="L50" t="str">
        <f t="shared" si="0"/>
        <v>no</v>
      </c>
      <c r="M50" s="1"/>
      <c r="N50" s="1"/>
    </row>
    <row r="51" spans="8:14" ht="19" hidden="1">
      <c r="H51" t="s">
        <v>1717</v>
      </c>
      <c r="I51" t="e">
        <v>#N/A</v>
      </c>
      <c r="J51" t="s">
        <v>1717</v>
      </c>
      <c r="K51" t="e">
        <v>#N/A</v>
      </c>
      <c r="L51" t="str">
        <f t="shared" si="0"/>
        <v>no</v>
      </c>
      <c r="M51" s="1"/>
      <c r="N51" s="1"/>
    </row>
    <row r="52" spans="8:14" ht="19" hidden="1">
      <c r="H52" t="s">
        <v>1717</v>
      </c>
      <c r="I52" t="e">
        <v>#N/A</v>
      </c>
      <c r="J52" t="s">
        <v>1717</v>
      </c>
      <c r="K52" t="e">
        <v>#N/A</v>
      </c>
      <c r="L52" t="str">
        <f t="shared" si="0"/>
        <v>no</v>
      </c>
      <c r="M52" s="1"/>
      <c r="N52" s="1"/>
    </row>
    <row r="53" spans="8:14" ht="19" hidden="1">
      <c r="H53" t="s">
        <v>1717</v>
      </c>
      <c r="I53" t="e">
        <v>#N/A</v>
      </c>
      <c r="J53" t="s">
        <v>1717</v>
      </c>
      <c r="K53" t="e">
        <v>#N/A</v>
      </c>
      <c r="L53" t="str">
        <f t="shared" si="0"/>
        <v>no</v>
      </c>
      <c r="M53" s="1"/>
      <c r="N53" s="1"/>
    </row>
    <row r="54" spans="8:14" ht="19" hidden="1">
      <c r="H54" t="s">
        <v>1717</v>
      </c>
      <c r="I54" t="e">
        <v>#N/A</v>
      </c>
      <c r="J54" t="s">
        <v>1717</v>
      </c>
      <c r="K54" t="e">
        <v>#N/A</v>
      </c>
      <c r="L54" t="str">
        <f t="shared" si="0"/>
        <v>no</v>
      </c>
      <c r="M54" s="1"/>
      <c r="N54" s="1"/>
    </row>
    <row r="55" spans="8:14" ht="19" hidden="1">
      <c r="H55" t="s">
        <v>1717</v>
      </c>
      <c r="I55" t="e">
        <v>#N/A</v>
      </c>
      <c r="J55" t="s">
        <v>1717</v>
      </c>
      <c r="K55" t="e">
        <v>#N/A</v>
      </c>
      <c r="L55" t="str">
        <f t="shared" si="0"/>
        <v>no</v>
      </c>
      <c r="M55" s="1"/>
      <c r="N55" s="1"/>
    </row>
    <row r="56" spans="8:14" ht="19" hidden="1">
      <c r="H56" t="s">
        <v>1717</v>
      </c>
      <c r="I56" t="e">
        <v>#N/A</v>
      </c>
      <c r="J56" t="s">
        <v>1717</v>
      </c>
      <c r="K56" t="e">
        <v>#N/A</v>
      </c>
      <c r="L56" t="str">
        <f t="shared" si="0"/>
        <v>no</v>
      </c>
      <c r="M56" s="1"/>
      <c r="N56" s="1"/>
    </row>
    <row r="57" spans="8:14" ht="19" hidden="1">
      <c r="H57" t="s">
        <v>1717</v>
      </c>
      <c r="I57" t="e">
        <v>#N/A</v>
      </c>
      <c r="J57" t="s">
        <v>1717</v>
      </c>
      <c r="K57" t="e">
        <v>#N/A</v>
      </c>
      <c r="L57" t="str">
        <f t="shared" si="0"/>
        <v>no</v>
      </c>
      <c r="M57" s="1"/>
      <c r="N57" s="1"/>
    </row>
    <row r="58" spans="8:14" ht="19" hidden="1">
      <c r="H58" t="s">
        <v>1717</v>
      </c>
      <c r="I58" t="e">
        <v>#N/A</v>
      </c>
      <c r="J58" t="s">
        <v>1717</v>
      </c>
      <c r="K58" t="e">
        <v>#N/A</v>
      </c>
      <c r="L58" t="str">
        <f t="shared" si="0"/>
        <v>no</v>
      </c>
      <c r="M58" s="1"/>
      <c r="N58" s="1"/>
    </row>
    <row r="59" spans="8:14" ht="19" hidden="1">
      <c r="H59" t="s">
        <v>1717</v>
      </c>
      <c r="I59" t="e">
        <v>#N/A</v>
      </c>
      <c r="J59" t="s">
        <v>1717</v>
      </c>
      <c r="K59" t="e">
        <v>#N/A</v>
      </c>
      <c r="L59" t="str">
        <f t="shared" si="0"/>
        <v>no</v>
      </c>
      <c r="M59" s="1"/>
      <c r="N59" s="1"/>
    </row>
    <row r="60" spans="8:14" ht="19" hidden="1">
      <c r="H60" t="s">
        <v>1717</v>
      </c>
      <c r="I60" t="e">
        <v>#N/A</v>
      </c>
      <c r="J60" t="s">
        <v>1717</v>
      </c>
      <c r="K60" t="e">
        <v>#N/A</v>
      </c>
      <c r="L60" t="str">
        <f t="shared" si="0"/>
        <v>no</v>
      </c>
      <c r="M60" s="1"/>
      <c r="N60" s="1"/>
    </row>
    <row r="61" spans="8:14" ht="19" hidden="1">
      <c r="H61" t="s">
        <v>1717</v>
      </c>
      <c r="I61" t="e">
        <v>#N/A</v>
      </c>
      <c r="J61" t="s">
        <v>1717</v>
      </c>
      <c r="K61" t="e">
        <v>#N/A</v>
      </c>
      <c r="L61" t="str">
        <f t="shared" si="0"/>
        <v>no</v>
      </c>
      <c r="M61" s="1"/>
      <c r="N61" s="1"/>
    </row>
    <row r="62" spans="8:14" ht="19" hidden="1">
      <c r="H62" t="s">
        <v>1717</v>
      </c>
      <c r="I62" t="e">
        <v>#N/A</v>
      </c>
      <c r="J62" t="s">
        <v>1717</v>
      </c>
      <c r="K62" t="e">
        <v>#N/A</v>
      </c>
      <c r="L62" t="str">
        <f t="shared" si="0"/>
        <v>no</v>
      </c>
      <c r="M62" s="1"/>
      <c r="N62" s="1"/>
    </row>
    <row r="63" spans="8:14" ht="19" hidden="1">
      <c r="H63" t="s">
        <v>1717</v>
      </c>
      <c r="I63" t="e">
        <v>#N/A</v>
      </c>
      <c r="J63" t="s">
        <v>1717</v>
      </c>
      <c r="K63" t="e">
        <v>#N/A</v>
      </c>
      <c r="L63" t="str">
        <f t="shared" si="0"/>
        <v>no</v>
      </c>
      <c r="M63" s="1"/>
      <c r="N63" s="1"/>
    </row>
    <row r="64" spans="8:14" ht="19" hidden="1">
      <c r="H64" t="s">
        <v>1717</v>
      </c>
      <c r="I64" t="e">
        <v>#N/A</v>
      </c>
      <c r="J64" t="s">
        <v>1717</v>
      </c>
      <c r="K64" t="e">
        <v>#N/A</v>
      </c>
      <c r="L64" t="str">
        <f t="shared" si="0"/>
        <v>no</v>
      </c>
      <c r="M64" s="1"/>
      <c r="N64" s="1"/>
    </row>
    <row r="65" spans="8:14" ht="19" hidden="1">
      <c r="H65" t="s">
        <v>1717</v>
      </c>
      <c r="I65" t="e">
        <v>#N/A</v>
      </c>
      <c r="J65" t="s">
        <v>1717</v>
      </c>
      <c r="K65" t="e">
        <v>#N/A</v>
      </c>
      <c r="L65" t="str">
        <f t="shared" si="0"/>
        <v>no</v>
      </c>
      <c r="M65" s="1"/>
      <c r="N65" s="1"/>
    </row>
    <row r="66" spans="8:14" ht="19" hidden="1">
      <c r="H66" t="s">
        <v>1717</v>
      </c>
      <c r="I66" t="e">
        <v>#N/A</v>
      </c>
      <c r="J66" t="s">
        <v>1717</v>
      </c>
      <c r="K66" t="e">
        <v>#N/A</v>
      </c>
      <c r="L66" t="str">
        <f t="shared" si="0"/>
        <v>no</v>
      </c>
      <c r="M66" s="1"/>
      <c r="N66" s="1"/>
    </row>
    <row r="67" spans="8:14" ht="19" hidden="1">
      <c r="H67" t="s">
        <v>1717</v>
      </c>
      <c r="I67" t="e">
        <v>#N/A</v>
      </c>
      <c r="J67" t="s">
        <v>1717</v>
      </c>
      <c r="K67" t="e">
        <v>#N/A</v>
      </c>
      <c r="L67" t="str">
        <f t="shared" ref="L67:L130" si="1">IF(COUNTIF(M:M, B67)&gt;0,$M$1,IF(COUNTIF(N:N, B67)&gt;0,$N$1,"no"))</f>
        <v>no</v>
      </c>
      <c r="M67" s="1"/>
      <c r="N67" s="1"/>
    </row>
    <row r="68" spans="8:14" ht="19" hidden="1">
      <c r="H68" t="s">
        <v>1717</v>
      </c>
      <c r="I68" t="e">
        <v>#N/A</v>
      </c>
      <c r="J68" t="s">
        <v>1717</v>
      </c>
      <c r="K68" t="e">
        <v>#N/A</v>
      </c>
      <c r="L68" t="str">
        <f t="shared" si="1"/>
        <v>no</v>
      </c>
      <c r="M68" s="1"/>
      <c r="N68" s="1"/>
    </row>
    <row r="69" spans="8:14" ht="19" hidden="1">
      <c r="H69" t="s">
        <v>1717</v>
      </c>
      <c r="I69" t="e">
        <v>#N/A</v>
      </c>
      <c r="J69" t="s">
        <v>1717</v>
      </c>
      <c r="K69" t="e">
        <v>#N/A</v>
      </c>
      <c r="L69" t="str">
        <f t="shared" si="1"/>
        <v>no</v>
      </c>
      <c r="M69" s="1"/>
      <c r="N69" s="1"/>
    </row>
    <row r="70" spans="8:14" ht="19" hidden="1">
      <c r="H70" t="s">
        <v>1717</v>
      </c>
      <c r="I70" t="e">
        <v>#N/A</v>
      </c>
      <c r="J70" t="s">
        <v>1717</v>
      </c>
      <c r="K70" t="e">
        <v>#N/A</v>
      </c>
      <c r="L70" t="str">
        <f t="shared" si="1"/>
        <v>no</v>
      </c>
      <c r="M70" s="1"/>
      <c r="N70" s="1"/>
    </row>
    <row r="71" spans="8:14" ht="19" hidden="1">
      <c r="H71" t="s">
        <v>1717</v>
      </c>
      <c r="I71" t="e">
        <v>#N/A</v>
      </c>
      <c r="J71" t="s">
        <v>1717</v>
      </c>
      <c r="K71" t="e">
        <v>#N/A</v>
      </c>
      <c r="L71" t="str">
        <f t="shared" si="1"/>
        <v>no</v>
      </c>
      <c r="M71" s="1"/>
      <c r="N71" s="1"/>
    </row>
    <row r="72" spans="8:14" ht="19" hidden="1">
      <c r="H72" t="s">
        <v>1717</v>
      </c>
      <c r="I72" t="e">
        <v>#N/A</v>
      </c>
      <c r="J72" t="s">
        <v>1717</v>
      </c>
      <c r="K72" t="e">
        <v>#N/A</v>
      </c>
      <c r="L72" t="str">
        <f t="shared" si="1"/>
        <v>no</v>
      </c>
      <c r="M72" s="1"/>
      <c r="N72" s="1"/>
    </row>
    <row r="73" spans="8:14" ht="19" hidden="1">
      <c r="H73" t="s">
        <v>1717</v>
      </c>
      <c r="I73" t="e">
        <v>#N/A</v>
      </c>
      <c r="J73" t="s">
        <v>1717</v>
      </c>
      <c r="K73" t="e">
        <v>#N/A</v>
      </c>
      <c r="L73" t="str">
        <f t="shared" si="1"/>
        <v>no</v>
      </c>
      <c r="M73" s="1"/>
      <c r="N73" s="1"/>
    </row>
    <row r="74" spans="8:14" ht="19" hidden="1">
      <c r="H74" t="s">
        <v>1717</v>
      </c>
      <c r="I74" t="e">
        <v>#N/A</v>
      </c>
      <c r="J74" t="s">
        <v>1717</v>
      </c>
      <c r="K74" t="e">
        <v>#N/A</v>
      </c>
      <c r="L74" t="str">
        <f t="shared" si="1"/>
        <v>no</v>
      </c>
      <c r="M74" s="1"/>
      <c r="N74" s="1"/>
    </row>
    <row r="75" spans="8:14" ht="19" hidden="1">
      <c r="H75" t="s">
        <v>1717</v>
      </c>
      <c r="I75" t="e">
        <v>#N/A</v>
      </c>
      <c r="J75" t="s">
        <v>1717</v>
      </c>
      <c r="K75" t="e">
        <v>#N/A</v>
      </c>
      <c r="L75" t="str">
        <f t="shared" si="1"/>
        <v>no</v>
      </c>
      <c r="M75" s="1"/>
      <c r="N75" s="1"/>
    </row>
    <row r="76" spans="8:14" ht="19" hidden="1">
      <c r="H76" t="s">
        <v>1717</v>
      </c>
      <c r="I76" t="e">
        <v>#N/A</v>
      </c>
      <c r="J76" t="s">
        <v>1717</v>
      </c>
      <c r="K76" t="e">
        <v>#N/A</v>
      </c>
      <c r="L76" t="str">
        <f t="shared" si="1"/>
        <v>no</v>
      </c>
      <c r="M76" s="1"/>
      <c r="N76" s="1"/>
    </row>
    <row r="77" spans="8:14" ht="19" hidden="1">
      <c r="H77" t="s">
        <v>1717</v>
      </c>
      <c r="I77" t="e">
        <v>#N/A</v>
      </c>
      <c r="J77" t="s">
        <v>1717</v>
      </c>
      <c r="K77" t="e">
        <v>#N/A</v>
      </c>
      <c r="L77" t="str">
        <f t="shared" si="1"/>
        <v>no</v>
      </c>
      <c r="M77" s="1"/>
      <c r="N77" s="1"/>
    </row>
    <row r="78" spans="8:14" ht="19" hidden="1">
      <c r="H78" t="s">
        <v>1717</v>
      </c>
      <c r="I78" t="e">
        <v>#N/A</v>
      </c>
      <c r="J78" t="s">
        <v>1717</v>
      </c>
      <c r="K78" t="e">
        <v>#N/A</v>
      </c>
      <c r="L78" t="str">
        <f t="shared" si="1"/>
        <v>no</v>
      </c>
      <c r="M78" s="1"/>
      <c r="N78" s="1"/>
    </row>
    <row r="79" spans="8:14" ht="19" hidden="1">
      <c r="H79" t="s">
        <v>1717</v>
      </c>
      <c r="I79" t="e">
        <v>#N/A</v>
      </c>
      <c r="J79" t="s">
        <v>1717</v>
      </c>
      <c r="K79" t="e">
        <v>#N/A</v>
      </c>
      <c r="L79" t="str">
        <f t="shared" si="1"/>
        <v>no</v>
      </c>
      <c r="M79" s="1"/>
      <c r="N79" s="1"/>
    </row>
    <row r="80" spans="8:14" ht="19" hidden="1">
      <c r="H80" t="s">
        <v>1717</v>
      </c>
      <c r="I80" t="e">
        <v>#N/A</v>
      </c>
      <c r="J80" t="s">
        <v>1717</v>
      </c>
      <c r="K80" t="e">
        <v>#N/A</v>
      </c>
      <c r="L80" t="str">
        <f t="shared" si="1"/>
        <v>no</v>
      </c>
      <c r="M80" s="1"/>
      <c r="N80" s="1"/>
    </row>
    <row r="81" spans="8:12" hidden="1">
      <c r="H81" t="s">
        <v>1717</v>
      </c>
      <c r="I81" t="e">
        <v>#N/A</v>
      </c>
      <c r="J81" t="s">
        <v>1717</v>
      </c>
      <c r="K81" t="e">
        <v>#N/A</v>
      </c>
      <c r="L81" t="str">
        <f t="shared" si="1"/>
        <v>no</v>
      </c>
    </row>
    <row r="82" spans="8:12" hidden="1">
      <c r="H82" t="s">
        <v>1717</v>
      </c>
      <c r="I82" t="e">
        <v>#N/A</v>
      </c>
      <c r="J82" t="s">
        <v>1717</v>
      </c>
      <c r="K82" t="e">
        <v>#N/A</v>
      </c>
      <c r="L82" t="str">
        <f t="shared" si="1"/>
        <v>no</v>
      </c>
    </row>
    <row r="83" spans="8:12" hidden="1">
      <c r="H83" t="s">
        <v>1717</v>
      </c>
      <c r="I83" t="e">
        <v>#N/A</v>
      </c>
      <c r="J83" t="s">
        <v>1717</v>
      </c>
      <c r="K83" t="e">
        <v>#N/A</v>
      </c>
      <c r="L83" t="str">
        <f t="shared" si="1"/>
        <v>no</v>
      </c>
    </row>
    <row r="84" spans="8:12" hidden="1">
      <c r="H84" t="s">
        <v>1717</v>
      </c>
      <c r="I84" t="e">
        <v>#N/A</v>
      </c>
      <c r="J84" t="s">
        <v>1717</v>
      </c>
      <c r="K84" t="e">
        <v>#N/A</v>
      </c>
      <c r="L84" t="str">
        <f t="shared" si="1"/>
        <v>no</v>
      </c>
    </row>
    <row r="85" spans="8:12" hidden="1">
      <c r="H85" t="s">
        <v>1717</v>
      </c>
      <c r="I85" t="e">
        <v>#N/A</v>
      </c>
      <c r="J85" t="s">
        <v>1717</v>
      </c>
      <c r="K85" t="e">
        <v>#N/A</v>
      </c>
      <c r="L85" t="str">
        <f t="shared" si="1"/>
        <v>no</v>
      </c>
    </row>
    <row r="86" spans="8:12" hidden="1">
      <c r="H86" t="s">
        <v>1717</v>
      </c>
      <c r="I86" t="e">
        <v>#N/A</v>
      </c>
      <c r="J86" t="s">
        <v>1717</v>
      </c>
      <c r="K86" t="e">
        <v>#N/A</v>
      </c>
      <c r="L86" t="str">
        <f t="shared" si="1"/>
        <v>no</v>
      </c>
    </row>
    <row r="87" spans="8:12" hidden="1">
      <c r="H87" t="s">
        <v>1717</v>
      </c>
      <c r="I87" t="e">
        <v>#N/A</v>
      </c>
      <c r="J87" t="s">
        <v>1717</v>
      </c>
      <c r="K87" t="e">
        <v>#N/A</v>
      </c>
      <c r="L87" t="str">
        <f t="shared" si="1"/>
        <v>no</v>
      </c>
    </row>
    <row r="88" spans="8:12" hidden="1">
      <c r="H88" t="s">
        <v>1717</v>
      </c>
      <c r="I88" t="e">
        <v>#N/A</v>
      </c>
      <c r="J88" t="s">
        <v>1717</v>
      </c>
      <c r="K88" t="e">
        <v>#N/A</v>
      </c>
      <c r="L88" t="str">
        <f t="shared" si="1"/>
        <v>no</v>
      </c>
    </row>
    <row r="89" spans="8:12" hidden="1">
      <c r="H89" t="s">
        <v>1717</v>
      </c>
      <c r="I89" t="e">
        <v>#N/A</v>
      </c>
      <c r="J89" t="s">
        <v>1717</v>
      </c>
      <c r="K89" t="e">
        <v>#N/A</v>
      </c>
      <c r="L89" t="str">
        <f t="shared" si="1"/>
        <v>no</v>
      </c>
    </row>
    <row r="90" spans="8:12" hidden="1">
      <c r="H90" t="s">
        <v>1717</v>
      </c>
      <c r="I90" t="e">
        <v>#N/A</v>
      </c>
      <c r="J90" t="s">
        <v>1717</v>
      </c>
      <c r="K90" t="e">
        <v>#N/A</v>
      </c>
      <c r="L90" t="str">
        <f t="shared" si="1"/>
        <v>no</v>
      </c>
    </row>
    <row r="91" spans="8:12" hidden="1">
      <c r="H91" t="s">
        <v>1717</v>
      </c>
      <c r="I91" t="e">
        <v>#N/A</v>
      </c>
      <c r="J91" t="s">
        <v>1717</v>
      </c>
      <c r="K91" t="e">
        <v>#N/A</v>
      </c>
      <c r="L91" t="str">
        <f t="shared" si="1"/>
        <v>no</v>
      </c>
    </row>
    <row r="92" spans="8:12" hidden="1">
      <c r="H92" t="s">
        <v>1717</v>
      </c>
      <c r="I92" t="e">
        <v>#N/A</v>
      </c>
      <c r="J92" t="s">
        <v>1717</v>
      </c>
      <c r="K92" t="e">
        <v>#N/A</v>
      </c>
      <c r="L92" t="str">
        <f t="shared" si="1"/>
        <v>no</v>
      </c>
    </row>
    <row r="93" spans="8:12" hidden="1">
      <c r="H93" t="s">
        <v>1717</v>
      </c>
      <c r="I93" t="e">
        <v>#N/A</v>
      </c>
      <c r="J93" t="s">
        <v>1717</v>
      </c>
      <c r="K93" t="e">
        <v>#N/A</v>
      </c>
      <c r="L93" t="str">
        <f t="shared" si="1"/>
        <v>no</v>
      </c>
    </row>
    <row r="94" spans="8:12" hidden="1">
      <c r="H94" t="s">
        <v>1717</v>
      </c>
      <c r="I94" t="e">
        <v>#N/A</v>
      </c>
      <c r="J94" t="s">
        <v>1717</v>
      </c>
      <c r="K94" t="e">
        <v>#N/A</v>
      </c>
      <c r="L94" t="str">
        <f t="shared" si="1"/>
        <v>no</v>
      </c>
    </row>
    <row r="95" spans="8:12" hidden="1">
      <c r="H95" t="s">
        <v>1717</v>
      </c>
      <c r="I95" t="e">
        <v>#N/A</v>
      </c>
      <c r="J95" t="s">
        <v>1717</v>
      </c>
      <c r="K95" t="e">
        <v>#N/A</v>
      </c>
      <c r="L95" t="str">
        <f t="shared" si="1"/>
        <v>no</v>
      </c>
    </row>
    <row r="96" spans="8:12" hidden="1">
      <c r="H96" t="s">
        <v>1717</v>
      </c>
      <c r="I96" t="e">
        <v>#N/A</v>
      </c>
      <c r="J96" t="s">
        <v>1717</v>
      </c>
      <c r="K96" t="e">
        <v>#N/A</v>
      </c>
      <c r="L96" t="str">
        <f t="shared" si="1"/>
        <v>no</v>
      </c>
    </row>
    <row r="97" spans="8:12" hidden="1">
      <c r="H97" t="s">
        <v>1717</v>
      </c>
      <c r="I97" t="e">
        <v>#N/A</v>
      </c>
      <c r="J97" t="s">
        <v>1717</v>
      </c>
      <c r="K97" t="e">
        <v>#N/A</v>
      </c>
      <c r="L97" t="str">
        <f t="shared" si="1"/>
        <v>no</v>
      </c>
    </row>
    <row r="98" spans="8:12" hidden="1">
      <c r="H98" t="s">
        <v>1717</v>
      </c>
      <c r="I98" t="e">
        <v>#N/A</v>
      </c>
      <c r="J98" t="s">
        <v>1717</v>
      </c>
      <c r="K98" t="e">
        <v>#N/A</v>
      </c>
      <c r="L98" t="str">
        <f t="shared" si="1"/>
        <v>no</v>
      </c>
    </row>
    <row r="99" spans="8:12" hidden="1">
      <c r="H99" t="s">
        <v>1717</v>
      </c>
      <c r="I99" t="e">
        <v>#N/A</v>
      </c>
      <c r="J99" t="s">
        <v>1717</v>
      </c>
      <c r="K99" t="e">
        <v>#N/A</v>
      </c>
      <c r="L99" t="str">
        <f t="shared" si="1"/>
        <v>no</v>
      </c>
    </row>
    <row r="100" spans="8:12" hidden="1">
      <c r="H100" t="s">
        <v>1717</v>
      </c>
      <c r="I100" t="e">
        <v>#N/A</v>
      </c>
      <c r="J100" t="s">
        <v>1717</v>
      </c>
      <c r="K100" t="e">
        <v>#N/A</v>
      </c>
      <c r="L100" t="str">
        <f t="shared" si="1"/>
        <v>no</v>
      </c>
    </row>
    <row r="101" spans="8:12" hidden="1">
      <c r="H101" t="s">
        <v>1717</v>
      </c>
      <c r="I101" t="e">
        <v>#N/A</v>
      </c>
      <c r="J101" t="s">
        <v>1717</v>
      </c>
      <c r="K101" t="e">
        <v>#N/A</v>
      </c>
      <c r="L101" t="str">
        <f t="shared" si="1"/>
        <v>no</v>
      </c>
    </row>
    <row r="102" spans="8:12" hidden="1">
      <c r="H102" t="s">
        <v>1717</v>
      </c>
      <c r="I102" t="e">
        <v>#N/A</v>
      </c>
      <c r="J102" t="s">
        <v>1717</v>
      </c>
      <c r="K102" t="e">
        <v>#N/A</v>
      </c>
      <c r="L102" t="str">
        <f t="shared" si="1"/>
        <v>no</v>
      </c>
    </row>
    <row r="103" spans="8:12" hidden="1">
      <c r="H103" t="s">
        <v>1717</v>
      </c>
      <c r="I103" t="e">
        <v>#N/A</v>
      </c>
      <c r="J103" t="s">
        <v>1717</v>
      </c>
      <c r="K103" t="e">
        <v>#N/A</v>
      </c>
      <c r="L103" t="str">
        <f t="shared" si="1"/>
        <v>no</v>
      </c>
    </row>
    <row r="104" spans="8:12" hidden="1">
      <c r="H104" t="s">
        <v>1717</v>
      </c>
      <c r="I104" t="e">
        <v>#N/A</v>
      </c>
      <c r="J104" t="s">
        <v>1717</v>
      </c>
      <c r="K104" t="e">
        <v>#N/A</v>
      </c>
      <c r="L104" t="str">
        <f t="shared" si="1"/>
        <v>no</v>
      </c>
    </row>
    <row r="105" spans="8:12" hidden="1">
      <c r="H105" t="s">
        <v>1717</v>
      </c>
      <c r="I105" t="e">
        <v>#N/A</v>
      </c>
      <c r="J105" t="s">
        <v>1717</v>
      </c>
      <c r="K105" t="e">
        <v>#N/A</v>
      </c>
      <c r="L105" t="str">
        <f t="shared" si="1"/>
        <v>no</v>
      </c>
    </row>
    <row r="106" spans="8:12" hidden="1">
      <c r="H106" t="s">
        <v>1717</v>
      </c>
      <c r="I106" t="e">
        <v>#N/A</v>
      </c>
      <c r="J106" t="s">
        <v>1717</v>
      </c>
      <c r="K106" t="e">
        <v>#N/A</v>
      </c>
      <c r="L106" t="str">
        <f t="shared" si="1"/>
        <v>no</v>
      </c>
    </row>
    <row r="107" spans="8:12" hidden="1">
      <c r="H107" t="s">
        <v>1717</v>
      </c>
      <c r="I107" t="e">
        <v>#N/A</v>
      </c>
      <c r="J107" t="s">
        <v>1717</v>
      </c>
      <c r="K107" t="e">
        <v>#N/A</v>
      </c>
      <c r="L107" t="str">
        <f t="shared" si="1"/>
        <v>no</v>
      </c>
    </row>
    <row r="108" spans="8:12" hidden="1">
      <c r="H108" t="s">
        <v>1717</v>
      </c>
      <c r="I108" t="e">
        <v>#N/A</v>
      </c>
      <c r="J108" t="s">
        <v>1717</v>
      </c>
      <c r="K108" t="e">
        <v>#N/A</v>
      </c>
      <c r="L108" t="str">
        <f t="shared" si="1"/>
        <v>no</v>
      </c>
    </row>
    <row r="109" spans="8:12" hidden="1">
      <c r="H109" t="s">
        <v>1717</v>
      </c>
      <c r="I109" t="e">
        <v>#N/A</v>
      </c>
      <c r="J109" t="s">
        <v>1717</v>
      </c>
      <c r="K109" t="e">
        <v>#N/A</v>
      </c>
      <c r="L109" t="str">
        <f t="shared" si="1"/>
        <v>no</v>
      </c>
    </row>
    <row r="110" spans="8:12" hidden="1">
      <c r="H110" t="s">
        <v>1717</v>
      </c>
      <c r="I110" t="e">
        <v>#N/A</v>
      </c>
      <c r="J110" t="s">
        <v>1717</v>
      </c>
      <c r="K110" t="e">
        <v>#N/A</v>
      </c>
      <c r="L110" t="str">
        <f t="shared" si="1"/>
        <v>no</v>
      </c>
    </row>
    <row r="111" spans="8:12" hidden="1">
      <c r="H111" t="s">
        <v>1717</v>
      </c>
      <c r="I111" t="e">
        <v>#N/A</v>
      </c>
      <c r="J111" t="s">
        <v>1717</v>
      </c>
      <c r="K111" t="e">
        <v>#N/A</v>
      </c>
      <c r="L111" t="str">
        <f t="shared" si="1"/>
        <v>no</v>
      </c>
    </row>
    <row r="112" spans="8:12" hidden="1">
      <c r="H112" t="s">
        <v>1717</v>
      </c>
      <c r="I112" t="e">
        <v>#N/A</v>
      </c>
      <c r="J112" t="s">
        <v>1717</v>
      </c>
      <c r="K112" t="e">
        <v>#N/A</v>
      </c>
      <c r="L112" t="str">
        <f t="shared" si="1"/>
        <v>no</v>
      </c>
    </row>
    <row r="113" spans="8:12" hidden="1">
      <c r="H113" t="s">
        <v>1717</v>
      </c>
      <c r="I113" t="e">
        <v>#N/A</v>
      </c>
      <c r="J113" t="s">
        <v>1717</v>
      </c>
      <c r="K113" t="e">
        <v>#N/A</v>
      </c>
      <c r="L113" t="str">
        <f t="shared" si="1"/>
        <v>no</v>
      </c>
    </row>
    <row r="114" spans="8:12" hidden="1">
      <c r="H114" t="s">
        <v>1717</v>
      </c>
      <c r="I114" t="e">
        <v>#N/A</v>
      </c>
      <c r="J114" t="s">
        <v>1717</v>
      </c>
      <c r="K114" t="e">
        <v>#N/A</v>
      </c>
      <c r="L114" t="str">
        <f t="shared" si="1"/>
        <v>no</v>
      </c>
    </row>
    <row r="115" spans="8:12" hidden="1">
      <c r="H115" t="s">
        <v>1717</v>
      </c>
      <c r="I115" t="e">
        <v>#N/A</v>
      </c>
      <c r="J115" t="s">
        <v>1717</v>
      </c>
      <c r="K115" t="e">
        <v>#N/A</v>
      </c>
      <c r="L115" t="str">
        <f t="shared" si="1"/>
        <v>no</v>
      </c>
    </row>
    <row r="116" spans="8:12" hidden="1">
      <c r="H116" t="s">
        <v>1717</v>
      </c>
      <c r="I116" t="e">
        <v>#N/A</v>
      </c>
      <c r="J116" t="s">
        <v>1717</v>
      </c>
      <c r="K116" t="e">
        <v>#N/A</v>
      </c>
      <c r="L116" t="str">
        <f t="shared" si="1"/>
        <v>no</v>
      </c>
    </row>
    <row r="117" spans="8:12" hidden="1">
      <c r="H117" t="s">
        <v>1717</v>
      </c>
      <c r="I117" t="e">
        <v>#N/A</v>
      </c>
      <c r="J117" t="s">
        <v>1717</v>
      </c>
      <c r="K117" t="e">
        <v>#N/A</v>
      </c>
      <c r="L117" t="str">
        <f t="shared" si="1"/>
        <v>no</v>
      </c>
    </row>
    <row r="118" spans="8:12" hidden="1">
      <c r="H118" t="s">
        <v>1717</v>
      </c>
      <c r="I118" t="e">
        <v>#N/A</v>
      </c>
      <c r="J118" t="s">
        <v>1717</v>
      </c>
      <c r="K118" t="e">
        <v>#N/A</v>
      </c>
      <c r="L118" t="str">
        <f t="shared" si="1"/>
        <v>no</v>
      </c>
    </row>
    <row r="119" spans="8:12" hidden="1">
      <c r="H119" t="s">
        <v>1717</v>
      </c>
      <c r="I119" t="e">
        <v>#N/A</v>
      </c>
      <c r="J119" t="s">
        <v>1717</v>
      </c>
      <c r="K119" t="e">
        <v>#N/A</v>
      </c>
      <c r="L119" t="str">
        <f t="shared" si="1"/>
        <v>no</v>
      </c>
    </row>
    <row r="120" spans="8:12" hidden="1">
      <c r="H120" t="s">
        <v>1717</v>
      </c>
      <c r="I120" t="e">
        <v>#N/A</v>
      </c>
      <c r="J120" t="s">
        <v>1717</v>
      </c>
      <c r="K120" t="e">
        <v>#N/A</v>
      </c>
      <c r="L120" t="str">
        <f t="shared" si="1"/>
        <v>no</v>
      </c>
    </row>
    <row r="121" spans="8:12" hidden="1">
      <c r="H121" t="s">
        <v>1717</v>
      </c>
      <c r="I121" t="e">
        <v>#N/A</v>
      </c>
      <c r="J121" t="s">
        <v>1717</v>
      </c>
      <c r="K121" t="e">
        <v>#N/A</v>
      </c>
      <c r="L121" t="str">
        <f t="shared" si="1"/>
        <v>no</v>
      </c>
    </row>
    <row r="122" spans="8:12" hidden="1">
      <c r="H122" t="s">
        <v>1717</v>
      </c>
      <c r="I122" t="e">
        <v>#N/A</v>
      </c>
      <c r="J122" t="s">
        <v>1717</v>
      </c>
      <c r="K122" t="e">
        <v>#N/A</v>
      </c>
      <c r="L122" t="str">
        <f t="shared" si="1"/>
        <v>no</v>
      </c>
    </row>
    <row r="123" spans="8:12" hidden="1">
      <c r="H123" t="s">
        <v>1717</v>
      </c>
      <c r="I123" t="e">
        <v>#N/A</v>
      </c>
      <c r="J123" t="s">
        <v>1717</v>
      </c>
      <c r="K123" t="e">
        <v>#N/A</v>
      </c>
      <c r="L123" t="str">
        <f t="shared" si="1"/>
        <v>no</v>
      </c>
    </row>
    <row r="124" spans="8:12" hidden="1">
      <c r="H124" t="s">
        <v>1717</v>
      </c>
      <c r="I124" t="e">
        <v>#N/A</v>
      </c>
      <c r="J124" t="s">
        <v>1717</v>
      </c>
      <c r="K124" t="e">
        <v>#N/A</v>
      </c>
      <c r="L124" t="str">
        <f t="shared" si="1"/>
        <v>no</v>
      </c>
    </row>
    <row r="125" spans="8:12" hidden="1">
      <c r="H125" t="s">
        <v>1717</v>
      </c>
      <c r="I125" t="e">
        <v>#N/A</v>
      </c>
      <c r="J125" t="s">
        <v>1717</v>
      </c>
      <c r="K125" t="e">
        <v>#N/A</v>
      </c>
      <c r="L125" t="str">
        <f t="shared" si="1"/>
        <v>no</v>
      </c>
    </row>
    <row r="126" spans="8:12" hidden="1">
      <c r="H126" t="s">
        <v>1717</v>
      </c>
      <c r="I126" t="e">
        <v>#N/A</v>
      </c>
      <c r="J126" t="s">
        <v>1717</v>
      </c>
      <c r="K126" t="e">
        <v>#N/A</v>
      </c>
      <c r="L126" t="str">
        <f t="shared" si="1"/>
        <v>no</v>
      </c>
    </row>
    <row r="127" spans="8:12" hidden="1">
      <c r="H127" t="s">
        <v>1717</v>
      </c>
      <c r="I127" t="e">
        <v>#N/A</v>
      </c>
      <c r="J127" t="s">
        <v>1717</v>
      </c>
      <c r="K127" t="e">
        <v>#N/A</v>
      </c>
      <c r="L127" t="str">
        <f t="shared" si="1"/>
        <v>no</v>
      </c>
    </row>
    <row r="128" spans="8:12" hidden="1">
      <c r="H128" t="s">
        <v>1717</v>
      </c>
      <c r="I128" t="e">
        <v>#N/A</v>
      </c>
      <c r="J128" t="s">
        <v>1717</v>
      </c>
      <c r="K128" t="e">
        <v>#N/A</v>
      </c>
      <c r="L128" t="str">
        <f t="shared" si="1"/>
        <v>no</v>
      </c>
    </row>
    <row r="129" spans="8:12" hidden="1">
      <c r="H129" t="s">
        <v>1717</v>
      </c>
      <c r="I129" t="e">
        <v>#N/A</v>
      </c>
      <c r="J129" t="s">
        <v>1717</v>
      </c>
      <c r="K129" t="e">
        <v>#N/A</v>
      </c>
      <c r="L129" t="str">
        <f t="shared" si="1"/>
        <v>no</v>
      </c>
    </row>
    <row r="130" spans="8:12" hidden="1">
      <c r="H130" t="s">
        <v>1717</v>
      </c>
      <c r="I130" t="e">
        <v>#N/A</v>
      </c>
      <c r="J130" t="s">
        <v>1717</v>
      </c>
      <c r="K130" t="e">
        <v>#N/A</v>
      </c>
      <c r="L130" t="str">
        <f t="shared" si="1"/>
        <v>no</v>
      </c>
    </row>
    <row r="131" spans="8:12" hidden="1">
      <c r="H131" t="s">
        <v>1717</v>
      </c>
      <c r="I131" t="e">
        <v>#N/A</v>
      </c>
      <c r="J131" t="s">
        <v>1717</v>
      </c>
      <c r="K131" t="e">
        <v>#N/A</v>
      </c>
      <c r="L131" t="str">
        <f t="shared" ref="L131:L142" si="2">IF(COUNTIF(M:M, B131)&gt;0,$M$1,IF(COUNTIF(N:N, B131)&gt;0,$N$1,"no"))</f>
        <v>no</v>
      </c>
    </row>
    <row r="132" spans="8:12" hidden="1">
      <c r="H132" t="s">
        <v>1717</v>
      </c>
      <c r="I132" t="e">
        <v>#N/A</v>
      </c>
      <c r="J132" t="s">
        <v>1717</v>
      </c>
      <c r="K132" t="e">
        <v>#N/A</v>
      </c>
      <c r="L132" t="str">
        <f t="shared" si="2"/>
        <v>no</v>
      </c>
    </row>
    <row r="133" spans="8:12" hidden="1">
      <c r="H133" t="s">
        <v>1717</v>
      </c>
      <c r="I133" t="e">
        <v>#N/A</v>
      </c>
      <c r="J133" t="s">
        <v>1717</v>
      </c>
      <c r="K133" t="e">
        <v>#N/A</v>
      </c>
      <c r="L133" t="str">
        <f t="shared" si="2"/>
        <v>no</v>
      </c>
    </row>
    <row r="134" spans="8:12" hidden="1">
      <c r="H134" t="s">
        <v>1717</v>
      </c>
      <c r="I134" t="e">
        <v>#N/A</v>
      </c>
      <c r="J134" t="s">
        <v>1717</v>
      </c>
      <c r="K134" t="e">
        <v>#N/A</v>
      </c>
      <c r="L134" t="str">
        <f t="shared" si="2"/>
        <v>no</v>
      </c>
    </row>
    <row r="135" spans="8:12" hidden="1">
      <c r="H135" t="s">
        <v>1717</v>
      </c>
      <c r="I135" t="e">
        <v>#N/A</v>
      </c>
      <c r="J135" t="s">
        <v>1717</v>
      </c>
      <c r="K135" t="e">
        <v>#N/A</v>
      </c>
      <c r="L135" t="str">
        <f t="shared" si="2"/>
        <v>no</v>
      </c>
    </row>
    <row r="136" spans="8:12" hidden="1">
      <c r="H136" t="s">
        <v>1717</v>
      </c>
      <c r="I136" t="e">
        <v>#N/A</v>
      </c>
      <c r="J136" t="s">
        <v>1717</v>
      </c>
      <c r="K136" t="e">
        <v>#N/A</v>
      </c>
      <c r="L136" t="str">
        <f t="shared" si="2"/>
        <v>no</v>
      </c>
    </row>
    <row r="137" spans="8:12" hidden="1">
      <c r="H137" t="s">
        <v>1717</v>
      </c>
      <c r="I137" t="e">
        <v>#N/A</v>
      </c>
      <c r="J137" t="s">
        <v>1717</v>
      </c>
      <c r="K137" t="e">
        <v>#N/A</v>
      </c>
      <c r="L137" t="str">
        <f t="shared" si="2"/>
        <v>no</v>
      </c>
    </row>
    <row r="138" spans="8:12" hidden="1">
      <c r="H138" t="s">
        <v>1717</v>
      </c>
      <c r="I138" t="e">
        <v>#N/A</v>
      </c>
      <c r="J138" t="s">
        <v>1717</v>
      </c>
      <c r="K138" t="e">
        <v>#N/A</v>
      </c>
      <c r="L138" t="str">
        <f t="shared" si="2"/>
        <v>no</v>
      </c>
    </row>
    <row r="139" spans="8:12" hidden="1">
      <c r="H139" t="s">
        <v>1717</v>
      </c>
      <c r="I139" t="e">
        <v>#N/A</v>
      </c>
      <c r="J139" t="s">
        <v>1717</v>
      </c>
      <c r="K139" t="e">
        <v>#N/A</v>
      </c>
      <c r="L139" t="str">
        <f t="shared" si="2"/>
        <v>no</v>
      </c>
    </row>
    <row r="140" spans="8:12" hidden="1">
      <c r="H140" t="s">
        <v>1717</v>
      </c>
      <c r="I140" t="e">
        <v>#N/A</v>
      </c>
      <c r="J140" t="s">
        <v>1717</v>
      </c>
      <c r="K140" t="e">
        <v>#N/A</v>
      </c>
      <c r="L140" t="str">
        <f t="shared" si="2"/>
        <v>no</v>
      </c>
    </row>
    <row r="141" spans="8:12" hidden="1">
      <c r="H141" t="s">
        <v>1717</v>
      </c>
      <c r="I141" t="e">
        <v>#N/A</v>
      </c>
      <c r="J141" t="s">
        <v>1717</v>
      </c>
      <c r="K141" t="e">
        <v>#N/A</v>
      </c>
      <c r="L141" t="str">
        <f t="shared" si="2"/>
        <v>no</v>
      </c>
    </row>
    <row r="142" spans="8:12" hidden="1">
      <c r="H142" t="s">
        <v>1717</v>
      </c>
      <c r="I142" t="e">
        <v>#N/A</v>
      </c>
      <c r="J142" t="s">
        <v>1717</v>
      </c>
      <c r="K142" t="e">
        <v>#N/A</v>
      </c>
      <c r="L142" t="str">
        <f t="shared" si="2"/>
        <v>no</v>
      </c>
    </row>
  </sheetData>
  <autoFilter ref="A1:N142" xr:uid="{B26C63EB-E477-D94E-9C43-79FBA57479F8}">
    <filterColumn colId="4">
      <filters blank="1">
        <filter val="no"/>
      </filters>
    </filterColumn>
    <filterColumn colId="11">
      <filters>
        <filter val="segmented videos list"/>
      </filters>
    </filterColumn>
  </autoFilter>
  <phoneticPr fontId="1" type="noConversion"/>
  <conditionalFormatting sqref="E1:E1048576">
    <cfRule type="cellIs" dxfId="92" priority="4" operator="equal">
      <formula>"no"</formula>
    </cfRule>
    <cfRule type="cellIs" dxfId="91" priority="5" operator="equal">
      <formula>"yes"</formula>
    </cfRule>
  </conditionalFormatting>
  <conditionalFormatting sqref="F2:F142">
    <cfRule type="expression" dxfId="90" priority="3">
      <formula>F2&lt;&gt;E2</formula>
    </cfRule>
  </conditionalFormatting>
  <conditionalFormatting sqref="H2:H142">
    <cfRule type="expression" dxfId="89" priority="2" stopIfTrue="1">
      <formula>H2&lt;&gt;E2</formula>
    </cfRule>
  </conditionalFormatting>
  <conditionalFormatting sqref="J2:J142">
    <cfRule type="expression" dxfId="88" priority="1">
      <formula>J2&lt;&gt;E2</formula>
    </cfRule>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75068-81D0-1446-9077-1E5987C91C85}">
  <sheetPr filterMode="1"/>
  <dimension ref="A1:N142"/>
  <sheetViews>
    <sheetView topLeftCell="B1" workbookViewId="0">
      <selection activeCell="F13" sqref="F13"/>
    </sheetView>
  </sheetViews>
  <sheetFormatPr baseColWidth="10" defaultRowHeight="15"/>
  <cols>
    <col min="5" max="5" width="11.33203125" customWidth="1"/>
    <col min="12" max="12" width="14.33203125" customWidth="1"/>
  </cols>
  <sheetData>
    <row r="1" spans="1:14">
      <c r="A1" t="s">
        <v>88</v>
      </c>
      <c r="B1" t="s">
        <v>0</v>
      </c>
      <c r="C1" s="2" t="s">
        <v>202</v>
      </c>
      <c r="D1" t="s">
        <v>6</v>
      </c>
      <c r="E1" t="s">
        <v>1</v>
      </c>
      <c r="F1" t="s">
        <v>2058</v>
      </c>
      <c r="G1" t="s">
        <v>2060</v>
      </c>
      <c r="H1" t="s">
        <v>2060</v>
      </c>
      <c r="I1" t="s">
        <v>2060</v>
      </c>
      <c r="J1" t="s">
        <v>2059</v>
      </c>
      <c r="K1" t="s">
        <v>2060</v>
      </c>
      <c r="L1" t="s">
        <v>1067</v>
      </c>
      <c r="M1" t="s">
        <v>1192</v>
      </c>
      <c r="N1" t="s">
        <v>1105</v>
      </c>
    </row>
    <row r="2" spans="1:14" ht="19">
      <c r="A2">
        <v>1</v>
      </c>
      <c r="B2" s="1" t="s">
        <v>356</v>
      </c>
      <c r="E2" t="s">
        <v>390</v>
      </c>
      <c r="F2" t="s">
        <v>201</v>
      </c>
      <c r="G2" t="s">
        <v>2211</v>
      </c>
      <c r="H2" t="s">
        <v>201</v>
      </c>
      <c r="I2" t="s">
        <v>2355</v>
      </c>
      <c r="J2" t="s">
        <v>192</v>
      </c>
      <c r="K2" t="s">
        <v>2501</v>
      </c>
      <c r="L2" t="str">
        <f>IF(COUNTIF(M:M, B2)&gt;0,$M$1,IF(COUNTIF(N:N, B2)&gt;0,$N$1,"no"))</f>
        <v>segmented videos list</v>
      </c>
      <c r="M2" s="1"/>
      <c r="N2" s="1" t="s">
        <v>370</v>
      </c>
    </row>
    <row r="3" spans="1:14" ht="19">
      <c r="A3">
        <v>2</v>
      </c>
      <c r="B3" s="1" t="s">
        <v>357</v>
      </c>
      <c r="E3" t="s">
        <v>390</v>
      </c>
      <c r="F3" t="s">
        <v>192</v>
      </c>
      <c r="G3" t="s">
        <v>2191</v>
      </c>
      <c r="H3" t="s">
        <v>201</v>
      </c>
      <c r="I3" t="s">
        <v>2347</v>
      </c>
      <c r="J3" t="s">
        <v>201</v>
      </c>
      <c r="K3" t="s">
        <v>2492</v>
      </c>
      <c r="L3" t="str">
        <f t="shared" ref="L3:L66" si="0">IF(COUNTIF(M:M, B3)&gt;0,$M$1,IF(COUNTIF(N:N, B3)&gt;0,$N$1,"no"))</f>
        <v>segmented videos list</v>
      </c>
      <c r="M3" s="1"/>
      <c r="N3" s="1" t="s">
        <v>385</v>
      </c>
    </row>
    <row r="4" spans="1:14" ht="19">
      <c r="A4">
        <v>3</v>
      </c>
      <c r="B4" s="1" t="s">
        <v>358</v>
      </c>
      <c r="E4" t="s">
        <v>390</v>
      </c>
      <c r="F4" t="s">
        <v>201</v>
      </c>
      <c r="G4" t="s">
        <v>2195</v>
      </c>
      <c r="H4" t="s">
        <v>201</v>
      </c>
      <c r="I4" t="s">
        <v>2351</v>
      </c>
      <c r="J4" t="s">
        <v>201</v>
      </c>
      <c r="K4" t="s">
        <v>2496</v>
      </c>
      <c r="L4" t="str">
        <f t="shared" si="0"/>
        <v>segmented videos list</v>
      </c>
      <c r="M4" s="1"/>
      <c r="N4" s="1" t="s">
        <v>361</v>
      </c>
    </row>
    <row r="5" spans="1:14" ht="19" hidden="1">
      <c r="A5">
        <v>4</v>
      </c>
      <c r="B5" s="1" t="s">
        <v>359</v>
      </c>
      <c r="E5" t="s">
        <v>390</v>
      </c>
      <c r="F5" t="s">
        <v>1717</v>
      </c>
      <c r="G5" t="e">
        <v>#N/A</v>
      </c>
      <c r="H5" t="s">
        <v>1717</v>
      </c>
      <c r="I5" t="e">
        <v>#N/A</v>
      </c>
      <c r="J5" t="s">
        <v>1717</v>
      </c>
      <c r="K5" t="e">
        <v>#N/A</v>
      </c>
      <c r="L5" t="str">
        <f t="shared" si="0"/>
        <v>no</v>
      </c>
      <c r="M5" s="1"/>
      <c r="N5" s="1" t="s">
        <v>371</v>
      </c>
    </row>
    <row r="6" spans="1:14" ht="19">
      <c r="A6">
        <v>5</v>
      </c>
      <c r="B6" s="1" t="s">
        <v>360</v>
      </c>
      <c r="E6" t="s">
        <v>390</v>
      </c>
      <c r="F6" t="s">
        <v>201</v>
      </c>
      <c r="G6" t="s">
        <v>2202</v>
      </c>
      <c r="H6" t="s">
        <v>201</v>
      </c>
      <c r="I6" t="s">
        <v>2361</v>
      </c>
      <c r="J6" t="s">
        <v>201</v>
      </c>
      <c r="K6" t="s">
        <v>2509</v>
      </c>
      <c r="L6" t="str">
        <f t="shared" si="0"/>
        <v>segmented videos list</v>
      </c>
      <c r="M6" s="1"/>
      <c r="N6" s="1" t="s">
        <v>386</v>
      </c>
    </row>
    <row r="7" spans="1:14" ht="19">
      <c r="A7">
        <v>6</v>
      </c>
      <c r="B7" s="1" t="s">
        <v>361</v>
      </c>
      <c r="E7" t="s">
        <v>390</v>
      </c>
      <c r="F7" t="s">
        <v>201</v>
      </c>
      <c r="G7" t="s">
        <v>2206</v>
      </c>
      <c r="H7" t="s">
        <v>201</v>
      </c>
      <c r="I7" t="s">
        <v>2364</v>
      </c>
      <c r="J7" t="s">
        <v>201</v>
      </c>
      <c r="K7" t="s">
        <v>2477</v>
      </c>
      <c r="L7" t="str">
        <f t="shared" si="0"/>
        <v>segmented videos list</v>
      </c>
      <c r="M7" s="1"/>
      <c r="N7" s="1" t="s">
        <v>364</v>
      </c>
    </row>
    <row r="8" spans="1:14" ht="19" hidden="1">
      <c r="A8">
        <v>7</v>
      </c>
      <c r="B8" s="1" t="s">
        <v>362</v>
      </c>
      <c r="E8" t="s">
        <v>390</v>
      </c>
      <c r="F8" t="s">
        <v>1717</v>
      </c>
      <c r="G8" t="e">
        <v>#N/A</v>
      </c>
      <c r="H8" t="s">
        <v>1717</v>
      </c>
      <c r="I8" t="e">
        <v>#N/A</v>
      </c>
      <c r="J8" t="s">
        <v>1717</v>
      </c>
      <c r="K8" t="e">
        <v>#N/A</v>
      </c>
      <c r="L8" t="str">
        <f t="shared" si="0"/>
        <v>no</v>
      </c>
      <c r="M8" s="1"/>
      <c r="N8" s="1" t="s">
        <v>372</v>
      </c>
    </row>
    <row r="9" spans="1:14" ht="19" hidden="1">
      <c r="A9">
        <v>8</v>
      </c>
      <c r="B9" s="1" t="s">
        <v>363</v>
      </c>
      <c r="E9" t="s">
        <v>390</v>
      </c>
      <c r="F9" t="s">
        <v>1717</v>
      </c>
      <c r="G9" t="e">
        <v>#N/A</v>
      </c>
      <c r="H9" t="s">
        <v>1717</v>
      </c>
      <c r="I9" t="e">
        <v>#N/A</v>
      </c>
      <c r="J9" t="s">
        <v>1717</v>
      </c>
      <c r="K9" t="e">
        <v>#N/A</v>
      </c>
      <c r="L9" t="str">
        <f t="shared" si="0"/>
        <v>no</v>
      </c>
      <c r="M9" s="1"/>
      <c r="N9" s="1" t="s">
        <v>387</v>
      </c>
    </row>
    <row r="10" spans="1:14" ht="19">
      <c r="A10">
        <v>9</v>
      </c>
      <c r="B10" s="1" t="s">
        <v>364</v>
      </c>
      <c r="E10" t="s">
        <v>390</v>
      </c>
      <c r="F10" t="s">
        <v>201</v>
      </c>
      <c r="G10" t="s">
        <v>2200</v>
      </c>
      <c r="H10" t="s">
        <v>201</v>
      </c>
      <c r="I10" t="s">
        <v>2359</v>
      </c>
      <c r="J10" t="s">
        <v>201</v>
      </c>
      <c r="K10" t="s">
        <v>2507</v>
      </c>
      <c r="L10" t="str">
        <f t="shared" si="0"/>
        <v>segmented videos list</v>
      </c>
      <c r="M10" s="1"/>
      <c r="N10" s="1" t="s">
        <v>365</v>
      </c>
    </row>
    <row r="11" spans="1:14" ht="19">
      <c r="A11">
        <v>10</v>
      </c>
      <c r="B11" s="1" t="s">
        <v>365</v>
      </c>
      <c r="E11" t="s">
        <v>390</v>
      </c>
      <c r="F11" t="s">
        <v>201</v>
      </c>
      <c r="G11" t="s">
        <v>2204</v>
      </c>
      <c r="H11" t="s">
        <v>201</v>
      </c>
      <c r="I11" t="s">
        <v>2362</v>
      </c>
      <c r="J11" t="s">
        <v>201</v>
      </c>
      <c r="K11" t="s">
        <v>2511</v>
      </c>
      <c r="L11" t="str">
        <f t="shared" si="0"/>
        <v>segmented videos list</v>
      </c>
      <c r="M11" s="1"/>
      <c r="N11" s="1" t="s">
        <v>373</v>
      </c>
    </row>
    <row r="12" spans="1:14" ht="19">
      <c r="A12">
        <v>11</v>
      </c>
      <c r="B12" s="1" t="s">
        <v>366</v>
      </c>
      <c r="E12" t="s">
        <v>390</v>
      </c>
      <c r="F12" t="s">
        <v>201</v>
      </c>
      <c r="G12" t="s">
        <v>2201</v>
      </c>
      <c r="H12" t="s">
        <v>201</v>
      </c>
      <c r="I12" t="s">
        <v>2360</v>
      </c>
      <c r="J12" t="s">
        <v>201</v>
      </c>
      <c r="K12" t="s">
        <v>2508</v>
      </c>
      <c r="L12" t="str">
        <f t="shared" si="0"/>
        <v>segmented videos list</v>
      </c>
      <c r="M12" s="1"/>
      <c r="N12" s="1" t="s">
        <v>388</v>
      </c>
    </row>
    <row r="13" spans="1:14" ht="19">
      <c r="A13">
        <v>12</v>
      </c>
      <c r="B13" s="1" t="s">
        <v>367</v>
      </c>
      <c r="E13" t="s">
        <v>390</v>
      </c>
      <c r="F13" t="s">
        <v>192</v>
      </c>
      <c r="G13" t="s">
        <v>2208</v>
      </c>
      <c r="H13" t="s">
        <v>192</v>
      </c>
      <c r="I13" t="s">
        <v>2352</v>
      </c>
      <c r="J13" t="s">
        <v>192</v>
      </c>
      <c r="K13" t="s">
        <v>2498</v>
      </c>
      <c r="L13" t="str">
        <f t="shared" si="0"/>
        <v>segmented videos list</v>
      </c>
      <c r="M13" s="1"/>
      <c r="N13" s="1" t="s">
        <v>366</v>
      </c>
    </row>
    <row r="14" spans="1:14" ht="19" hidden="1">
      <c r="A14">
        <v>13</v>
      </c>
      <c r="B14" s="1" t="s">
        <v>368</v>
      </c>
      <c r="E14" t="s">
        <v>390</v>
      </c>
      <c r="F14" t="s">
        <v>1717</v>
      </c>
      <c r="G14" t="e">
        <v>#N/A</v>
      </c>
      <c r="H14" t="s">
        <v>1717</v>
      </c>
      <c r="I14" t="e">
        <v>#N/A</v>
      </c>
      <c r="J14" t="s">
        <v>1717</v>
      </c>
      <c r="K14" t="e">
        <v>#N/A</v>
      </c>
      <c r="L14" t="str">
        <f t="shared" si="0"/>
        <v>no</v>
      </c>
      <c r="M14" s="1"/>
      <c r="N14" s="1" t="s">
        <v>379</v>
      </c>
    </row>
    <row r="15" spans="1:14" ht="19">
      <c r="A15">
        <v>14</v>
      </c>
      <c r="B15" s="1" t="s">
        <v>369</v>
      </c>
      <c r="E15" t="s">
        <v>390</v>
      </c>
      <c r="F15" t="s">
        <v>192</v>
      </c>
      <c r="G15" t="s">
        <v>2212</v>
      </c>
      <c r="H15" t="s">
        <v>192</v>
      </c>
      <c r="I15" t="s">
        <v>2356</v>
      </c>
      <c r="J15" t="s">
        <v>192</v>
      </c>
      <c r="K15" t="s">
        <v>2502</v>
      </c>
      <c r="L15" t="str">
        <f t="shared" si="0"/>
        <v>segmented videos list</v>
      </c>
      <c r="M15" s="1"/>
      <c r="N15" s="1" t="s">
        <v>389</v>
      </c>
    </row>
    <row r="16" spans="1:14" ht="19">
      <c r="A16">
        <v>15</v>
      </c>
      <c r="B16" s="1" t="s">
        <v>370</v>
      </c>
      <c r="E16" t="s">
        <v>390</v>
      </c>
      <c r="F16" t="s">
        <v>201</v>
      </c>
      <c r="G16" t="s">
        <v>2192</v>
      </c>
      <c r="H16" t="s">
        <v>201</v>
      </c>
      <c r="I16" t="s">
        <v>2348</v>
      </c>
      <c r="J16" t="s">
        <v>201</v>
      </c>
      <c r="K16" t="s">
        <v>2493</v>
      </c>
      <c r="L16" t="str">
        <f t="shared" si="0"/>
        <v>segmented videos list</v>
      </c>
      <c r="M16" s="1"/>
      <c r="N16" s="1" t="s">
        <v>367</v>
      </c>
    </row>
    <row r="17" spans="1:14" ht="19">
      <c r="A17">
        <v>16</v>
      </c>
      <c r="B17" s="1" t="s">
        <v>371</v>
      </c>
      <c r="E17" t="s">
        <v>390</v>
      </c>
      <c r="F17" t="s">
        <v>201</v>
      </c>
      <c r="G17" t="s">
        <v>2199</v>
      </c>
      <c r="H17" t="s">
        <v>201</v>
      </c>
      <c r="I17" t="s">
        <v>2358</v>
      </c>
      <c r="J17" t="s">
        <v>201</v>
      </c>
      <c r="K17" t="s">
        <v>2506</v>
      </c>
      <c r="L17" t="str">
        <f t="shared" si="0"/>
        <v>segmented videos list</v>
      </c>
      <c r="M17" s="1"/>
      <c r="N17" s="1" t="s">
        <v>380</v>
      </c>
    </row>
    <row r="18" spans="1:14" ht="19">
      <c r="A18">
        <v>17</v>
      </c>
      <c r="B18" s="1" t="s">
        <v>372</v>
      </c>
      <c r="E18" t="s">
        <v>390</v>
      </c>
      <c r="F18" t="s">
        <v>201</v>
      </c>
      <c r="G18" t="s">
        <v>2210</v>
      </c>
      <c r="H18" t="s">
        <v>201</v>
      </c>
      <c r="I18" t="s">
        <v>2354</v>
      </c>
      <c r="J18" t="s">
        <v>201</v>
      </c>
      <c r="K18" t="s">
        <v>2500</v>
      </c>
      <c r="L18" t="str">
        <f t="shared" si="0"/>
        <v>segmented videos list</v>
      </c>
      <c r="M18" s="1"/>
      <c r="N18" s="1" t="s">
        <v>356</v>
      </c>
    </row>
    <row r="19" spans="1:14" ht="19">
      <c r="A19">
        <v>18</v>
      </c>
      <c r="B19" s="1" t="s">
        <v>373</v>
      </c>
      <c r="E19" t="s">
        <v>390</v>
      </c>
      <c r="F19" t="s">
        <v>192</v>
      </c>
      <c r="G19" t="s">
        <v>2207</v>
      </c>
      <c r="H19" t="s">
        <v>192</v>
      </c>
      <c r="I19" t="s">
        <v>2365</v>
      </c>
      <c r="J19" t="s">
        <v>192</v>
      </c>
      <c r="K19" t="s">
        <v>2512</v>
      </c>
      <c r="L19" t="str">
        <f t="shared" si="0"/>
        <v>segmented videos list</v>
      </c>
      <c r="M19" s="1"/>
      <c r="N19" s="1" t="s">
        <v>369</v>
      </c>
    </row>
    <row r="20" spans="1:14" ht="19" hidden="1">
      <c r="A20">
        <v>19</v>
      </c>
      <c r="B20" s="1" t="s">
        <v>374</v>
      </c>
      <c r="E20" t="s">
        <v>390</v>
      </c>
      <c r="F20" t="s">
        <v>1717</v>
      </c>
      <c r="G20" t="e">
        <v>#N/A</v>
      </c>
      <c r="H20" t="s">
        <v>1717</v>
      </c>
      <c r="I20" t="e">
        <v>#N/A</v>
      </c>
      <c r="J20" t="s">
        <v>1717</v>
      </c>
      <c r="K20" t="e">
        <v>#N/A</v>
      </c>
      <c r="L20" t="str">
        <f t="shared" si="0"/>
        <v>no</v>
      </c>
      <c r="M20" s="1"/>
      <c r="N20" s="1" t="s">
        <v>381</v>
      </c>
    </row>
    <row r="21" spans="1:14" ht="19" hidden="1">
      <c r="A21">
        <v>20</v>
      </c>
      <c r="B21" s="1" t="s">
        <v>375</v>
      </c>
      <c r="E21" t="s">
        <v>390</v>
      </c>
      <c r="F21" t="s">
        <v>1717</v>
      </c>
      <c r="G21" t="e">
        <v>#N/A</v>
      </c>
      <c r="H21" t="s">
        <v>1717</v>
      </c>
      <c r="I21" t="e">
        <v>#N/A</v>
      </c>
      <c r="J21" t="s">
        <v>1717</v>
      </c>
      <c r="K21" t="e">
        <v>#N/A</v>
      </c>
      <c r="L21" t="str">
        <f t="shared" si="0"/>
        <v>no</v>
      </c>
      <c r="M21" s="1"/>
      <c r="N21" s="1" t="s">
        <v>357</v>
      </c>
    </row>
    <row r="22" spans="1:14" ht="19" hidden="1">
      <c r="A22">
        <v>21</v>
      </c>
      <c r="B22" s="1" t="s">
        <v>376</v>
      </c>
      <c r="E22" t="s">
        <v>390</v>
      </c>
      <c r="F22" t="s">
        <v>1717</v>
      </c>
      <c r="G22" t="e">
        <v>#N/A</v>
      </c>
      <c r="H22" t="s">
        <v>1717</v>
      </c>
      <c r="I22" t="e">
        <v>#N/A</v>
      </c>
      <c r="J22" t="s">
        <v>1717</v>
      </c>
      <c r="K22" t="e">
        <v>#N/A</v>
      </c>
      <c r="L22" t="str">
        <f t="shared" si="0"/>
        <v>no</v>
      </c>
      <c r="M22" s="1"/>
      <c r="N22" s="1" t="s">
        <v>1292</v>
      </c>
    </row>
    <row r="23" spans="1:14" ht="19" hidden="1">
      <c r="A23">
        <v>22</v>
      </c>
      <c r="B23" s="1" t="s">
        <v>377</v>
      </c>
      <c r="E23" t="s">
        <v>390</v>
      </c>
      <c r="F23" t="s">
        <v>1717</v>
      </c>
      <c r="G23" t="e">
        <v>#N/A</v>
      </c>
      <c r="H23" t="s">
        <v>1717</v>
      </c>
      <c r="I23" t="e">
        <v>#N/A</v>
      </c>
      <c r="J23" t="s">
        <v>1717</v>
      </c>
      <c r="K23" t="e">
        <v>#N/A</v>
      </c>
      <c r="L23" t="str">
        <f t="shared" si="0"/>
        <v>no</v>
      </c>
      <c r="M23" s="1"/>
      <c r="N23" s="1" t="s">
        <v>382</v>
      </c>
    </row>
    <row r="24" spans="1:14" ht="19" hidden="1">
      <c r="A24">
        <v>23</v>
      </c>
      <c r="B24" s="1" t="s">
        <v>378</v>
      </c>
      <c r="E24" t="s">
        <v>390</v>
      </c>
      <c r="F24" t="s">
        <v>1717</v>
      </c>
      <c r="G24" t="e">
        <v>#N/A</v>
      </c>
      <c r="H24" t="s">
        <v>1717</v>
      </c>
      <c r="I24" t="e">
        <v>#N/A</v>
      </c>
      <c r="J24" t="s">
        <v>1717</v>
      </c>
      <c r="K24" t="e">
        <v>#N/A</v>
      </c>
      <c r="L24" t="str">
        <f t="shared" si="0"/>
        <v>no</v>
      </c>
      <c r="M24" s="1"/>
      <c r="N24" s="1" t="s">
        <v>358</v>
      </c>
    </row>
    <row r="25" spans="1:14" ht="19">
      <c r="A25">
        <v>24</v>
      </c>
      <c r="B25" s="1" t="s">
        <v>379</v>
      </c>
      <c r="E25" t="s">
        <v>390</v>
      </c>
      <c r="F25" t="s">
        <v>201</v>
      </c>
      <c r="G25" t="s">
        <v>2161</v>
      </c>
      <c r="H25" t="s">
        <v>201</v>
      </c>
      <c r="I25" t="s">
        <v>2325</v>
      </c>
      <c r="J25" t="s">
        <v>201</v>
      </c>
      <c r="K25" t="s">
        <v>2206</v>
      </c>
      <c r="L25" t="str">
        <f t="shared" si="0"/>
        <v>segmented videos list</v>
      </c>
      <c r="M25" s="1"/>
      <c r="N25" s="1" t="s">
        <v>384</v>
      </c>
    </row>
    <row r="26" spans="1:14" ht="19">
      <c r="A26">
        <v>25</v>
      </c>
      <c r="B26" s="1" t="s">
        <v>380</v>
      </c>
      <c r="E26" t="s">
        <v>390</v>
      </c>
      <c r="F26" t="s">
        <v>201</v>
      </c>
      <c r="G26" t="s">
        <v>2198</v>
      </c>
      <c r="H26" t="s">
        <v>201</v>
      </c>
      <c r="I26" t="s">
        <v>2357</v>
      </c>
      <c r="J26" t="s">
        <v>201</v>
      </c>
      <c r="K26" t="s">
        <v>2505</v>
      </c>
      <c r="L26" t="str">
        <f t="shared" si="0"/>
        <v>segmented videos list</v>
      </c>
      <c r="M26" s="1"/>
      <c r="N26" s="1" t="s">
        <v>360</v>
      </c>
    </row>
    <row r="27" spans="1:14" ht="19">
      <c r="A27">
        <v>26</v>
      </c>
      <c r="B27" s="1" t="s">
        <v>381</v>
      </c>
      <c r="E27" t="s">
        <v>390</v>
      </c>
      <c r="F27" t="s">
        <v>201</v>
      </c>
      <c r="G27" t="s">
        <v>2193</v>
      </c>
      <c r="H27" t="s">
        <v>201</v>
      </c>
      <c r="I27" t="s">
        <v>2349</v>
      </c>
      <c r="J27" t="s">
        <v>201</v>
      </c>
      <c r="K27" t="s">
        <v>2494</v>
      </c>
      <c r="L27" t="str">
        <f t="shared" si="0"/>
        <v>segmented videos list</v>
      </c>
      <c r="M27" s="1"/>
      <c r="N27" s="1"/>
    </row>
    <row r="28" spans="1:14" ht="19">
      <c r="A28">
        <v>27</v>
      </c>
      <c r="B28" s="1" t="s">
        <v>382</v>
      </c>
      <c r="E28" t="s">
        <v>390</v>
      </c>
      <c r="F28" t="s">
        <v>201</v>
      </c>
      <c r="G28" t="s">
        <v>2213</v>
      </c>
      <c r="H28" t="s">
        <v>201</v>
      </c>
      <c r="I28" t="s">
        <v>2131</v>
      </c>
      <c r="J28" t="s">
        <v>201</v>
      </c>
      <c r="K28" t="s">
        <v>2503</v>
      </c>
      <c r="L28" t="str">
        <f t="shared" si="0"/>
        <v>segmented videos list</v>
      </c>
      <c r="M28" s="1"/>
      <c r="N28" s="1"/>
    </row>
    <row r="29" spans="1:14" ht="19" hidden="1">
      <c r="A29">
        <v>28</v>
      </c>
      <c r="B29" s="1" t="s">
        <v>383</v>
      </c>
      <c r="E29" t="s">
        <v>390</v>
      </c>
      <c r="F29" t="s">
        <v>1717</v>
      </c>
      <c r="G29" t="e">
        <v>#N/A</v>
      </c>
      <c r="H29" t="s">
        <v>1717</v>
      </c>
      <c r="I29" t="e">
        <v>#N/A</v>
      </c>
      <c r="J29" t="s">
        <v>1717</v>
      </c>
      <c r="K29" t="e">
        <v>#N/A</v>
      </c>
      <c r="L29" t="str">
        <f t="shared" si="0"/>
        <v>no</v>
      </c>
      <c r="M29" s="1"/>
      <c r="N29" s="1"/>
    </row>
    <row r="30" spans="1:14" ht="19">
      <c r="A30">
        <v>29</v>
      </c>
      <c r="B30" s="1" t="s">
        <v>384</v>
      </c>
      <c r="E30" t="s">
        <v>390</v>
      </c>
      <c r="F30" t="s">
        <v>201</v>
      </c>
      <c r="G30" t="s">
        <v>2203</v>
      </c>
      <c r="H30" t="s">
        <v>201</v>
      </c>
      <c r="I30" t="s">
        <v>2366</v>
      </c>
      <c r="J30" t="s">
        <v>201</v>
      </c>
      <c r="K30" t="s">
        <v>2510</v>
      </c>
      <c r="L30" t="str">
        <f t="shared" si="0"/>
        <v>segmented videos list</v>
      </c>
      <c r="M30" s="1"/>
      <c r="N30" s="1"/>
    </row>
    <row r="31" spans="1:14" ht="19">
      <c r="A31">
        <v>30</v>
      </c>
      <c r="B31" s="1" t="s">
        <v>385</v>
      </c>
      <c r="E31" t="s">
        <v>390</v>
      </c>
      <c r="F31" t="s">
        <v>201</v>
      </c>
      <c r="G31" t="s">
        <v>2205</v>
      </c>
      <c r="H31" t="s">
        <v>201</v>
      </c>
      <c r="I31" t="s">
        <v>2363</v>
      </c>
      <c r="J31" t="s">
        <v>201</v>
      </c>
      <c r="K31" t="s">
        <v>2497</v>
      </c>
      <c r="L31" t="str">
        <f t="shared" si="0"/>
        <v>segmented videos list</v>
      </c>
      <c r="M31" s="1"/>
      <c r="N31" s="1"/>
    </row>
    <row r="32" spans="1:14" ht="19">
      <c r="A32">
        <v>31</v>
      </c>
      <c r="B32" s="1" t="s">
        <v>386</v>
      </c>
      <c r="E32" t="s">
        <v>390</v>
      </c>
      <c r="F32" t="s">
        <v>192</v>
      </c>
      <c r="G32" t="s">
        <v>2209</v>
      </c>
      <c r="H32" t="s">
        <v>192</v>
      </c>
      <c r="I32" t="s">
        <v>2353</v>
      </c>
      <c r="J32" t="s">
        <v>192</v>
      </c>
      <c r="K32" t="s">
        <v>2499</v>
      </c>
      <c r="L32" t="str">
        <f t="shared" si="0"/>
        <v>segmented videos list</v>
      </c>
      <c r="M32" s="1"/>
      <c r="N32" s="1"/>
    </row>
    <row r="33" spans="1:14" ht="19">
      <c r="A33">
        <v>32</v>
      </c>
      <c r="B33" s="1" t="s">
        <v>387</v>
      </c>
      <c r="E33" t="s">
        <v>390</v>
      </c>
      <c r="F33" t="s">
        <v>201</v>
      </c>
      <c r="G33" t="s">
        <v>2196</v>
      </c>
      <c r="H33" t="s">
        <v>201</v>
      </c>
      <c r="I33" t="s">
        <v>2185</v>
      </c>
      <c r="J33" t="s">
        <v>201</v>
      </c>
      <c r="K33" t="s">
        <v>2206</v>
      </c>
      <c r="L33" t="str">
        <f t="shared" si="0"/>
        <v>segmented videos list</v>
      </c>
      <c r="M33" s="1"/>
      <c r="N33" s="1"/>
    </row>
    <row r="34" spans="1:14" ht="19">
      <c r="A34">
        <v>33</v>
      </c>
      <c r="B34" s="1" t="s">
        <v>388</v>
      </c>
      <c r="E34" t="s">
        <v>390</v>
      </c>
      <c r="F34" t="s">
        <v>201</v>
      </c>
      <c r="G34" t="s">
        <v>2197</v>
      </c>
      <c r="H34" t="s">
        <v>201</v>
      </c>
      <c r="I34" t="s">
        <v>2082</v>
      </c>
      <c r="J34" t="s">
        <v>201</v>
      </c>
      <c r="K34" t="s">
        <v>2504</v>
      </c>
      <c r="L34" t="str">
        <f t="shared" si="0"/>
        <v>segmented videos list</v>
      </c>
      <c r="M34" s="1"/>
      <c r="N34" s="1"/>
    </row>
    <row r="35" spans="1:14" ht="19">
      <c r="A35">
        <v>34</v>
      </c>
      <c r="B35" s="1" t="s">
        <v>389</v>
      </c>
      <c r="E35" t="s">
        <v>390</v>
      </c>
      <c r="F35" t="s">
        <v>201</v>
      </c>
      <c r="G35" t="s">
        <v>2194</v>
      </c>
      <c r="H35" t="s">
        <v>201</v>
      </c>
      <c r="I35" t="s">
        <v>2350</v>
      </c>
      <c r="J35" t="s">
        <v>201</v>
      </c>
      <c r="K35" t="s">
        <v>2495</v>
      </c>
      <c r="L35" t="str">
        <f t="shared" si="0"/>
        <v>segmented videos list</v>
      </c>
      <c r="M35" s="1"/>
      <c r="N35" s="1"/>
    </row>
    <row r="36" spans="1:14" ht="19" hidden="1">
      <c r="B36" s="1"/>
      <c r="H36" t="s">
        <v>1717</v>
      </c>
      <c r="I36" t="e">
        <v>#N/A</v>
      </c>
      <c r="J36" t="s">
        <v>1717</v>
      </c>
      <c r="K36" t="e">
        <v>#N/A</v>
      </c>
      <c r="L36" t="str">
        <f t="shared" si="0"/>
        <v>no</v>
      </c>
      <c r="M36" s="1"/>
      <c r="N36" s="1"/>
    </row>
    <row r="37" spans="1:14" ht="19" hidden="1">
      <c r="B37" s="1"/>
      <c r="H37" t="s">
        <v>1717</v>
      </c>
      <c r="I37" t="e">
        <v>#N/A</v>
      </c>
      <c r="J37" t="s">
        <v>1717</v>
      </c>
      <c r="K37" t="e">
        <v>#N/A</v>
      </c>
      <c r="L37" t="str">
        <f t="shared" si="0"/>
        <v>no</v>
      </c>
      <c r="M37" s="1"/>
      <c r="N37" s="1"/>
    </row>
    <row r="38" spans="1:14" ht="19" hidden="1">
      <c r="B38" s="1"/>
      <c r="H38" t="s">
        <v>1717</v>
      </c>
      <c r="I38" t="e">
        <v>#N/A</v>
      </c>
      <c r="J38" t="s">
        <v>1717</v>
      </c>
      <c r="K38" t="e">
        <v>#N/A</v>
      </c>
      <c r="L38" t="str">
        <f t="shared" si="0"/>
        <v>no</v>
      </c>
      <c r="M38" s="1"/>
      <c r="N38" s="1"/>
    </row>
    <row r="39" spans="1:14" ht="19" hidden="1">
      <c r="B39" s="1"/>
      <c r="H39" t="s">
        <v>1717</v>
      </c>
      <c r="I39" t="e">
        <v>#N/A</v>
      </c>
      <c r="J39" t="s">
        <v>1717</v>
      </c>
      <c r="K39" t="e">
        <v>#N/A</v>
      </c>
      <c r="L39" t="str">
        <f t="shared" si="0"/>
        <v>no</v>
      </c>
      <c r="M39" s="1"/>
      <c r="N39" s="1"/>
    </row>
    <row r="40" spans="1:14" ht="19" hidden="1">
      <c r="B40" s="1"/>
      <c r="H40" t="s">
        <v>1717</v>
      </c>
      <c r="I40" t="e">
        <v>#N/A</v>
      </c>
      <c r="J40" t="s">
        <v>1717</v>
      </c>
      <c r="K40" t="e">
        <v>#N/A</v>
      </c>
      <c r="L40" t="str">
        <f t="shared" si="0"/>
        <v>no</v>
      </c>
      <c r="M40" s="1"/>
      <c r="N40" s="1"/>
    </row>
    <row r="41" spans="1:14" ht="19" hidden="1">
      <c r="B41" s="1"/>
      <c r="H41" t="s">
        <v>1717</v>
      </c>
      <c r="I41" t="e">
        <v>#N/A</v>
      </c>
      <c r="J41" t="s">
        <v>1717</v>
      </c>
      <c r="K41" t="e">
        <v>#N/A</v>
      </c>
      <c r="L41" t="str">
        <f t="shared" si="0"/>
        <v>no</v>
      </c>
      <c r="M41" s="1"/>
      <c r="N41" s="1"/>
    </row>
    <row r="42" spans="1:14" ht="19" hidden="1">
      <c r="B42" s="1"/>
      <c r="H42" t="s">
        <v>1717</v>
      </c>
      <c r="I42" t="e">
        <v>#N/A</v>
      </c>
      <c r="J42" t="s">
        <v>1717</v>
      </c>
      <c r="K42" t="e">
        <v>#N/A</v>
      </c>
      <c r="L42" t="str">
        <f t="shared" si="0"/>
        <v>no</v>
      </c>
      <c r="M42" s="1"/>
      <c r="N42" s="1"/>
    </row>
    <row r="43" spans="1:14" ht="19" hidden="1">
      <c r="B43" s="1"/>
      <c r="H43" t="s">
        <v>1717</v>
      </c>
      <c r="I43" t="e">
        <v>#N/A</v>
      </c>
      <c r="J43" t="s">
        <v>1717</v>
      </c>
      <c r="K43" t="e">
        <v>#N/A</v>
      </c>
      <c r="L43" t="str">
        <f t="shared" si="0"/>
        <v>no</v>
      </c>
      <c r="M43" s="1"/>
      <c r="N43" s="1"/>
    </row>
    <row r="44" spans="1:14" ht="19" hidden="1">
      <c r="B44" s="1"/>
      <c r="H44" t="s">
        <v>1717</v>
      </c>
      <c r="I44" t="e">
        <v>#N/A</v>
      </c>
      <c r="J44" t="s">
        <v>1717</v>
      </c>
      <c r="K44" t="e">
        <v>#N/A</v>
      </c>
      <c r="L44" t="str">
        <f t="shared" si="0"/>
        <v>no</v>
      </c>
      <c r="M44" s="1"/>
      <c r="N44" s="1"/>
    </row>
    <row r="45" spans="1:14" ht="19" hidden="1">
      <c r="B45" s="1"/>
      <c r="H45" t="s">
        <v>1717</v>
      </c>
      <c r="I45" t="e">
        <v>#N/A</v>
      </c>
      <c r="J45" t="s">
        <v>1717</v>
      </c>
      <c r="K45" t="e">
        <v>#N/A</v>
      </c>
      <c r="L45" t="str">
        <f t="shared" si="0"/>
        <v>no</v>
      </c>
      <c r="M45" s="1"/>
      <c r="N45" s="1"/>
    </row>
    <row r="46" spans="1:14" ht="19" hidden="1">
      <c r="B46" s="1"/>
      <c r="H46" t="s">
        <v>1717</v>
      </c>
      <c r="I46" t="e">
        <v>#N/A</v>
      </c>
      <c r="J46" t="s">
        <v>1717</v>
      </c>
      <c r="K46" t="e">
        <v>#N/A</v>
      </c>
      <c r="L46" t="str">
        <f t="shared" si="0"/>
        <v>no</v>
      </c>
      <c r="M46" s="1"/>
      <c r="N46" s="1"/>
    </row>
    <row r="47" spans="1:14" ht="19" hidden="1">
      <c r="B47" s="1"/>
      <c r="H47" t="s">
        <v>1717</v>
      </c>
      <c r="I47" t="e">
        <v>#N/A</v>
      </c>
      <c r="J47" t="s">
        <v>1717</v>
      </c>
      <c r="K47" t="e">
        <v>#N/A</v>
      </c>
      <c r="L47" t="str">
        <f t="shared" si="0"/>
        <v>no</v>
      </c>
      <c r="M47" s="1"/>
      <c r="N47" s="1"/>
    </row>
    <row r="48" spans="1:14" ht="19" hidden="1">
      <c r="B48" s="1"/>
      <c r="H48" t="s">
        <v>1717</v>
      </c>
      <c r="I48" t="e">
        <v>#N/A</v>
      </c>
      <c r="J48" t="s">
        <v>1717</v>
      </c>
      <c r="K48" t="e">
        <v>#N/A</v>
      </c>
      <c r="L48" t="str">
        <f t="shared" si="0"/>
        <v>no</v>
      </c>
      <c r="M48" s="1"/>
      <c r="N48" s="1"/>
    </row>
    <row r="49" spans="2:14" ht="19" hidden="1">
      <c r="B49" s="1"/>
      <c r="H49" t="s">
        <v>1717</v>
      </c>
      <c r="I49" t="e">
        <v>#N/A</v>
      </c>
      <c r="J49" t="s">
        <v>1717</v>
      </c>
      <c r="K49" t="e">
        <v>#N/A</v>
      </c>
      <c r="L49" t="str">
        <f t="shared" si="0"/>
        <v>no</v>
      </c>
      <c r="M49" s="1"/>
      <c r="N49" s="1"/>
    </row>
    <row r="50" spans="2:14" ht="19" hidden="1">
      <c r="B50" s="1"/>
      <c r="H50" t="s">
        <v>1717</v>
      </c>
      <c r="I50" t="e">
        <v>#N/A</v>
      </c>
      <c r="J50" t="s">
        <v>1717</v>
      </c>
      <c r="K50" t="e">
        <v>#N/A</v>
      </c>
      <c r="L50" t="str">
        <f t="shared" si="0"/>
        <v>no</v>
      </c>
      <c r="M50" s="1"/>
      <c r="N50" s="1"/>
    </row>
    <row r="51" spans="2:14" ht="19" hidden="1">
      <c r="B51" s="1"/>
      <c r="H51" t="s">
        <v>1717</v>
      </c>
      <c r="I51" t="e">
        <v>#N/A</v>
      </c>
      <c r="J51" t="s">
        <v>1717</v>
      </c>
      <c r="K51" t="e">
        <v>#N/A</v>
      </c>
      <c r="L51" t="str">
        <f t="shared" si="0"/>
        <v>no</v>
      </c>
      <c r="M51" s="1"/>
      <c r="N51" s="1"/>
    </row>
    <row r="52" spans="2:14" ht="19" hidden="1">
      <c r="B52" s="1"/>
      <c r="H52" t="s">
        <v>1717</v>
      </c>
      <c r="I52" t="e">
        <v>#N/A</v>
      </c>
      <c r="J52" t="s">
        <v>1717</v>
      </c>
      <c r="K52" t="e">
        <v>#N/A</v>
      </c>
      <c r="L52" t="str">
        <f t="shared" si="0"/>
        <v>no</v>
      </c>
      <c r="M52" s="1"/>
      <c r="N52" s="1"/>
    </row>
    <row r="53" spans="2:14" ht="19" hidden="1">
      <c r="B53" s="1"/>
      <c r="H53" t="s">
        <v>1717</v>
      </c>
      <c r="I53" t="e">
        <v>#N/A</v>
      </c>
      <c r="J53" t="s">
        <v>1717</v>
      </c>
      <c r="K53" t="e">
        <v>#N/A</v>
      </c>
      <c r="L53" t="str">
        <f t="shared" si="0"/>
        <v>no</v>
      </c>
      <c r="M53" s="1"/>
      <c r="N53" s="1"/>
    </row>
    <row r="54" spans="2:14" ht="19" hidden="1">
      <c r="B54" s="1"/>
      <c r="H54" t="s">
        <v>1717</v>
      </c>
      <c r="I54" t="e">
        <v>#N/A</v>
      </c>
      <c r="J54" t="s">
        <v>1717</v>
      </c>
      <c r="K54" t="e">
        <v>#N/A</v>
      </c>
      <c r="L54" t="str">
        <f t="shared" si="0"/>
        <v>no</v>
      </c>
      <c r="M54" s="1"/>
      <c r="N54" s="1"/>
    </row>
    <row r="55" spans="2:14" ht="19" hidden="1">
      <c r="B55" s="1"/>
      <c r="H55" t="s">
        <v>1717</v>
      </c>
      <c r="I55" t="e">
        <v>#N/A</v>
      </c>
      <c r="J55" t="s">
        <v>1717</v>
      </c>
      <c r="K55" t="e">
        <v>#N/A</v>
      </c>
      <c r="L55" t="str">
        <f t="shared" si="0"/>
        <v>no</v>
      </c>
      <c r="M55" s="1"/>
      <c r="N55" s="1"/>
    </row>
    <row r="56" spans="2:14" ht="19" hidden="1">
      <c r="B56" s="1"/>
      <c r="H56" t="s">
        <v>1717</v>
      </c>
      <c r="I56" t="e">
        <v>#N/A</v>
      </c>
      <c r="J56" t="s">
        <v>1717</v>
      </c>
      <c r="K56" t="e">
        <v>#N/A</v>
      </c>
      <c r="L56" t="str">
        <f t="shared" si="0"/>
        <v>no</v>
      </c>
      <c r="M56" s="1"/>
      <c r="N56" s="1"/>
    </row>
    <row r="57" spans="2:14" ht="19" hidden="1">
      <c r="H57" t="s">
        <v>1717</v>
      </c>
      <c r="I57" t="e">
        <v>#N/A</v>
      </c>
      <c r="J57" t="s">
        <v>1717</v>
      </c>
      <c r="K57" t="e">
        <v>#N/A</v>
      </c>
      <c r="L57" t="str">
        <f t="shared" si="0"/>
        <v>no</v>
      </c>
      <c r="M57" s="1"/>
      <c r="N57" s="1"/>
    </row>
    <row r="58" spans="2:14" ht="19" hidden="1">
      <c r="H58" t="s">
        <v>1717</v>
      </c>
      <c r="I58" t="e">
        <v>#N/A</v>
      </c>
      <c r="J58" t="s">
        <v>1717</v>
      </c>
      <c r="K58" t="e">
        <v>#N/A</v>
      </c>
      <c r="L58" t="str">
        <f t="shared" si="0"/>
        <v>no</v>
      </c>
      <c r="M58" s="1"/>
      <c r="N58" s="1"/>
    </row>
    <row r="59" spans="2:14" ht="19" hidden="1">
      <c r="H59" t="s">
        <v>1717</v>
      </c>
      <c r="I59" t="e">
        <v>#N/A</v>
      </c>
      <c r="J59" t="s">
        <v>1717</v>
      </c>
      <c r="K59" t="e">
        <v>#N/A</v>
      </c>
      <c r="L59" t="str">
        <f t="shared" si="0"/>
        <v>no</v>
      </c>
      <c r="M59" s="1"/>
      <c r="N59" s="1"/>
    </row>
    <row r="60" spans="2:14" ht="19" hidden="1">
      <c r="H60" t="s">
        <v>1717</v>
      </c>
      <c r="I60" t="e">
        <v>#N/A</v>
      </c>
      <c r="J60" t="s">
        <v>1717</v>
      </c>
      <c r="K60" t="e">
        <v>#N/A</v>
      </c>
      <c r="L60" t="str">
        <f t="shared" si="0"/>
        <v>no</v>
      </c>
      <c r="M60" s="1"/>
      <c r="N60" s="1"/>
    </row>
    <row r="61" spans="2:14" ht="19" hidden="1">
      <c r="H61" t="s">
        <v>1717</v>
      </c>
      <c r="I61" t="e">
        <v>#N/A</v>
      </c>
      <c r="J61" t="s">
        <v>1717</v>
      </c>
      <c r="K61" t="e">
        <v>#N/A</v>
      </c>
      <c r="L61" t="str">
        <f t="shared" si="0"/>
        <v>no</v>
      </c>
      <c r="M61" s="1"/>
      <c r="N61" s="1"/>
    </row>
    <row r="62" spans="2:14" ht="19" hidden="1">
      <c r="H62" t="s">
        <v>1717</v>
      </c>
      <c r="I62" t="e">
        <v>#N/A</v>
      </c>
      <c r="J62" t="s">
        <v>1717</v>
      </c>
      <c r="K62" t="e">
        <v>#N/A</v>
      </c>
      <c r="L62" t="str">
        <f t="shared" si="0"/>
        <v>no</v>
      </c>
      <c r="M62" s="1"/>
      <c r="N62" s="1"/>
    </row>
    <row r="63" spans="2:14" ht="19" hidden="1">
      <c r="H63" t="s">
        <v>1717</v>
      </c>
      <c r="I63" t="e">
        <v>#N/A</v>
      </c>
      <c r="J63" t="s">
        <v>1717</v>
      </c>
      <c r="K63" t="e">
        <v>#N/A</v>
      </c>
      <c r="L63" t="str">
        <f t="shared" si="0"/>
        <v>no</v>
      </c>
      <c r="M63" s="1"/>
      <c r="N63" s="1"/>
    </row>
    <row r="64" spans="2:14" ht="19" hidden="1">
      <c r="H64" t="s">
        <v>1717</v>
      </c>
      <c r="I64" t="e">
        <v>#N/A</v>
      </c>
      <c r="J64" t="s">
        <v>1717</v>
      </c>
      <c r="K64" t="e">
        <v>#N/A</v>
      </c>
      <c r="L64" t="str">
        <f t="shared" si="0"/>
        <v>no</v>
      </c>
      <c r="M64" s="1"/>
      <c r="N64" s="1"/>
    </row>
    <row r="65" spans="8:14" ht="19" hidden="1">
      <c r="H65" t="s">
        <v>1717</v>
      </c>
      <c r="I65" t="e">
        <v>#N/A</v>
      </c>
      <c r="J65" t="s">
        <v>1717</v>
      </c>
      <c r="K65" t="e">
        <v>#N/A</v>
      </c>
      <c r="L65" t="str">
        <f t="shared" si="0"/>
        <v>no</v>
      </c>
      <c r="M65" s="1"/>
      <c r="N65" s="1"/>
    </row>
    <row r="66" spans="8:14" ht="19" hidden="1">
      <c r="H66" t="s">
        <v>1717</v>
      </c>
      <c r="I66" t="e">
        <v>#N/A</v>
      </c>
      <c r="J66" t="s">
        <v>1717</v>
      </c>
      <c r="K66" t="e">
        <v>#N/A</v>
      </c>
      <c r="L66" t="str">
        <f t="shared" si="0"/>
        <v>no</v>
      </c>
      <c r="M66" s="1"/>
      <c r="N66" s="1"/>
    </row>
    <row r="67" spans="8:14" ht="19" hidden="1">
      <c r="H67" t="s">
        <v>1717</v>
      </c>
      <c r="I67" t="e">
        <v>#N/A</v>
      </c>
      <c r="J67" t="s">
        <v>1717</v>
      </c>
      <c r="K67" t="e">
        <v>#N/A</v>
      </c>
      <c r="L67" t="str">
        <f t="shared" ref="L67:L130" si="1">IF(COUNTIF(M:M, B67)&gt;0,$M$1,IF(COUNTIF(N:N, B67)&gt;0,$N$1,"no"))</f>
        <v>no</v>
      </c>
      <c r="M67" s="1"/>
      <c r="N67" s="1"/>
    </row>
    <row r="68" spans="8:14" ht="19" hidden="1">
      <c r="H68" t="s">
        <v>1717</v>
      </c>
      <c r="I68" t="e">
        <v>#N/A</v>
      </c>
      <c r="J68" t="s">
        <v>1717</v>
      </c>
      <c r="K68" t="e">
        <v>#N/A</v>
      </c>
      <c r="L68" t="str">
        <f t="shared" si="1"/>
        <v>no</v>
      </c>
      <c r="M68" s="1"/>
      <c r="N68" s="1"/>
    </row>
    <row r="69" spans="8:14" ht="19" hidden="1">
      <c r="H69" t="s">
        <v>1717</v>
      </c>
      <c r="I69" t="e">
        <v>#N/A</v>
      </c>
      <c r="J69" t="s">
        <v>1717</v>
      </c>
      <c r="K69" t="e">
        <v>#N/A</v>
      </c>
      <c r="L69" t="str">
        <f t="shared" si="1"/>
        <v>no</v>
      </c>
      <c r="M69" s="1"/>
      <c r="N69" s="1"/>
    </row>
    <row r="70" spans="8:14" ht="19" hidden="1">
      <c r="H70" t="s">
        <v>1717</v>
      </c>
      <c r="I70" t="e">
        <v>#N/A</v>
      </c>
      <c r="J70" t="s">
        <v>1717</v>
      </c>
      <c r="K70" t="e">
        <v>#N/A</v>
      </c>
      <c r="L70" t="str">
        <f t="shared" si="1"/>
        <v>no</v>
      </c>
      <c r="M70" s="1"/>
      <c r="N70" s="1"/>
    </row>
    <row r="71" spans="8:14" ht="19" hidden="1">
      <c r="H71" t="s">
        <v>1717</v>
      </c>
      <c r="I71" t="e">
        <v>#N/A</v>
      </c>
      <c r="J71" t="s">
        <v>1717</v>
      </c>
      <c r="K71" t="e">
        <v>#N/A</v>
      </c>
      <c r="L71" t="str">
        <f t="shared" si="1"/>
        <v>no</v>
      </c>
      <c r="M71" s="1"/>
      <c r="N71" s="1"/>
    </row>
    <row r="72" spans="8:14" ht="19" hidden="1">
      <c r="H72" t="s">
        <v>1717</v>
      </c>
      <c r="I72" t="e">
        <v>#N/A</v>
      </c>
      <c r="J72" t="s">
        <v>1717</v>
      </c>
      <c r="K72" t="e">
        <v>#N/A</v>
      </c>
      <c r="L72" t="str">
        <f t="shared" si="1"/>
        <v>no</v>
      </c>
      <c r="M72" s="1"/>
      <c r="N72" s="1"/>
    </row>
    <row r="73" spans="8:14" ht="19" hidden="1">
      <c r="H73" t="s">
        <v>1717</v>
      </c>
      <c r="I73" t="e">
        <v>#N/A</v>
      </c>
      <c r="J73" t="s">
        <v>1717</v>
      </c>
      <c r="K73" t="e">
        <v>#N/A</v>
      </c>
      <c r="L73" t="str">
        <f t="shared" si="1"/>
        <v>no</v>
      </c>
      <c r="M73" s="1"/>
      <c r="N73" s="1"/>
    </row>
    <row r="74" spans="8:14" ht="19" hidden="1">
      <c r="H74" t="s">
        <v>1717</v>
      </c>
      <c r="I74" t="e">
        <v>#N/A</v>
      </c>
      <c r="J74" t="s">
        <v>1717</v>
      </c>
      <c r="K74" t="e">
        <v>#N/A</v>
      </c>
      <c r="L74" t="str">
        <f t="shared" si="1"/>
        <v>no</v>
      </c>
      <c r="M74" s="1"/>
      <c r="N74" s="1"/>
    </row>
    <row r="75" spans="8:14" ht="19" hidden="1">
      <c r="H75" t="s">
        <v>1717</v>
      </c>
      <c r="I75" t="e">
        <v>#N/A</v>
      </c>
      <c r="J75" t="s">
        <v>1717</v>
      </c>
      <c r="K75" t="e">
        <v>#N/A</v>
      </c>
      <c r="L75" t="str">
        <f t="shared" si="1"/>
        <v>no</v>
      </c>
      <c r="M75" s="1"/>
      <c r="N75" s="1"/>
    </row>
    <row r="76" spans="8:14" ht="19" hidden="1">
      <c r="H76" t="s">
        <v>1717</v>
      </c>
      <c r="I76" t="e">
        <v>#N/A</v>
      </c>
      <c r="J76" t="s">
        <v>1717</v>
      </c>
      <c r="K76" t="e">
        <v>#N/A</v>
      </c>
      <c r="L76" t="str">
        <f t="shared" si="1"/>
        <v>no</v>
      </c>
      <c r="M76" s="1"/>
      <c r="N76" s="1"/>
    </row>
    <row r="77" spans="8:14" ht="19" hidden="1">
      <c r="H77" t="s">
        <v>1717</v>
      </c>
      <c r="I77" t="e">
        <v>#N/A</v>
      </c>
      <c r="J77" t="s">
        <v>1717</v>
      </c>
      <c r="K77" t="e">
        <v>#N/A</v>
      </c>
      <c r="L77" t="str">
        <f t="shared" si="1"/>
        <v>no</v>
      </c>
      <c r="M77" s="1"/>
      <c r="N77" s="1"/>
    </row>
    <row r="78" spans="8:14" ht="19" hidden="1">
      <c r="H78" t="s">
        <v>1717</v>
      </c>
      <c r="I78" t="e">
        <v>#N/A</v>
      </c>
      <c r="J78" t="s">
        <v>1717</v>
      </c>
      <c r="K78" t="e">
        <v>#N/A</v>
      </c>
      <c r="L78" t="str">
        <f t="shared" si="1"/>
        <v>no</v>
      </c>
      <c r="M78" s="1"/>
      <c r="N78" s="1"/>
    </row>
    <row r="79" spans="8:14" ht="19" hidden="1">
      <c r="H79" t="s">
        <v>1717</v>
      </c>
      <c r="I79" t="e">
        <v>#N/A</v>
      </c>
      <c r="J79" t="s">
        <v>1717</v>
      </c>
      <c r="K79" t="e">
        <v>#N/A</v>
      </c>
      <c r="L79" t="str">
        <f t="shared" si="1"/>
        <v>no</v>
      </c>
      <c r="M79" s="1"/>
      <c r="N79" s="1"/>
    </row>
    <row r="80" spans="8:14" ht="19" hidden="1">
      <c r="H80" t="s">
        <v>1717</v>
      </c>
      <c r="I80" t="e">
        <v>#N/A</v>
      </c>
      <c r="J80" t="s">
        <v>1717</v>
      </c>
      <c r="K80" t="e">
        <v>#N/A</v>
      </c>
      <c r="L80" t="str">
        <f t="shared" si="1"/>
        <v>no</v>
      </c>
      <c r="M80" s="1"/>
      <c r="N80" s="1"/>
    </row>
    <row r="81" spans="8:12" hidden="1">
      <c r="H81" t="s">
        <v>1717</v>
      </c>
      <c r="I81" t="e">
        <v>#N/A</v>
      </c>
      <c r="J81" t="s">
        <v>1717</v>
      </c>
      <c r="K81" t="e">
        <v>#N/A</v>
      </c>
      <c r="L81" t="str">
        <f t="shared" si="1"/>
        <v>no</v>
      </c>
    </row>
    <row r="82" spans="8:12" hidden="1">
      <c r="H82" t="s">
        <v>1717</v>
      </c>
      <c r="I82" t="e">
        <v>#N/A</v>
      </c>
      <c r="J82" t="s">
        <v>1717</v>
      </c>
      <c r="K82" t="e">
        <v>#N/A</v>
      </c>
      <c r="L82" t="str">
        <f t="shared" si="1"/>
        <v>no</v>
      </c>
    </row>
    <row r="83" spans="8:12" hidden="1">
      <c r="H83" t="s">
        <v>1717</v>
      </c>
      <c r="I83" t="e">
        <v>#N/A</v>
      </c>
      <c r="J83" t="s">
        <v>1717</v>
      </c>
      <c r="K83" t="e">
        <v>#N/A</v>
      </c>
      <c r="L83" t="str">
        <f t="shared" si="1"/>
        <v>no</v>
      </c>
    </row>
    <row r="84" spans="8:12" hidden="1">
      <c r="H84" t="s">
        <v>1717</v>
      </c>
      <c r="I84" t="e">
        <v>#N/A</v>
      </c>
      <c r="J84" t="s">
        <v>1717</v>
      </c>
      <c r="K84" t="e">
        <v>#N/A</v>
      </c>
      <c r="L84" t="str">
        <f t="shared" si="1"/>
        <v>no</v>
      </c>
    </row>
    <row r="85" spans="8:12" hidden="1">
      <c r="H85" t="s">
        <v>1717</v>
      </c>
      <c r="I85" t="e">
        <v>#N/A</v>
      </c>
      <c r="J85" t="s">
        <v>1717</v>
      </c>
      <c r="K85" t="e">
        <v>#N/A</v>
      </c>
      <c r="L85" t="str">
        <f t="shared" si="1"/>
        <v>no</v>
      </c>
    </row>
    <row r="86" spans="8:12" hidden="1">
      <c r="H86" t="s">
        <v>1717</v>
      </c>
      <c r="I86" t="e">
        <v>#N/A</v>
      </c>
      <c r="J86" t="s">
        <v>1717</v>
      </c>
      <c r="K86" t="e">
        <v>#N/A</v>
      </c>
      <c r="L86" t="str">
        <f t="shared" si="1"/>
        <v>no</v>
      </c>
    </row>
    <row r="87" spans="8:12" hidden="1">
      <c r="H87" t="s">
        <v>1717</v>
      </c>
      <c r="I87" t="e">
        <v>#N/A</v>
      </c>
      <c r="J87" t="s">
        <v>1717</v>
      </c>
      <c r="K87" t="e">
        <v>#N/A</v>
      </c>
      <c r="L87" t="str">
        <f t="shared" si="1"/>
        <v>no</v>
      </c>
    </row>
    <row r="88" spans="8:12" hidden="1">
      <c r="H88" t="s">
        <v>1717</v>
      </c>
      <c r="I88" t="e">
        <v>#N/A</v>
      </c>
      <c r="J88" t="s">
        <v>1717</v>
      </c>
      <c r="K88" t="e">
        <v>#N/A</v>
      </c>
      <c r="L88" t="str">
        <f t="shared" si="1"/>
        <v>no</v>
      </c>
    </row>
    <row r="89" spans="8:12" hidden="1">
      <c r="H89" t="s">
        <v>1717</v>
      </c>
      <c r="I89" t="e">
        <v>#N/A</v>
      </c>
      <c r="J89" t="s">
        <v>1717</v>
      </c>
      <c r="K89" t="e">
        <v>#N/A</v>
      </c>
      <c r="L89" t="str">
        <f t="shared" si="1"/>
        <v>no</v>
      </c>
    </row>
    <row r="90" spans="8:12" hidden="1">
      <c r="H90" t="s">
        <v>1717</v>
      </c>
      <c r="I90" t="e">
        <v>#N/A</v>
      </c>
      <c r="J90" t="s">
        <v>1717</v>
      </c>
      <c r="K90" t="e">
        <v>#N/A</v>
      </c>
      <c r="L90" t="str">
        <f t="shared" si="1"/>
        <v>no</v>
      </c>
    </row>
    <row r="91" spans="8:12" hidden="1">
      <c r="H91" t="s">
        <v>1717</v>
      </c>
      <c r="I91" t="e">
        <v>#N/A</v>
      </c>
      <c r="J91" t="s">
        <v>1717</v>
      </c>
      <c r="K91" t="e">
        <v>#N/A</v>
      </c>
      <c r="L91" t="str">
        <f t="shared" si="1"/>
        <v>no</v>
      </c>
    </row>
    <row r="92" spans="8:12" hidden="1">
      <c r="H92" t="s">
        <v>1717</v>
      </c>
      <c r="I92" t="e">
        <v>#N/A</v>
      </c>
      <c r="J92" t="s">
        <v>1717</v>
      </c>
      <c r="K92" t="e">
        <v>#N/A</v>
      </c>
      <c r="L92" t="str">
        <f t="shared" si="1"/>
        <v>no</v>
      </c>
    </row>
    <row r="93" spans="8:12" hidden="1">
      <c r="H93" t="s">
        <v>1717</v>
      </c>
      <c r="I93" t="e">
        <v>#N/A</v>
      </c>
      <c r="J93" t="s">
        <v>1717</v>
      </c>
      <c r="K93" t="e">
        <v>#N/A</v>
      </c>
      <c r="L93" t="str">
        <f t="shared" si="1"/>
        <v>no</v>
      </c>
    </row>
    <row r="94" spans="8:12" hidden="1">
      <c r="H94" t="s">
        <v>1717</v>
      </c>
      <c r="I94" t="e">
        <v>#N/A</v>
      </c>
      <c r="J94" t="s">
        <v>1717</v>
      </c>
      <c r="K94" t="e">
        <v>#N/A</v>
      </c>
      <c r="L94" t="str">
        <f t="shared" si="1"/>
        <v>no</v>
      </c>
    </row>
    <row r="95" spans="8:12" hidden="1">
      <c r="H95" t="s">
        <v>1717</v>
      </c>
      <c r="I95" t="e">
        <v>#N/A</v>
      </c>
      <c r="J95" t="s">
        <v>1717</v>
      </c>
      <c r="K95" t="e">
        <v>#N/A</v>
      </c>
      <c r="L95" t="str">
        <f t="shared" si="1"/>
        <v>no</v>
      </c>
    </row>
    <row r="96" spans="8:12" hidden="1">
      <c r="H96" t="s">
        <v>1717</v>
      </c>
      <c r="I96" t="e">
        <v>#N/A</v>
      </c>
      <c r="J96" t="s">
        <v>1717</v>
      </c>
      <c r="K96" t="e">
        <v>#N/A</v>
      </c>
      <c r="L96" t="str">
        <f t="shared" si="1"/>
        <v>no</v>
      </c>
    </row>
    <row r="97" spans="8:12" hidden="1">
      <c r="H97" t="s">
        <v>1717</v>
      </c>
      <c r="I97" t="e">
        <v>#N/A</v>
      </c>
      <c r="J97" t="s">
        <v>1717</v>
      </c>
      <c r="K97" t="e">
        <v>#N/A</v>
      </c>
      <c r="L97" t="str">
        <f t="shared" si="1"/>
        <v>no</v>
      </c>
    </row>
    <row r="98" spans="8:12" hidden="1">
      <c r="H98" t="s">
        <v>1717</v>
      </c>
      <c r="I98" t="e">
        <v>#N/A</v>
      </c>
      <c r="J98" t="s">
        <v>1717</v>
      </c>
      <c r="K98" t="e">
        <v>#N/A</v>
      </c>
      <c r="L98" t="str">
        <f t="shared" si="1"/>
        <v>no</v>
      </c>
    </row>
    <row r="99" spans="8:12" hidden="1">
      <c r="H99" t="s">
        <v>1717</v>
      </c>
      <c r="I99" t="e">
        <v>#N/A</v>
      </c>
      <c r="J99" t="s">
        <v>1717</v>
      </c>
      <c r="K99" t="e">
        <v>#N/A</v>
      </c>
      <c r="L99" t="str">
        <f t="shared" si="1"/>
        <v>no</v>
      </c>
    </row>
    <row r="100" spans="8:12" hidden="1">
      <c r="H100" t="s">
        <v>1717</v>
      </c>
      <c r="I100" t="e">
        <v>#N/A</v>
      </c>
      <c r="J100" t="s">
        <v>1717</v>
      </c>
      <c r="K100" t="e">
        <v>#N/A</v>
      </c>
      <c r="L100" t="str">
        <f t="shared" si="1"/>
        <v>no</v>
      </c>
    </row>
    <row r="101" spans="8:12" hidden="1">
      <c r="H101" t="s">
        <v>1717</v>
      </c>
      <c r="I101" t="e">
        <v>#N/A</v>
      </c>
      <c r="J101" t="s">
        <v>1717</v>
      </c>
      <c r="K101" t="e">
        <v>#N/A</v>
      </c>
      <c r="L101" t="str">
        <f t="shared" si="1"/>
        <v>no</v>
      </c>
    </row>
    <row r="102" spans="8:12" hidden="1">
      <c r="H102" t="s">
        <v>1717</v>
      </c>
      <c r="I102" t="e">
        <v>#N/A</v>
      </c>
      <c r="J102" t="s">
        <v>1717</v>
      </c>
      <c r="K102" t="e">
        <v>#N/A</v>
      </c>
      <c r="L102" t="str">
        <f t="shared" si="1"/>
        <v>no</v>
      </c>
    </row>
    <row r="103" spans="8:12" hidden="1">
      <c r="H103" t="s">
        <v>1717</v>
      </c>
      <c r="I103" t="e">
        <v>#N/A</v>
      </c>
      <c r="J103" t="s">
        <v>1717</v>
      </c>
      <c r="K103" t="e">
        <v>#N/A</v>
      </c>
      <c r="L103" t="str">
        <f t="shared" si="1"/>
        <v>no</v>
      </c>
    </row>
    <row r="104" spans="8:12" hidden="1">
      <c r="H104" t="s">
        <v>1717</v>
      </c>
      <c r="I104" t="e">
        <v>#N/A</v>
      </c>
      <c r="J104" t="s">
        <v>1717</v>
      </c>
      <c r="K104" t="e">
        <v>#N/A</v>
      </c>
      <c r="L104" t="str">
        <f t="shared" si="1"/>
        <v>no</v>
      </c>
    </row>
    <row r="105" spans="8:12" hidden="1">
      <c r="H105" t="s">
        <v>1717</v>
      </c>
      <c r="I105" t="e">
        <v>#N/A</v>
      </c>
      <c r="J105" t="s">
        <v>1717</v>
      </c>
      <c r="K105" t="e">
        <v>#N/A</v>
      </c>
      <c r="L105" t="str">
        <f t="shared" si="1"/>
        <v>no</v>
      </c>
    </row>
    <row r="106" spans="8:12" hidden="1">
      <c r="H106" t="s">
        <v>1717</v>
      </c>
      <c r="I106" t="e">
        <v>#N/A</v>
      </c>
      <c r="J106" t="s">
        <v>1717</v>
      </c>
      <c r="K106" t="e">
        <v>#N/A</v>
      </c>
      <c r="L106" t="str">
        <f t="shared" si="1"/>
        <v>no</v>
      </c>
    </row>
    <row r="107" spans="8:12" hidden="1">
      <c r="H107" t="s">
        <v>1717</v>
      </c>
      <c r="I107" t="e">
        <v>#N/A</v>
      </c>
      <c r="J107" t="s">
        <v>1717</v>
      </c>
      <c r="K107" t="e">
        <v>#N/A</v>
      </c>
      <c r="L107" t="str">
        <f t="shared" si="1"/>
        <v>no</v>
      </c>
    </row>
    <row r="108" spans="8:12" hidden="1">
      <c r="H108" t="s">
        <v>1717</v>
      </c>
      <c r="I108" t="e">
        <v>#N/A</v>
      </c>
      <c r="J108" t="s">
        <v>1717</v>
      </c>
      <c r="K108" t="e">
        <v>#N/A</v>
      </c>
      <c r="L108" t="str">
        <f t="shared" si="1"/>
        <v>no</v>
      </c>
    </row>
    <row r="109" spans="8:12" hidden="1">
      <c r="H109" t="s">
        <v>1717</v>
      </c>
      <c r="I109" t="e">
        <v>#N/A</v>
      </c>
      <c r="J109" t="s">
        <v>1717</v>
      </c>
      <c r="K109" t="e">
        <v>#N/A</v>
      </c>
      <c r="L109" t="str">
        <f t="shared" si="1"/>
        <v>no</v>
      </c>
    </row>
    <row r="110" spans="8:12" hidden="1">
      <c r="H110" t="s">
        <v>1717</v>
      </c>
      <c r="I110" t="e">
        <v>#N/A</v>
      </c>
      <c r="J110" t="s">
        <v>1717</v>
      </c>
      <c r="K110" t="e">
        <v>#N/A</v>
      </c>
      <c r="L110" t="str">
        <f t="shared" si="1"/>
        <v>no</v>
      </c>
    </row>
    <row r="111" spans="8:12" hidden="1">
      <c r="H111" t="s">
        <v>1717</v>
      </c>
      <c r="I111" t="e">
        <v>#N/A</v>
      </c>
      <c r="J111" t="s">
        <v>1717</v>
      </c>
      <c r="K111" t="e">
        <v>#N/A</v>
      </c>
      <c r="L111" t="str">
        <f t="shared" si="1"/>
        <v>no</v>
      </c>
    </row>
    <row r="112" spans="8:12" hidden="1">
      <c r="H112" t="s">
        <v>1717</v>
      </c>
      <c r="I112" t="e">
        <v>#N/A</v>
      </c>
      <c r="J112" t="s">
        <v>1717</v>
      </c>
      <c r="K112" t="e">
        <v>#N/A</v>
      </c>
      <c r="L112" t="str">
        <f t="shared" si="1"/>
        <v>no</v>
      </c>
    </row>
    <row r="113" spans="8:12" hidden="1">
      <c r="H113" t="s">
        <v>1717</v>
      </c>
      <c r="I113" t="e">
        <v>#N/A</v>
      </c>
      <c r="J113" t="s">
        <v>1717</v>
      </c>
      <c r="K113" t="e">
        <v>#N/A</v>
      </c>
      <c r="L113" t="str">
        <f t="shared" si="1"/>
        <v>no</v>
      </c>
    </row>
    <row r="114" spans="8:12" hidden="1">
      <c r="H114" t="s">
        <v>1717</v>
      </c>
      <c r="I114" t="e">
        <v>#N/A</v>
      </c>
      <c r="J114" t="s">
        <v>1717</v>
      </c>
      <c r="K114" t="e">
        <v>#N/A</v>
      </c>
      <c r="L114" t="str">
        <f t="shared" si="1"/>
        <v>no</v>
      </c>
    </row>
    <row r="115" spans="8:12" hidden="1">
      <c r="H115" t="s">
        <v>1717</v>
      </c>
      <c r="I115" t="e">
        <v>#N/A</v>
      </c>
      <c r="J115" t="s">
        <v>1717</v>
      </c>
      <c r="K115" t="e">
        <v>#N/A</v>
      </c>
      <c r="L115" t="str">
        <f t="shared" si="1"/>
        <v>no</v>
      </c>
    </row>
    <row r="116" spans="8:12" hidden="1">
      <c r="H116" t="s">
        <v>1717</v>
      </c>
      <c r="I116" t="e">
        <v>#N/A</v>
      </c>
      <c r="J116" t="s">
        <v>1717</v>
      </c>
      <c r="K116" t="e">
        <v>#N/A</v>
      </c>
      <c r="L116" t="str">
        <f t="shared" si="1"/>
        <v>no</v>
      </c>
    </row>
    <row r="117" spans="8:12" hidden="1">
      <c r="H117" t="s">
        <v>1717</v>
      </c>
      <c r="I117" t="e">
        <v>#N/A</v>
      </c>
      <c r="J117" t="s">
        <v>1717</v>
      </c>
      <c r="K117" t="e">
        <v>#N/A</v>
      </c>
      <c r="L117" t="str">
        <f t="shared" si="1"/>
        <v>no</v>
      </c>
    </row>
    <row r="118" spans="8:12" hidden="1">
      <c r="H118" t="s">
        <v>1717</v>
      </c>
      <c r="I118" t="e">
        <v>#N/A</v>
      </c>
      <c r="J118" t="s">
        <v>1717</v>
      </c>
      <c r="K118" t="e">
        <v>#N/A</v>
      </c>
      <c r="L118" t="str">
        <f t="shared" si="1"/>
        <v>no</v>
      </c>
    </row>
    <row r="119" spans="8:12" hidden="1">
      <c r="H119" t="s">
        <v>1717</v>
      </c>
      <c r="I119" t="e">
        <v>#N/A</v>
      </c>
      <c r="J119" t="s">
        <v>1717</v>
      </c>
      <c r="K119" t="e">
        <v>#N/A</v>
      </c>
      <c r="L119" t="str">
        <f t="shared" si="1"/>
        <v>no</v>
      </c>
    </row>
    <row r="120" spans="8:12" hidden="1">
      <c r="H120" t="s">
        <v>1717</v>
      </c>
      <c r="I120" t="e">
        <v>#N/A</v>
      </c>
      <c r="J120" t="s">
        <v>1717</v>
      </c>
      <c r="K120" t="e">
        <v>#N/A</v>
      </c>
      <c r="L120" t="str">
        <f t="shared" si="1"/>
        <v>no</v>
      </c>
    </row>
    <row r="121" spans="8:12" hidden="1">
      <c r="H121" t="s">
        <v>1717</v>
      </c>
      <c r="I121" t="e">
        <v>#N/A</v>
      </c>
      <c r="J121" t="s">
        <v>1717</v>
      </c>
      <c r="K121" t="e">
        <v>#N/A</v>
      </c>
      <c r="L121" t="str">
        <f t="shared" si="1"/>
        <v>no</v>
      </c>
    </row>
    <row r="122" spans="8:12" hidden="1">
      <c r="H122" t="s">
        <v>1717</v>
      </c>
      <c r="I122" t="e">
        <v>#N/A</v>
      </c>
      <c r="J122" t="s">
        <v>1717</v>
      </c>
      <c r="K122" t="e">
        <v>#N/A</v>
      </c>
      <c r="L122" t="str">
        <f t="shared" si="1"/>
        <v>no</v>
      </c>
    </row>
    <row r="123" spans="8:12" hidden="1">
      <c r="H123" t="s">
        <v>1717</v>
      </c>
      <c r="I123" t="e">
        <v>#N/A</v>
      </c>
      <c r="J123" t="s">
        <v>1717</v>
      </c>
      <c r="K123" t="e">
        <v>#N/A</v>
      </c>
      <c r="L123" t="str">
        <f t="shared" si="1"/>
        <v>no</v>
      </c>
    </row>
    <row r="124" spans="8:12" hidden="1">
      <c r="H124" t="s">
        <v>1717</v>
      </c>
      <c r="I124" t="e">
        <v>#N/A</v>
      </c>
      <c r="J124" t="s">
        <v>1717</v>
      </c>
      <c r="K124" t="e">
        <v>#N/A</v>
      </c>
      <c r="L124" t="str">
        <f t="shared" si="1"/>
        <v>no</v>
      </c>
    </row>
    <row r="125" spans="8:12" hidden="1">
      <c r="H125" t="s">
        <v>1717</v>
      </c>
      <c r="I125" t="e">
        <v>#N/A</v>
      </c>
      <c r="J125" t="s">
        <v>1717</v>
      </c>
      <c r="K125" t="e">
        <v>#N/A</v>
      </c>
      <c r="L125" t="str">
        <f t="shared" si="1"/>
        <v>no</v>
      </c>
    </row>
    <row r="126" spans="8:12" hidden="1">
      <c r="H126" t="s">
        <v>1717</v>
      </c>
      <c r="I126" t="e">
        <v>#N/A</v>
      </c>
      <c r="J126" t="s">
        <v>1717</v>
      </c>
      <c r="K126" t="e">
        <v>#N/A</v>
      </c>
      <c r="L126" t="str">
        <f t="shared" si="1"/>
        <v>no</v>
      </c>
    </row>
    <row r="127" spans="8:12" hidden="1">
      <c r="H127" t="s">
        <v>1717</v>
      </c>
      <c r="I127" t="e">
        <v>#N/A</v>
      </c>
      <c r="J127" t="s">
        <v>1717</v>
      </c>
      <c r="K127" t="e">
        <v>#N/A</v>
      </c>
      <c r="L127" t="str">
        <f t="shared" si="1"/>
        <v>no</v>
      </c>
    </row>
    <row r="128" spans="8:12" hidden="1">
      <c r="H128" t="s">
        <v>1717</v>
      </c>
      <c r="I128" t="e">
        <v>#N/A</v>
      </c>
      <c r="J128" t="s">
        <v>1717</v>
      </c>
      <c r="K128" t="e">
        <v>#N/A</v>
      </c>
      <c r="L128" t="str">
        <f t="shared" si="1"/>
        <v>no</v>
      </c>
    </row>
    <row r="129" spans="8:12" hidden="1">
      <c r="H129" t="s">
        <v>1717</v>
      </c>
      <c r="I129" t="e">
        <v>#N/A</v>
      </c>
      <c r="J129" t="s">
        <v>1717</v>
      </c>
      <c r="K129" t="e">
        <v>#N/A</v>
      </c>
      <c r="L129" t="str">
        <f t="shared" si="1"/>
        <v>no</v>
      </c>
    </row>
    <row r="130" spans="8:12" hidden="1">
      <c r="H130" t="s">
        <v>1717</v>
      </c>
      <c r="I130" t="e">
        <v>#N/A</v>
      </c>
      <c r="J130" t="s">
        <v>1717</v>
      </c>
      <c r="K130" t="e">
        <v>#N/A</v>
      </c>
      <c r="L130" t="str">
        <f t="shared" si="1"/>
        <v>no</v>
      </c>
    </row>
    <row r="131" spans="8:12" hidden="1">
      <c r="H131" t="s">
        <v>1717</v>
      </c>
      <c r="I131" t="e">
        <v>#N/A</v>
      </c>
      <c r="J131" t="s">
        <v>1717</v>
      </c>
      <c r="K131" t="e">
        <v>#N/A</v>
      </c>
      <c r="L131" t="str">
        <f t="shared" ref="L131:L142" si="2">IF(COUNTIF(M:M, B131)&gt;0,$M$1,IF(COUNTIF(N:N, B131)&gt;0,$N$1,"no"))</f>
        <v>no</v>
      </c>
    </row>
    <row r="132" spans="8:12" hidden="1">
      <c r="H132" t="s">
        <v>1717</v>
      </c>
      <c r="I132" t="e">
        <v>#N/A</v>
      </c>
      <c r="J132" t="s">
        <v>1717</v>
      </c>
      <c r="K132" t="e">
        <v>#N/A</v>
      </c>
      <c r="L132" t="str">
        <f t="shared" si="2"/>
        <v>no</v>
      </c>
    </row>
    <row r="133" spans="8:12" hidden="1">
      <c r="H133" t="s">
        <v>1717</v>
      </c>
      <c r="I133" t="e">
        <v>#N/A</v>
      </c>
      <c r="J133" t="s">
        <v>1717</v>
      </c>
      <c r="K133" t="e">
        <v>#N/A</v>
      </c>
      <c r="L133" t="str">
        <f t="shared" si="2"/>
        <v>no</v>
      </c>
    </row>
    <row r="134" spans="8:12" hidden="1">
      <c r="H134" t="s">
        <v>1717</v>
      </c>
      <c r="I134" t="e">
        <v>#N/A</v>
      </c>
      <c r="J134" t="s">
        <v>1717</v>
      </c>
      <c r="K134" t="e">
        <v>#N/A</v>
      </c>
      <c r="L134" t="str">
        <f t="shared" si="2"/>
        <v>no</v>
      </c>
    </row>
    <row r="135" spans="8:12" hidden="1">
      <c r="H135" t="s">
        <v>1717</v>
      </c>
      <c r="I135" t="e">
        <v>#N/A</v>
      </c>
      <c r="J135" t="s">
        <v>1717</v>
      </c>
      <c r="K135" t="e">
        <v>#N/A</v>
      </c>
      <c r="L135" t="str">
        <f t="shared" si="2"/>
        <v>no</v>
      </c>
    </row>
    <row r="136" spans="8:12" hidden="1">
      <c r="H136" t="s">
        <v>1717</v>
      </c>
      <c r="I136" t="e">
        <v>#N/A</v>
      </c>
      <c r="J136" t="s">
        <v>1717</v>
      </c>
      <c r="K136" t="e">
        <v>#N/A</v>
      </c>
      <c r="L136" t="str">
        <f t="shared" si="2"/>
        <v>no</v>
      </c>
    </row>
    <row r="137" spans="8:12" hidden="1">
      <c r="H137" t="s">
        <v>1717</v>
      </c>
      <c r="I137" t="e">
        <v>#N/A</v>
      </c>
      <c r="J137" t="s">
        <v>1717</v>
      </c>
      <c r="K137" t="e">
        <v>#N/A</v>
      </c>
      <c r="L137" t="str">
        <f t="shared" si="2"/>
        <v>no</v>
      </c>
    </row>
    <row r="138" spans="8:12" hidden="1">
      <c r="H138" t="s">
        <v>1717</v>
      </c>
      <c r="I138" t="e">
        <v>#N/A</v>
      </c>
      <c r="J138" t="s">
        <v>1717</v>
      </c>
      <c r="K138" t="e">
        <v>#N/A</v>
      </c>
      <c r="L138" t="str">
        <f t="shared" si="2"/>
        <v>no</v>
      </c>
    </row>
    <row r="139" spans="8:12" hidden="1">
      <c r="H139" t="s">
        <v>1717</v>
      </c>
      <c r="I139" t="e">
        <v>#N/A</v>
      </c>
      <c r="J139" t="s">
        <v>1717</v>
      </c>
      <c r="K139" t="e">
        <v>#N/A</v>
      </c>
      <c r="L139" t="str">
        <f t="shared" si="2"/>
        <v>no</v>
      </c>
    </row>
    <row r="140" spans="8:12" hidden="1">
      <c r="H140" t="s">
        <v>1717</v>
      </c>
      <c r="I140" t="e">
        <v>#N/A</v>
      </c>
      <c r="J140" t="s">
        <v>1717</v>
      </c>
      <c r="K140" t="e">
        <v>#N/A</v>
      </c>
      <c r="L140" t="str">
        <f t="shared" si="2"/>
        <v>no</v>
      </c>
    </row>
    <row r="141" spans="8:12" hidden="1">
      <c r="H141" t="s">
        <v>1717</v>
      </c>
      <c r="I141" t="e">
        <v>#N/A</v>
      </c>
      <c r="J141" t="s">
        <v>1717</v>
      </c>
      <c r="K141" t="e">
        <v>#N/A</v>
      </c>
      <c r="L141" t="str">
        <f t="shared" si="2"/>
        <v>no</v>
      </c>
    </row>
    <row r="142" spans="8:12" hidden="1">
      <c r="H142" t="s">
        <v>1717</v>
      </c>
      <c r="I142" t="e">
        <v>#N/A</v>
      </c>
      <c r="J142" t="s">
        <v>1717</v>
      </c>
      <c r="K142" t="e">
        <v>#N/A</v>
      </c>
      <c r="L142" t="str">
        <f t="shared" si="2"/>
        <v>no</v>
      </c>
    </row>
  </sheetData>
  <autoFilter ref="A1:N142" xr:uid="{47E7133F-8753-5C4B-B48E-B4D41716EAE9}">
    <filterColumn colId="11">
      <filters>
        <filter val="segmented videos list"/>
      </filters>
    </filterColumn>
  </autoFilter>
  <phoneticPr fontId="1" type="noConversion"/>
  <conditionalFormatting sqref="E1:E1048576">
    <cfRule type="cellIs" dxfId="87" priority="4" operator="equal">
      <formula>"no"</formula>
    </cfRule>
    <cfRule type="cellIs" dxfId="86" priority="5" operator="equal">
      <formula>"yes"</formula>
    </cfRule>
  </conditionalFormatting>
  <conditionalFormatting sqref="F2:F142">
    <cfRule type="expression" dxfId="85" priority="3">
      <formula>F2&lt;&gt;E2</formula>
    </cfRule>
  </conditionalFormatting>
  <conditionalFormatting sqref="H2:H142">
    <cfRule type="expression" dxfId="84" priority="2" stopIfTrue="1">
      <formula>H2&lt;&gt;E2</formula>
    </cfRule>
  </conditionalFormatting>
  <conditionalFormatting sqref="J2:J142">
    <cfRule type="expression" dxfId="83" priority="1">
      <formula>J2&lt;&gt;E2</formula>
    </cfRule>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8A76F-B2F2-7A44-9550-50C4AA0DD6C6}">
  <dimension ref="A1:I144"/>
  <sheetViews>
    <sheetView workbookViewId="0">
      <selection activeCell="K11" sqref="K11"/>
    </sheetView>
  </sheetViews>
  <sheetFormatPr baseColWidth="10" defaultRowHeight="15"/>
  <cols>
    <col min="2" max="2" width="12.5" customWidth="1"/>
    <col min="3" max="3" width="4.83203125" style="2" customWidth="1"/>
    <col min="5" max="5" width="11.33203125" customWidth="1"/>
  </cols>
  <sheetData>
    <row r="1" spans="1:9">
      <c r="A1" t="s">
        <v>88</v>
      </c>
      <c r="B1" t="s">
        <v>0</v>
      </c>
      <c r="C1" s="2" t="s">
        <v>202</v>
      </c>
      <c r="D1" t="s">
        <v>6</v>
      </c>
      <c r="E1" t="s">
        <v>1</v>
      </c>
      <c r="F1" t="s">
        <v>4</v>
      </c>
      <c r="G1" s="13" t="s">
        <v>1639</v>
      </c>
      <c r="H1" t="s">
        <v>1818</v>
      </c>
      <c r="I1" t="s">
        <v>1819</v>
      </c>
    </row>
    <row r="2" spans="1:9" ht="19">
      <c r="A2">
        <v>1</v>
      </c>
      <c r="B2" s="1" t="s">
        <v>932</v>
      </c>
      <c r="E2" t="s">
        <v>390</v>
      </c>
      <c r="F2" t="s">
        <v>201</v>
      </c>
      <c r="G2" t="s">
        <v>1556</v>
      </c>
      <c r="H2" t="s">
        <v>201</v>
      </c>
      <c r="I2" t="s">
        <v>1822</v>
      </c>
    </row>
    <row r="3" spans="1:9" ht="19">
      <c r="A3">
        <v>2</v>
      </c>
      <c r="B3" s="1" t="s">
        <v>933</v>
      </c>
      <c r="E3" t="s">
        <v>390</v>
      </c>
      <c r="F3" t="s">
        <v>192</v>
      </c>
      <c r="G3" t="s">
        <v>1597</v>
      </c>
      <c r="H3" t="s">
        <v>201</v>
      </c>
      <c r="I3" t="s">
        <v>1863</v>
      </c>
    </row>
    <row r="4" spans="1:9" ht="19">
      <c r="A4">
        <v>3</v>
      </c>
      <c r="B4" s="1" t="s">
        <v>934</v>
      </c>
      <c r="E4" t="s">
        <v>390</v>
      </c>
      <c r="F4" t="s">
        <v>201</v>
      </c>
      <c r="G4" t="s">
        <v>1554</v>
      </c>
      <c r="H4" t="s">
        <v>201</v>
      </c>
      <c r="I4" t="s">
        <v>1820</v>
      </c>
    </row>
    <row r="5" spans="1:9" ht="19">
      <c r="A5">
        <v>4</v>
      </c>
      <c r="B5" s="1" t="s">
        <v>935</v>
      </c>
      <c r="E5" t="s">
        <v>390</v>
      </c>
      <c r="F5" t="s">
        <v>201</v>
      </c>
      <c r="G5" t="s">
        <v>1586</v>
      </c>
      <c r="H5" t="s">
        <v>201</v>
      </c>
      <c r="I5" t="s">
        <v>1852</v>
      </c>
    </row>
    <row r="6" spans="1:9" ht="19">
      <c r="A6">
        <v>5</v>
      </c>
      <c r="B6" s="1" t="s">
        <v>936</v>
      </c>
      <c r="E6" t="s">
        <v>390</v>
      </c>
      <c r="F6" t="s">
        <v>201</v>
      </c>
      <c r="G6" t="s">
        <v>1591</v>
      </c>
      <c r="H6" t="s">
        <v>192</v>
      </c>
      <c r="I6" t="s">
        <v>1857</v>
      </c>
    </row>
    <row r="7" spans="1:9" ht="19">
      <c r="A7">
        <v>6</v>
      </c>
      <c r="B7" s="1" t="s">
        <v>937</v>
      </c>
      <c r="E7" t="s">
        <v>390</v>
      </c>
      <c r="F7" t="s">
        <v>201</v>
      </c>
      <c r="G7" t="s">
        <v>1578</v>
      </c>
      <c r="H7" t="s">
        <v>201</v>
      </c>
      <c r="I7" t="s">
        <v>1844</v>
      </c>
    </row>
    <row r="8" spans="1:9" ht="19">
      <c r="A8">
        <v>7</v>
      </c>
      <c r="B8" s="1" t="s">
        <v>938</v>
      </c>
      <c r="E8" t="s">
        <v>390</v>
      </c>
      <c r="F8" t="s">
        <v>192</v>
      </c>
      <c r="G8" t="s">
        <v>1603</v>
      </c>
      <c r="H8" t="s">
        <v>192</v>
      </c>
      <c r="I8" t="s">
        <v>1869</v>
      </c>
    </row>
    <row r="9" spans="1:9" ht="19">
      <c r="A9">
        <v>8</v>
      </c>
      <c r="B9" s="1" t="s">
        <v>939</v>
      </c>
      <c r="E9" t="s">
        <v>390</v>
      </c>
      <c r="F9" t="s">
        <v>201</v>
      </c>
      <c r="G9" t="s">
        <v>1569</v>
      </c>
      <c r="H9" t="s">
        <v>201</v>
      </c>
      <c r="I9" t="s">
        <v>1835</v>
      </c>
    </row>
    <row r="10" spans="1:9" ht="19">
      <c r="A10">
        <v>9</v>
      </c>
      <c r="B10" s="1" t="s">
        <v>940</v>
      </c>
      <c r="E10" t="s">
        <v>390</v>
      </c>
      <c r="F10" t="s">
        <v>201</v>
      </c>
      <c r="G10" t="s">
        <v>1574</v>
      </c>
      <c r="H10" t="s">
        <v>201</v>
      </c>
      <c r="I10" t="s">
        <v>1840</v>
      </c>
    </row>
    <row r="11" spans="1:9" ht="19">
      <c r="A11">
        <v>10</v>
      </c>
      <c r="B11" s="1" t="s">
        <v>941</v>
      </c>
      <c r="E11" t="s">
        <v>390</v>
      </c>
      <c r="F11" t="s">
        <v>192</v>
      </c>
      <c r="G11" t="s">
        <v>1557</v>
      </c>
      <c r="H11" t="s">
        <v>201</v>
      </c>
      <c r="I11" t="s">
        <v>1823</v>
      </c>
    </row>
    <row r="12" spans="1:9" ht="19">
      <c r="A12">
        <v>11</v>
      </c>
      <c r="B12" s="1" t="s">
        <v>942</v>
      </c>
      <c r="E12" t="s">
        <v>390</v>
      </c>
      <c r="F12" t="s">
        <v>201</v>
      </c>
      <c r="G12" t="s">
        <v>1619</v>
      </c>
      <c r="H12" t="s">
        <v>201</v>
      </c>
      <c r="I12" t="s">
        <v>1885</v>
      </c>
    </row>
    <row r="13" spans="1:9" ht="19">
      <c r="A13">
        <v>12</v>
      </c>
      <c r="B13" s="1" t="s">
        <v>943</v>
      </c>
      <c r="E13" t="s">
        <v>390</v>
      </c>
      <c r="F13" t="s">
        <v>192</v>
      </c>
      <c r="G13" t="s">
        <v>1595</v>
      </c>
      <c r="H13" t="s">
        <v>201</v>
      </c>
      <c r="I13" t="s">
        <v>1861</v>
      </c>
    </row>
    <row r="14" spans="1:9" ht="19">
      <c r="A14">
        <v>13</v>
      </c>
      <c r="B14" s="1" t="s">
        <v>944</v>
      </c>
      <c r="E14" t="s">
        <v>390</v>
      </c>
      <c r="F14" t="s">
        <v>201</v>
      </c>
      <c r="G14" t="s">
        <v>1611</v>
      </c>
      <c r="H14" t="s">
        <v>201</v>
      </c>
      <c r="I14" t="s">
        <v>1877</v>
      </c>
    </row>
    <row r="15" spans="1:9" ht="19">
      <c r="A15">
        <v>14</v>
      </c>
      <c r="B15" s="1" t="s">
        <v>945</v>
      </c>
      <c r="E15" t="s">
        <v>390</v>
      </c>
      <c r="F15" t="s">
        <v>201</v>
      </c>
      <c r="G15" t="s">
        <v>1571</v>
      </c>
      <c r="H15" t="s">
        <v>201</v>
      </c>
      <c r="I15" t="s">
        <v>1837</v>
      </c>
    </row>
    <row r="16" spans="1:9" ht="19">
      <c r="A16">
        <v>15</v>
      </c>
      <c r="B16" s="1" t="s">
        <v>946</v>
      </c>
      <c r="E16" t="s">
        <v>390</v>
      </c>
      <c r="F16" t="s">
        <v>201</v>
      </c>
      <c r="G16" t="s">
        <v>1602</v>
      </c>
      <c r="H16" t="s">
        <v>201</v>
      </c>
      <c r="I16" t="s">
        <v>1868</v>
      </c>
    </row>
    <row r="17" spans="1:9" ht="19">
      <c r="A17">
        <v>16</v>
      </c>
      <c r="B17" s="1" t="s">
        <v>947</v>
      </c>
      <c r="E17" t="s">
        <v>390</v>
      </c>
      <c r="F17" t="s">
        <v>192</v>
      </c>
      <c r="G17" t="s">
        <v>1593</v>
      </c>
      <c r="H17" t="s">
        <v>192</v>
      </c>
      <c r="I17" t="s">
        <v>1859</v>
      </c>
    </row>
    <row r="18" spans="1:9" ht="19">
      <c r="A18">
        <v>17</v>
      </c>
      <c r="B18" s="1" t="s">
        <v>948</v>
      </c>
      <c r="E18" t="s">
        <v>390</v>
      </c>
      <c r="F18" t="s">
        <v>201</v>
      </c>
      <c r="G18" t="s">
        <v>1625</v>
      </c>
      <c r="H18" t="s">
        <v>201</v>
      </c>
      <c r="I18" t="s">
        <v>1891</v>
      </c>
    </row>
    <row r="19" spans="1:9" ht="19">
      <c r="A19">
        <v>18</v>
      </c>
      <c r="B19" s="1" t="s">
        <v>949</v>
      </c>
      <c r="E19" t="s">
        <v>390</v>
      </c>
      <c r="F19" t="s">
        <v>201</v>
      </c>
      <c r="G19" t="s">
        <v>1615</v>
      </c>
      <c r="H19" t="s">
        <v>201</v>
      </c>
      <c r="I19" t="s">
        <v>1881</v>
      </c>
    </row>
    <row r="20" spans="1:9" ht="19">
      <c r="A20">
        <v>19</v>
      </c>
      <c r="B20" s="1" t="s">
        <v>950</v>
      </c>
      <c r="E20" t="s">
        <v>390</v>
      </c>
      <c r="F20" t="s">
        <v>201</v>
      </c>
      <c r="G20" t="s">
        <v>1629</v>
      </c>
      <c r="H20" t="s">
        <v>201</v>
      </c>
      <c r="I20" t="s">
        <v>1895</v>
      </c>
    </row>
    <row r="21" spans="1:9" ht="19">
      <c r="A21">
        <v>20</v>
      </c>
      <c r="B21" s="1" t="s">
        <v>951</v>
      </c>
      <c r="E21" t="s">
        <v>390</v>
      </c>
      <c r="F21" t="s">
        <v>201</v>
      </c>
      <c r="G21" t="s">
        <v>1633</v>
      </c>
      <c r="H21" t="s">
        <v>201</v>
      </c>
      <c r="I21" t="s">
        <v>1852</v>
      </c>
    </row>
    <row r="22" spans="1:9" ht="19">
      <c r="A22">
        <v>21</v>
      </c>
      <c r="B22" s="1" t="s">
        <v>952</v>
      </c>
      <c r="E22" t="s">
        <v>390</v>
      </c>
      <c r="F22" t="s">
        <v>201</v>
      </c>
      <c r="G22" t="s">
        <v>1572</v>
      </c>
      <c r="H22" t="s">
        <v>201</v>
      </c>
      <c r="I22" t="s">
        <v>1838</v>
      </c>
    </row>
    <row r="23" spans="1:9" ht="19">
      <c r="A23">
        <v>22</v>
      </c>
      <c r="B23" s="1" t="s">
        <v>953</v>
      </c>
      <c r="E23" t="s">
        <v>390</v>
      </c>
      <c r="F23" t="s">
        <v>201</v>
      </c>
      <c r="G23" t="s">
        <v>1607</v>
      </c>
      <c r="H23" t="s">
        <v>201</v>
      </c>
      <c r="I23" t="s">
        <v>1873</v>
      </c>
    </row>
    <row r="24" spans="1:9" ht="19">
      <c r="A24">
        <v>23</v>
      </c>
      <c r="B24" s="1" t="s">
        <v>954</v>
      </c>
      <c r="E24" t="s">
        <v>390</v>
      </c>
      <c r="F24" t="s">
        <v>192</v>
      </c>
      <c r="G24" t="s">
        <v>1568</v>
      </c>
      <c r="H24" t="s">
        <v>201</v>
      </c>
      <c r="I24" t="s">
        <v>1834</v>
      </c>
    </row>
    <row r="25" spans="1:9" ht="19">
      <c r="A25">
        <v>24</v>
      </c>
      <c r="B25" s="1" t="s">
        <v>955</v>
      </c>
      <c r="E25" t="s">
        <v>390</v>
      </c>
      <c r="F25" t="s">
        <v>201</v>
      </c>
      <c r="G25" t="s">
        <v>1577</v>
      </c>
      <c r="H25" t="s">
        <v>201</v>
      </c>
      <c r="I25" t="s">
        <v>1843</v>
      </c>
    </row>
    <row r="26" spans="1:9" ht="19">
      <c r="A26">
        <v>25</v>
      </c>
      <c r="B26" s="1" t="s">
        <v>956</v>
      </c>
      <c r="E26" t="s">
        <v>390</v>
      </c>
      <c r="F26" t="s">
        <v>201</v>
      </c>
      <c r="G26" t="s">
        <v>1604</v>
      </c>
      <c r="H26" t="s">
        <v>201</v>
      </c>
      <c r="I26" t="s">
        <v>1870</v>
      </c>
    </row>
    <row r="27" spans="1:9" ht="19">
      <c r="A27">
        <v>26</v>
      </c>
      <c r="B27" s="1" t="s">
        <v>957</v>
      </c>
      <c r="E27" t="s">
        <v>390</v>
      </c>
      <c r="F27" t="s">
        <v>192</v>
      </c>
      <c r="G27" t="s">
        <v>1600</v>
      </c>
      <c r="H27" t="s">
        <v>201</v>
      </c>
      <c r="I27" t="s">
        <v>1866</v>
      </c>
    </row>
    <row r="28" spans="1:9" ht="19">
      <c r="A28">
        <v>27</v>
      </c>
      <c r="B28" s="1" t="s">
        <v>958</v>
      </c>
      <c r="E28" t="s">
        <v>390</v>
      </c>
      <c r="F28" t="s">
        <v>192</v>
      </c>
      <c r="G28" t="s">
        <v>1579</v>
      </c>
      <c r="H28" t="s">
        <v>192</v>
      </c>
      <c r="I28" t="s">
        <v>1845</v>
      </c>
    </row>
    <row r="29" spans="1:9" ht="19">
      <c r="A29">
        <v>28</v>
      </c>
      <c r="B29" s="1" t="s">
        <v>959</v>
      </c>
      <c r="E29" t="s">
        <v>390</v>
      </c>
      <c r="F29" t="s">
        <v>201</v>
      </c>
      <c r="G29" t="s">
        <v>1606</v>
      </c>
      <c r="H29" t="s">
        <v>201</v>
      </c>
      <c r="I29" t="s">
        <v>1872</v>
      </c>
    </row>
    <row r="30" spans="1:9" ht="19">
      <c r="A30">
        <v>29</v>
      </c>
      <c r="B30" s="1" t="s">
        <v>960</v>
      </c>
      <c r="E30" t="s">
        <v>390</v>
      </c>
      <c r="F30" t="s">
        <v>192</v>
      </c>
      <c r="G30" t="s">
        <v>1583</v>
      </c>
      <c r="H30" t="s">
        <v>192</v>
      </c>
      <c r="I30" t="s">
        <v>1849</v>
      </c>
    </row>
    <row r="31" spans="1:9" ht="19">
      <c r="A31">
        <v>30</v>
      </c>
      <c r="B31" s="1" t="s">
        <v>961</v>
      </c>
      <c r="E31" t="s">
        <v>390</v>
      </c>
      <c r="F31" t="s">
        <v>201</v>
      </c>
      <c r="G31" t="s">
        <v>1613</v>
      </c>
      <c r="H31" t="s">
        <v>201</v>
      </c>
      <c r="I31" t="s">
        <v>1879</v>
      </c>
    </row>
    <row r="32" spans="1:9" ht="19">
      <c r="A32">
        <v>31</v>
      </c>
      <c r="B32" s="1" t="s">
        <v>962</v>
      </c>
      <c r="E32" t="s">
        <v>390</v>
      </c>
      <c r="F32" t="s">
        <v>192</v>
      </c>
      <c r="G32" t="s">
        <v>1623</v>
      </c>
      <c r="H32" t="s">
        <v>201</v>
      </c>
      <c r="I32" t="s">
        <v>1889</v>
      </c>
    </row>
    <row r="33" spans="1:9" ht="19">
      <c r="A33">
        <v>32</v>
      </c>
      <c r="B33" s="1" t="s">
        <v>963</v>
      </c>
      <c r="E33" t="s">
        <v>390</v>
      </c>
      <c r="F33" t="s">
        <v>201</v>
      </c>
      <c r="G33" t="s">
        <v>1596</v>
      </c>
      <c r="H33" t="s">
        <v>201</v>
      </c>
      <c r="I33" t="s">
        <v>1862</v>
      </c>
    </row>
    <row r="34" spans="1:9" ht="19">
      <c r="A34">
        <v>33</v>
      </c>
      <c r="B34" s="1" t="s">
        <v>964</v>
      </c>
      <c r="E34" t="s">
        <v>390</v>
      </c>
      <c r="F34" t="s">
        <v>201</v>
      </c>
      <c r="G34" t="s">
        <v>1563</v>
      </c>
      <c r="H34" t="s">
        <v>201</v>
      </c>
      <c r="I34" t="s">
        <v>1829</v>
      </c>
    </row>
    <row r="35" spans="1:9" ht="19">
      <c r="A35">
        <v>34</v>
      </c>
      <c r="B35" s="1" t="s">
        <v>965</v>
      </c>
      <c r="E35" t="s">
        <v>390</v>
      </c>
      <c r="F35" t="s">
        <v>201</v>
      </c>
      <c r="G35" t="s">
        <v>1601</v>
      </c>
      <c r="H35" t="s">
        <v>201</v>
      </c>
      <c r="I35" t="s">
        <v>1867</v>
      </c>
    </row>
    <row r="36" spans="1:9" ht="19">
      <c r="A36">
        <v>35</v>
      </c>
      <c r="B36" s="1" t="s">
        <v>966</v>
      </c>
      <c r="E36" t="s">
        <v>390</v>
      </c>
      <c r="F36" t="s">
        <v>201</v>
      </c>
      <c r="G36" t="s">
        <v>1555</v>
      </c>
      <c r="H36" t="s">
        <v>201</v>
      </c>
      <c r="I36" t="s">
        <v>1821</v>
      </c>
    </row>
    <row r="37" spans="1:9" ht="19">
      <c r="A37">
        <v>36</v>
      </c>
      <c r="B37" s="1" t="s">
        <v>967</v>
      </c>
      <c r="E37" t="s">
        <v>390</v>
      </c>
      <c r="F37" t="s">
        <v>201</v>
      </c>
      <c r="G37" t="s">
        <v>1582</v>
      </c>
      <c r="H37" t="s">
        <v>201</v>
      </c>
      <c r="I37" t="s">
        <v>1848</v>
      </c>
    </row>
    <row r="38" spans="1:9" ht="19">
      <c r="A38">
        <v>37</v>
      </c>
      <c r="B38" s="1" t="s">
        <v>968</v>
      </c>
      <c r="E38" t="s">
        <v>390</v>
      </c>
      <c r="F38" t="s">
        <v>201</v>
      </c>
      <c r="G38" t="s">
        <v>1559</v>
      </c>
      <c r="H38" t="s">
        <v>201</v>
      </c>
      <c r="I38" t="s">
        <v>1825</v>
      </c>
    </row>
    <row r="39" spans="1:9" ht="19">
      <c r="A39">
        <v>38</v>
      </c>
      <c r="B39" s="1" t="s">
        <v>969</v>
      </c>
      <c r="E39" t="s">
        <v>390</v>
      </c>
      <c r="F39" t="s">
        <v>201</v>
      </c>
      <c r="G39" t="s">
        <v>1599</v>
      </c>
      <c r="H39" t="s">
        <v>201</v>
      </c>
      <c r="I39" t="s">
        <v>1865</v>
      </c>
    </row>
    <row r="40" spans="1:9" ht="19">
      <c r="A40">
        <v>39</v>
      </c>
      <c r="B40" s="1" t="s">
        <v>970</v>
      </c>
      <c r="E40" t="s">
        <v>390</v>
      </c>
      <c r="F40" t="s">
        <v>201</v>
      </c>
      <c r="G40" t="s">
        <v>1594</v>
      </c>
      <c r="H40" t="s">
        <v>201</v>
      </c>
      <c r="I40" t="s">
        <v>1860</v>
      </c>
    </row>
    <row r="41" spans="1:9" ht="19">
      <c r="A41">
        <v>40</v>
      </c>
      <c r="B41" s="1" t="s">
        <v>971</v>
      </c>
      <c r="E41" t="s">
        <v>390</v>
      </c>
      <c r="F41" t="s">
        <v>201</v>
      </c>
      <c r="G41" t="s">
        <v>1575</v>
      </c>
      <c r="H41" t="s">
        <v>201</v>
      </c>
      <c r="I41" t="s">
        <v>1841</v>
      </c>
    </row>
    <row r="42" spans="1:9" ht="19">
      <c r="A42">
        <v>41</v>
      </c>
      <c r="B42" s="1" t="s">
        <v>972</v>
      </c>
      <c r="E42" t="s">
        <v>390</v>
      </c>
      <c r="F42" t="s">
        <v>192</v>
      </c>
      <c r="G42" t="s">
        <v>1610</v>
      </c>
      <c r="H42" t="s">
        <v>201</v>
      </c>
      <c r="I42" t="s">
        <v>1876</v>
      </c>
    </row>
    <row r="43" spans="1:9" ht="19">
      <c r="A43">
        <v>42</v>
      </c>
      <c r="B43" s="1" t="s">
        <v>973</v>
      </c>
      <c r="E43" t="s">
        <v>390</v>
      </c>
      <c r="F43" t="s">
        <v>201</v>
      </c>
      <c r="G43" t="s">
        <v>1605</v>
      </c>
      <c r="H43" t="s">
        <v>201</v>
      </c>
      <c r="I43" t="s">
        <v>1871</v>
      </c>
    </row>
    <row r="44" spans="1:9" ht="19">
      <c r="A44">
        <v>43</v>
      </c>
      <c r="B44" s="1" t="s">
        <v>974</v>
      </c>
      <c r="E44" t="s">
        <v>390</v>
      </c>
      <c r="F44" t="s">
        <v>201</v>
      </c>
      <c r="G44" t="s">
        <v>1622</v>
      </c>
      <c r="H44" t="s">
        <v>201</v>
      </c>
      <c r="I44" t="s">
        <v>1888</v>
      </c>
    </row>
    <row r="45" spans="1:9" ht="19">
      <c r="A45">
        <v>44</v>
      </c>
      <c r="B45" s="1" t="s">
        <v>975</v>
      </c>
      <c r="E45" t="s">
        <v>390</v>
      </c>
      <c r="F45" t="s">
        <v>201</v>
      </c>
      <c r="G45" t="s">
        <v>1585</v>
      </c>
      <c r="H45" t="s">
        <v>201</v>
      </c>
      <c r="I45" t="s">
        <v>1851</v>
      </c>
    </row>
    <row r="46" spans="1:9" ht="19">
      <c r="A46">
        <v>45</v>
      </c>
      <c r="B46" s="1" t="s">
        <v>976</v>
      </c>
      <c r="E46" t="s">
        <v>390</v>
      </c>
      <c r="F46" t="s">
        <v>201</v>
      </c>
      <c r="G46" t="s">
        <v>1632</v>
      </c>
      <c r="H46" t="s">
        <v>201</v>
      </c>
      <c r="I46" t="s">
        <v>1898</v>
      </c>
    </row>
    <row r="47" spans="1:9" ht="19">
      <c r="A47">
        <v>46</v>
      </c>
      <c r="B47" s="1" t="s">
        <v>977</v>
      </c>
      <c r="E47" t="s">
        <v>390</v>
      </c>
      <c r="F47" t="s">
        <v>201</v>
      </c>
      <c r="G47" t="s">
        <v>1598</v>
      </c>
      <c r="H47" t="s">
        <v>201</v>
      </c>
      <c r="I47" t="s">
        <v>1864</v>
      </c>
    </row>
    <row r="48" spans="1:9" ht="19">
      <c r="A48">
        <v>47</v>
      </c>
      <c r="B48" s="1" t="s">
        <v>978</v>
      </c>
      <c r="E48" t="s">
        <v>390</v>
      </c>
      <c r="F48" t="s">
        <v>201</v>
      </c>
      <c r="G48" t="s">
        <v>1631</v>
      </c>
      <c r="H48" t="s">
        <v>201</v>
      </c>
      <c r="I48" t="s">
        <v>1897</v>
      </c>
    </row>
    <row r="49" spans="1:9" ht="19">
      <c r="A49">
        <v>48</v>
      </c>
      <c r="B49" s="1" t="s">
        <v>979</v>
      </c>
      <c r="E49" t="s">
        <v>390</v>
      </c>
      <c r="F49" t="s">
        <v>201</v>
      </c>
      <c r="G49" t="s">
        <v>1592</v>
      </c>
      <c r="H49" t="s">
        <v>201</v>
      </c>
      <c r="I49" t="s">
        <v>1858</v>
      </c>
    </row>
    <row r="50" spans="1:9" ht="19">
      <c r="A50">
        <v>49</v>
      </c>
      <c r="B50" s="1" t="s">
        <v>980</v>
      </c>
      <c r="E50" t="s">
        <v>390</v>
      </c>
      <c r="F50" t="s">
        <v>201</v>
      </c>
      <c r="G50" t="s">
        <v>1638</v>
      </c>
      <c r="H50" t="s">
        <v>192</v>
      </c>
      <c r="I50" t="s">
        <v>1903</v>
      </c>
    </row>
    <row r="51" spans="1:9" ht="19">
      <c r="A51">
        <v>50</v>
      </c>
      <c r="B51" s="1" t="s">
        <v>981</v>
      </c>
      <c r="E51" t="s">
        <v>390</v>
      </c>
      <c r="F51" t="s">
        <v>201</v>
      </c>
      <c r="G51" t="s">
        <v>1626</v>
      </c>
      <c r="H51" t="s">
        <v>201</v>
      </c>
      <c r="I51" t="s">
        <v>1892</v>
      </c>
    </row>
    <row r="52" spans="1:9" ht="19">
      <c r="A52">
        <v>51</v>
      </c>
      <c r="B52" s="1" t="s">
        <v>982</v>
      </c>
      <c r="E52" t="s">
        <v>390</v>
      </c>
      <c r="F52" t="s">
        <v>201</v>
      </c>
      <c r="G52" t="s">
        <v>1616</v>
      </c>
      <c r="H52" t="s">
        <v>201</v>
      </c>
      <c r="I52" t="s">
        <v>1882</v>
      </c>
    </row>
    <row r="53" spans="1:9" ht="19">
      <c r="A53">
        <v>52</v>
      </c>
      <c r="B53" s="1" t="s">
        <v>983</v>
      </c>
      <c r="E53" t="s">
        <v>390</v>
      </c>
      <c r="F53" t="s">
        <v>192</v>
      </c>
      <c r="G53" t="s">
        <v>1561</v>
      </c>
      <c r="H53" t="s">
        <v>201</v>
      </c>
      <c r="I53" t="s">
        <v>1827</v>
      </c>
    </row>
    <row r="54" spans="1:9" ht="19">
      <c r="A54">
        <v>53</v>
      </c>
      <c r="B54" s="1" t="s">
        <v>984</v>
      </c>
      <c r="E54" t="s">
        <v>390</v>
      </c>
      <c r="F54" t="s">
        <v>201</v>
      </c>
      <c r="G54" t="s">
        <v>1620</v>
      </c>
      <c r="H54" t="s">
        <v>201</v>
      </c>
      <c r="I54" t="s">
        <v>1886</v>
      </c>
    </row>
    <row r="55" spans="1:9" ht="19">
      <c r="A55">
        <v>54</v>
      </c>
      <c r="B55" s="1" t="s">
        <v>985</v>
      </c>
      <c r="E55" t="s">
        <v>390</v>
      </c>
      <c r="F55" t="s">
        <v>201</v>
      </c>
      <c r="G55" t="s">
        <v>1618</v>
      </c>
      <c r="H55" t="s">
        <v>201</v>
      </c>
      <c r="I55" t="s">
        <v>1884</v>
      </c>
    </row>
    <row r="56" spans="1:9" ht="19">
      <c r="A56">
        <v>55</v>
      </c>
      <c r="B56" s="1" t="s">
        <v>986</v>
      </c>
      <c r="E56" t="s">
        <v>390</v>
      </c>
      <c r="F56" t="s">
        <v>201</v>
      </c>
      <c r="G56" t="s">
        <v>1628</v>
      </c>
      <c r="H56" t="s">
        <v>201</v>
      </c>
      <c r="I56" t="s">
        <v>1894</v>
      </c>
    </row>
    <row r="57" spans="1:9" ht="19">
      <c r="A57">
        <v>56</v>
      </c>
      <c r="B57" s="1" t="s">
        <v>987</v>
      </c>
      <c r="E57" t="s">
        <v>390</v>
      </c>
      <c r="F57" t="s">
        <v>201</v>
      </c>
      <c r="G57" t="s">
        <v>1590</v>
      </c>
      <c r="H57" t="s">
        <v>201</v>
      </c>
      <c r="I57" t="s">
        <v>1856</v>
      </c>
    </row>
    <row r="58" spans="1:9" ht="19">
      <c r="A58">
        <v>57</v>
      </c>
      <c r="B58" s="1" t="s">
        <v>988</v>
      </c>
      <c r="E58" t="s">
        <v>390</v>
      </c>
      <c r="F58" t="s">
        <v>201</v>
      </c>
      <c r="G58" t="s">
        <v>1562</v>
      </c>
      <c r="H58" t="s">
        <v>192</v>
      </c>
      <c r="I58" t="s">
        <v>1828</v>
      </c>
    </row>
    <row r="59" spans="1:9" ht="19">
      <c r="A59">
        <v>58</v>
      </c>
      <c r="B59" s="1" t="s">
        <v>989</v>
      </c>
      <c r="E59" t="s">
        <v>390</v>
      </c>
      <c r="F59" t="s">
        <v>201</v>
      </c>
      <c r="G59" t="s">
        <v>1567</v>
      </c>
      <c r="H59" t="s">
        <v>201</v>
      </c>
      <c r="I59" t="s">
        <v>1833</v>
      </c>
    </row>
    <row r="60" spans="1:9" ht="19">
      <c r="A60">
        <v>59</v>
      </c>
      <c r="B60" s="1" t="s">
        <v>990</v>
      </c>
      <c r="E60" t="s">
        <v>390</v>
      </c>
      <c r="F60" t="s">
        <v>201</v>
      </c>
      <c r="G60" t="s">
        <v>1558</v>
      </c>
      <c r="H60" t="s">
        <v>201</v>
      </c>
      <c r="I60" t="s">
        <v>1824</v>
      </c>
    </row>
    <row r="61" spans="1:9" ht="19">
      <c r="A61">
        <v>60</v>
      </c>
      <c r="B61" s="1" t="s">
        <v>991</v>
      </c>
      <c r="E61" t="s">
        <v>390</v>
      </c>
      <c r="F61" t="s">
        <v>201</v>
      </c>
      <c r="G61" t="s">
        <v>1587</v>
      </c>
      <c r="H61" t="s">
        <v>201</v>
      </c>
      <c r="I61" t="s">
        <v>1853</v>
      </c>
    </row>
    <row r="62" spans="1:9" ht="19">
      <c r="A62">
        <v>61</v>
      </c>
      <c r="B62" s="1" t="s">
        <v>992</v>
      </c>
      <c r="E62" t="s">
        <v>390</v>
      </c>
      <c r="F62" t="s">
        <v>201</v>
      </c>
      <c r="G62" t="s">
        <v>1624</v>
      </c>
      <c r="H62" t="s">
        <v>201</v>
      </c>
      <c r="I62" t="s">
        <v>1890</v>
      </c>
    </row>
    <row r="63" spans="1:9" ht="19">
      <c r="A63">
        <v>62</v>
      </c>
      <c r="B63" s="1" t="s">
        <v>993</v>
      </c>
      <c r="E63" t="s">
        <v>390</v>
      </c>
      <c r="F63" t="s">
        <v>201</v>
      </c>
      <c r="G63" t="s">
        <v>1635</v>
      </c>
      <c r="H63" t="s">
        <v>201</v>
      </c>
      <c r="I63" t="s">
        <v>1900</v>
      </c>
    </row>
    <row r="64" spans="1:9" ht="19">
      <c r="A64">
        <v>63</v>
      </c>
      <c r="B64" s="1" t="s">
        <v>994</v>
      </c>
      <c r="E64" t="s">
        <v>390</v>
      </c>
      <c r="F64" t="s">
        <v>201</v>
      </c>
      <c r="G64" t="s">
        <v>1627</v>
      </c>
      <c r="H64" t="s">
        <v>201</v>
      </c>
      <c r="I64" t="s">
        <v>1893</v>
      </c>
    </row>
    <row r="65" spans="1:9" ht="19">
      <c r="A65">
        <v>64</v>
      </c>
      <c r="B65" s="1" t="s">
        <v>995</v>
      </c>
      <c r="E65" t="s">
        <v>390</v>
      </c>
      <c r="F65" t="s">
        <v>201</v>
      </c>
      <c r="G65" t="s">
        <v>1630</v>
      </c>
      <c r="H65" t="s">
        <v>201</v>
      </c>
      <c r="I65" t="s">
        <v>1896</v>
      </c>
    </row>
    <row r="66" spans="1:9" ht="19">
      <c r="A66">
        <v>65</v>
      </c>
      <c r="B66" s="1" t="s">
        <v>996</v>
      </c>
      <c r="E66" t="s">
        <v>390</v>
      </c>
      <c r="F66" t="s">
        <v>201</v>
      </c>
      <c r="G66" t="s">
        <v>1565</v>
      </c>
      <c r="H66" t="s">
        <v>201</v>
      </c>
      <c r="I66" t="s">
        <v>1831</v>
      </c>
    </row>
    <row r="67" spans="1:9" ht="19">
      <c r="A67">
        <v>66</v>
      </c>
      <c r="B67" s="1" t="s">
        <v>997</v>
      </c>
      <c r="E67" t="s">
        <v>390</v>
      </c>
      <c r="F67" t="s">
        <v>201</v>
      </c>
      <c r="G67" t="s">
        <v>1584</v>
      </c>
      <c r="H67" t="s">
        <v>201</v>
      </c>
      <c r="I67" t="s">
        <v>1850</v>
      </c>
    </row>
    <row r="68" spans="1:9" ht="19">
      <c r="A68">
        <v>67</v>
      </c>
      <c r="B68" s="1" t="s">
        <v>998</v>
      </c>
      <c r="E68" t="s">
        <v>390</v>
      </c>
      <c r="F68" t="s">
        <v>201</v>
      </c>
      <c r="G68" t="s">
        <v>1580</v>
      </c>
      <c r="H68" t="s">
        <v>201</v>
      </c>
      <c r="I68" t="s">
        <v>1846</v>
      </c>
    </row>
    <row r="69" spans="1:9" ht="19">
      <c r="A69">
        <v>68</v>
      </c>
      <c r="B69" s="1" t="s">
        <v>999</v>
      </c>
      <c r="E69" t="s">
        <v>390</v>
      </c>
      <c r="F69" t="s">
        <v>201</v>
      </c>
      <c r="G69" t="s">
        <v>1634</v>
      </c>
      <c r="H69" t="s">
        <v>201</v>
      </c>
      <c r="I69" t="s">
        <v>1899</v>
      </c>
    </row>
    <row r="70" spans="1:9" ht="19">
      <c r="A70">
        <v>69</v>
      </c>
      <c r="B70" s="1" t="s">
        <v>1000</v>
      </c>
      <c r="E70" t="s">
        <v>390</v>
      </c>
      <c r="F70" t="s">
        <v>201</v>
      </c>
      <c r="G70" t="s">
        <v>1588</v>
      </c>
      <c r="H70" t="s">
        <v>201</v>
      </c>
      <c r="I70" t="s">
        <v>1854</v>
      </c>
    </row>
    <row r="71" spans="1:9" ht="19">
      <c r="A71">
        <v>70</v>
      </c>
      <c r="B71" s="1" t="s">
        <v>1001</v>
      </c>
      <c r="E71" t="s">
        <v>390</v>
      </c>
      <c r="F71" t="s">
        <v>201</v>
      </c>
      <c r="G71" t="s">
        <v>1609</v>
      </c>
      <c r="H71" t="s">
        <v>201</v>
      </c>
      <c r="I71" t="s">
        <v>1875</v>
      </c>
    </row>
    <row r="72" spans="1:9" ht="19">
      <c r="A72">
        <v>71</v>
      </c>
      <c r="B72" s="1" t="s">
        <v>1002</v>
      </c>
      <c r="E72" t="s">
        <v>390</v>
      </c>
      <c r="F72" t="s">
        <v>192</v>
      </c>
      <c r="G72" t="s">
        <v>1564</v>
      </c>
      <c r="H72" t="s">
        <v>192</v>
      </c>
      <c r="I72" t="s">
        <v>1830</v>
      </c>
    </row>
    <row r="73" spans="1:9" ht="19">
      <c r="A73">
        <v>72</v>
      </c>
      <c r="B73" s="1" t="s">
        <v>1003</v>
      </c>
      <c r="E73" t="s">
        <v>390</v>
      </c>
      <c r="F73" t="s">
        <v>201</v>
      </c>
      <c r="G73" t="s">
        <v>1608</v>
      </c>
      <c r="H73" t="s">
        <v>192</v>
      </c>
      <c r="I73" t="s">
        <v>1874</v>
      </c>
    </row>
    <row r="74" spans="1:9" ht="19">
      <c r="A74">
        <v>73</v>
      </c>
      <c r="B74" s="1" t="s">
        <v>1004</v>
      </c>
      <c r="E74" t="s">
        <v>390</v>
      </c>
      <c r="F74" t="s">
        <v>192</v>
      </c>
      <c r="G74" t="s">
        <v>1612</v>
      </c>
      <c r="H74" t="s">
        <v>192</v>
      </c>
      <c r="I74" t="s">
        <v>1878</v>
      </c>
    </row>
    <row r="75" spans="1:9" ht="19">
      <c r="A75">
        <v>74</v>
      </c>
      <c r="B75" s="1" t="s">
        <v>1005</v>
      </c>
      <c r="E75" t="s">
        <v>390</v>
      </c>
      <c r="F75" t="s">
        <v>192</v>
      </c>
      <c r="G75" t="s">
        <v>1589</v>
      </c>
      <c r="H75" t="s">
        <v>192</v>
      </c>
      <c r="I75" t="s">
        <v>1855</v>
      </c>
    </row>
    <row r="76" spans="1:9" ht="19">
      <c r="A76">
        <v>75</v>
      </c>
      <c r="B76" s="1" t="s">
        <v>1006</v>
      </c>
      <c r="E76" t="s">
        <v>390</v>
      </c>
      <c r="F76" t="s">
        <v>201</v>
      </c>
      <c r="G76" t="s">
        <v>1621</v>
      </c>
      <c r="H76" t="s">
        <v>201</v>
      </c>
      <c r="I76" t="s">
        <v>1887</v>
      </c>
    </row>
    <row r="77" spans="1:9" ht="19">
      <c r="A77">
        <v>76</v>
      </c>
      <c r="B77" s="1" t="s">
        <v>1007</v>
      </c>
      <c r="E77" t="s">
        <v>390</v>
      </c>
      <c r="F77" t="s">
        <v>201</v>
      </c>
      <c r="G77" t="s">
        <v>1566</v>
      </c>
      <c r="H77" t="s">
        <v>201</v>
      </c>
      <c r="I77" t="s">
        <v>1832</v>
      </c>
    </row>
    <row r="78" spans="1:9" ht="19">
      <c r="A78">
        <v>77</v>
      </c>
      <c r="B78" s="1" t="s">
        <v>1008</v>
      </c>
      <c r="E78" t="s">
        <v>390</v>
      </c>
      <c r="F78" t="s">
        <v>201</v>
      </c>
      <c r="G78" t="s">
        <v>1576</v>
      </c>
      <c r="H78" t="s">
        <v>201</v>
      </c>
      <c r="I78" t="s">
        <v>1842</v>
      </c>
    </row>
    <row r="79" spans="1:9" ht="19">
      <c r="A79">
        <v>78</v>
      </c>
      <c r="B79" s="1" t="s">
        <v>1009</v>
      </c>
      <c r="E79" t="s">
        <v>390</v>
      </c>
      <c r="F79" t="s">
        <v>201</v>
      </c>
      <c r="G79" t="s">
        <v>1617</v>
      </c>
      <c r="H79" t="s">
        <v>201</v>
      </c>
      <c r="I79" t="s">
        <v>1883</v>
      </c>
    </row>
    <row r="80" spans="1:9" ht="19">
      <c r="A80">
        <v>79</v>
      </c>
      <c r="B80" s="1" t="s">
        <v>1010</v>
      </c>
      <c r="E80" t="s">
        <v>390</v>
      </c>
      <c r="F80" t="s">
        <v>201</v>
      </c>
      <c r="G80" t="s">
        <v>1573</v>
      </c>
      <c r="H80" t="s">
        <v>201</v>
      </c>
      <c r="I80" t="s">
        <v>1839</v>
      </c>
    </row>
    <row r="81" spans="1:9" ht="19">
      <c r="A81">
        <v>80</v>
      </c>
      <c r="B81" s="1" t="s">
        <v>1011</v>
      </c>
      <c r="E81" t="s">
        <v>390</v>
      </c>
      <c r="F81" t="s">
        <v>192</v>
      </c>
      <c r="G81" t="s">
        <v>1637</v>
      </c>
      <c r="H81" t="s">
        <v>192</v>
      </c>
      <c r="I81" t="s">
        <v>1902</v>
      </c>
    </row>
    <row r="82" spans="1:9" ht="19">
      <c r="A82">
        <v>81</v>
      </c>
      <c r="B82" s="1" t="s">
        <v>1012</v>
      </c>
      <c r="E82" t="s">
        <v>390</v>
      </c>
      <c r="F82" t="s">
        <v>201</v>
      </c>
      <c r="G82" t="s">
        <v>1570</v>
      </c>
      <c r="H82" t="s">
        <v>201</v>
      </c>
      <c r="I82" t="s">
        <v>1836</v>
      </c>
    </row>
    <row r="83" spans="1:9" ht="19">
      <c r="A83">
        <v>82</v>
      </c>
      <c r="B83" s="1" t="s">
        <v>1013</v>
      </c>
      <c r="E83" t="s">
        <v>390</v>
      </c>
      <c r="F83" t="s">
        <v>201</v>
      </c>
      <c r="G83" t="s">
        <v>1560</v>
      </c>
      <c r="H83" t="s">
        <v>201</v>
      </c>
      <c r="I83" t="s">
        <v>1826</v>
      </c>
    </row>
    <row r="84" spans="1:9" ht="19">
      <c r="A84">
        <v>83</v>
      </c>
      <c r="B84" s="1" t="s">
        <v>1014</v>
      </c>
      <c r="E84" t="s">
        <v>390</v>
      </c>
      <c r="F84" t="s">
        <v>201</v>
      </c>
      <c r="G84" t="s">
        <v>1614</v>
      </c>
      <c r="H84" t="s">
        <v>201</v>
      </c>
      <c r="I84" t="s">
        <v>1880</v>
      </c>
    </row>
    <row r="85" spans="1:9" ht="19">
      <c r="A85">
        <v>84</v>
      </c>
      <c r="B85" s="1" t="s">
        <v>1015</v>
      </c>
      <c r="E85" t="s">
        <v>390</v>
      </c>
      <c r="F85" t="s">
        <v>201</v>
      </c>
      <c r="G85" t="s">
        <v>1636</v>
      </c>
      <c r="H85" t="s">
        <v>201</v>
      </c>
      <c r="I85" t="s">
        <v>1901</v>
      </c>
    </row>
    <row r="86" spans="1:9" ht="19">
      <c r="A86">
        <v>85</v>
      </c>
      <c r="B86" s="1" t="s">
        <v>1016</v>
      </c>
      <c r="E86" t="s">
        <v>390</v>
      </c>
      <c r="F86" t="s">
        <v>201</v>
      </c>
      <c r="G86" t="s">
        <v>1581</v>
      </c>
      <c r="H86" t="s">
        <v>201</v>
      </c>
      <c r="I86" t="s">
        <v>1847</v>
      </c>
    </row>
    <row r="87" spans="1:9" ht="19">
      <c r="B87" s="1"/>
    </row>
    <row r="88" spans="1:9" ht="19">
      <c r="B88" s="1"/>
    </row>
    <row r="89" spans="1:9" ht="19">
      <c r="B89" s="1"/>
    </row>
    <row r="90" spans="1:9" ht="19">
      <c r="B90" s="1"/>
    </row>
    <row r="91" spans="1:9" ht="19">
      <c r="B91" s="1"/>
    </row>
    <row r="92" spans="1:9" ht="19">
      <c r="B92" s="1"/>
    </row>
    <row r="93" spans="1:9" ht="19">
      <c r="B93" s="1"/>
    </row>
    <row r="94" spans="1:9" ht="19">
      <c r="B94" s="1"/>
    </row>
    <row r="95" spans="1:9" ht="19">
      <c r="B95" s="1"/>
    </row>
    <row r="96" spans="1:9" ht="19">
      <c r="B96" s="1"/>
    </row>
    <row r="97" spans="2:2" ht="19">
      <c r="B97" s="1"/>
    </row>
    <row r="98" spans="2:2" ht="19">
      <c r="B98" s="1"/>
    </row>
    <row r="99" spans="2:2" ht="19">
      <c r="B99" s="1"/>
    </row>
    <row r="100" spans="2:2" ht="19">
      <c r="B100" s="1"/>
    </row>
    <row r="101" spans="2:2" ht="19">
      <c r="B101" s="1"/>
    </row>
    <row r="102" spans="2:2" ht="19">
      <c r="B102" s="1"/>
    </row>
    <row r="103" spans="2:2" ht="19">
      <c r="B103" s="1"/>
    </row>
    <row r="104" spans="2:2" ht="19">
      <c r="B104" s="1"/>
    </row>
    <row r="105" spans="2:2" ht="19">
      <c r="B105" s="1"/>
    </row>
    <row r="106" spans="2:2" ht="19">
      <c r="B106" s="1"/>
    </row>
    <row r="107" spans="2:2" ht="19">
      <c r="B107" s="1"/>
    </row>
    <row r="108" spans="2:2" ht="19">
      <c r="B108" s="1"/>
    </row>
    <row r="109" spans="2:2" ht="19">
      <c r="B109" s="1"/>
    </row>
    <row r="110" spans="2:2" ht="19">
      <c r="B110" s="1"/>
    </row>
    <row r="111" spans="2:2" ht="19">
      <c r="B111" s="1"/>
    </row>
    <row r="112" spans="2:2" ht="19">
      <c r="B112" s="1"/>
    </row>
    <row r="113" spans="2:2" ht="19">
      <c r="B113" s="1"/>
    </row>
    <row r="114" spans="2:2" ht="19">
      <c r="B114" s="1"/>
    </row>
    <row r="115" spans="2:2" ht="19">
      <c r="B115" s="1"/>
    </row>
    <row r="116" spans="2:2" ht="19">
      <c r="B116" s="1"/>
    </row>
    <row r="117" spans="2:2" ht="19">
      <c r="B117" s="1"/>
    </row>
    <row r="118" spans="2:2" ht="19">
      <c r="B118" s="1"/>
    </row>
    <row r="119" spans="2:2" ht="19">
      <c r="B119" s="1"/>
    </row>
    <row r="120" spans="2:2" ht="19">
      <c r="B120" s="1"/>
    </row>
    <row r="121" spans="2:2" ht="19">
      <c r="B121" s="1"/>
    </row>
    <row r="122" spans="2:2" ht="19">
      <c r="B122" s="1"/>
    </row>
    <row r="123" spans="2:2" ht="19">
      <c r="B123" s="1"/>
    </row>
    <row r="124" spans="2:2" ht="19">
      <c r="B124" s="1"/>
    </row>
    <row r="125" spans="2:2" ht="19">
      <c r="B125" s="1"/>
    </row>
    <row r="126" spans="2:2" ht="19">
      <c r="B126" s="1"/>
    </row>
    <row r="127" spans="2:2" ht="19">
      <c r="B127" s="1"/>
    </row>
    <row r="128" spans="2:2" ht="19">
      <c r="B128" s="1"/>
    </row>
    <row r="129" spans="2:2" ht="19">
      <c r="B129" s="1"/>
    </row>
    <row r="130" spans="2:2" ht="19">
      <c r="B130" s="1"/>
    </row>
    <row r="131" spans="2:2" ht="19">
      <c r="B131" s="1"/>
    </row>
    <row r="132" spans="2:2" ht="19">
      <c r="B132" s="1"/>
    </row>
    <row r="133" spans="2:2" ht="19">
      <c r="B133" s="1"/>
    </row>
    <row r="134" spans="2:2" ht="19">
      <c r="B134" s="1"/>
    </row>
    <row r="135" spans="2:2" ht="19">
      <c r="B135" s="1"/>
    </row>
    <row r="136" spans="2:2" ht="19">
      <c r="B136" s="1"/>
    </row>
    <row r="137" spans="2:2" ht="19">
      <c r="B137" s="1"/>
    </row>
    <row r="138" spans="2:2" ht="19">
      <c r="B138" s="1"/>
    </row>
    <row r="139" spans="2:2" ht="19">
      <c r="B139" s="1"/>
    </row>
    <row r="140" spans="2:2" ht="19">
      <c r="B140" s="1"/>
    </row>
    <row r="141" spans="2:2" ht="19">
      <c r="B141" s="1"/>
    </row>
    <row r="142" spans="2:2" ht="19">
      <c r="B142" s="1"/>
    </row>
    <row r="143" spans="2:2" ht="19">
      <c r="B143" s="1"/>
    </row>
    <row r="144" spans="2:2" ht="19">
      <c r="B144" s="1"/>
    </row>
  </sheetData>
  <autoFilter ref="A1:I144" xr:uid="{3216B4BD-7F37-5148-95AF-17A163F1BBD5}"/>
  <phoneticPr fontId="1" type="noConversion"/>
  <conditionalFormatting sqref="E1:E1048576">
    <cfRule type="cellIs" dxfId="82" priority="3" operator="equal">
      <formula>"no"</formula>
    </cfRule>
    <cfRule type="cellIs" dxfId="81" priority="4" operator="equal">
      <formula>"yes"</formula>
    </cfRule>
  </conditionalFormatting>
  <conditionalFormatting sqref="F2:F142">
    <cfRule type="expression" dxfId="80" priority="2">
      <formula>F2&lt;&gt;E2</formula>
    </cfRule>
  </conditionalFormatting>
  <conditionalFormatting sqref="H2:H142">
    <cfRule type="expression" dxfId="79" priority="1" stopIfTrue="1">
      <formula>H2&lt;&gt;E2</formula>
    </cfRule>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ABD53-10E0-8A42-B96F-1D552335BA59}">
  <dimension ref="A1:L144"/>
  <sheetViews>
    <sheetView zoomScale="84" zoomScaleNormal="100" workbookViewId="0">
      <pane ySplit="1" topLeftCell="A2" activePane="bottomLeft" state="frozen"/>
      <selection pane="bottomLeft" activeCell="H1" sqref="H1:H1048576"/>
    </sheetView>
  </sheetViews>
  <sheetFormatPr baseColWidth="10" defaultRowHeight="15"/>
  <cols>
    <col min="2" max="2" width="12.5" customWidth="1"/>
    <col min="3" max="3" width="4.83203125" style="2" customWidth="1"/>
    <col min="5" max="5" width="11.33203125" customWidth="1"/>
    <col min="10" max="10" width="14.33203125" customWidth="1"/>
  </cols>
  <sheetData>
    <row r="1" spans="1:12">
      <c r="A1" t="s">
        <v>88</v>
      </c>
      <c r="B1" t="s">
        <v>0</v>
      </c>
      <c r="C1" s="2" t="s">
        <v>202</v>
      </c>
      <c r="D1" t="s">
        <v>6</v>
      </c>
      <c r="E1" t="s">
        <v>1</v>
      </c>
      <c r="F1" t="s">
        <v>4</v>
      </c>
      <c r="G1" t="s">
        <v>2</v>
      </c>
      <c r="H1" t="s">
        <v>1904</v>
      </c>
      <c r="I1" t="s">
        <v>1819</v>
      </c>
      <c r="J1" t="s">
        <v>1067</v>
      </c>
      <c r="K1" t="s">
        <v>1192</v>
      </c>
      <c r="L1" t="s">
        <v>1105</v>
      </c>
    </row>
    <row r="2" spans="1:12" ht="19">
      <c r="A2">
        <v>1</v>
      </c>
      <c r="B2" s="1" t="s">
        <v>7</v>
      </c>
      <c r="C2" s="2" t="s">
        <v>271</v>
      </c>
      <c r="D2" t="s">
        <v>84</v>
      </c>
      <c r="E2" t="s">
        <v>391</v>
      </c>
      <c r="F2" t="s">
        <v>192</v>
      </c>
      <c r="G2" t="s">
        <v>1699</v>
      </c>
      <c r="H2" t="s">
        <v>192</v>
      </c>
      <c r="I2" t="s">
        <v>1964</v>
      </c>
      <c r="J2" t="str">
        <f>IF(COUNTIF(K:K, B2)&gt;0,$K$1,IF(COUNTIF(L:L, B2)&gt;0,$L$1,"no"))</f>
        <v>segmented videos list</v>
      </c>
      <c r="K2" s="1" t="s">
        <v>8</v>
      </c>
      <c r="L2" s="1" t="s">
        <v>7</v>
      </c>
    </row>
    <row r="3" spans="1:12" ht="19">
      <c r="A3">
        <v>2</v>
      </c>
      <c r="B3" s="1" t="s">
        <v>8</v>
      </c>
      <c r="C3" s="2" t="s">
        <v>271</v>
      </c>
      <c r="D3" t="s">
        <v>1204</v>
      </c>
      <c r="E3" t="s">
        <v>391</v>
      </c>
      <c r="F3" t="s">
        <v>192</v>
      </c>
      <c r="G3" t="s">
        <v>1714</v>
      </c>
      <c r="H3" t="s">
        <v>192</v>
      </c>
      <c r="I3" t="s">
        <v>1979</v>
      </c>
      <c r="J3" t="str">
        <f t="shared" ref="J3:J66" si="0">IF(COUNTIF(K:K, B3)&gt;0,$K$1,IF(COUNTIF(L:L, B3)&gt;0,$L$1,"no"))</f>
        <v>to dignose</v>
      </c>
      <c r="K3" s="1" t="s">
        <v>9</v>
      </c>
      <c r="L3" s="1" t="s">
        <v>8</v>
      </c>
    </row>
    <row r="4" spans="1:12" ht="19">
      <c r="A4">
        <v>3</v>
      </c>
      <c r="B4" s="1" t="s">
        <v>9</v>
      </c>
      <c r="C4" s="2" t="s">
        <v>271</v>
      </c>
      <c r="D4" t="s">
        <v>1202</v>
      </c>
      <c r="E4" t="s">
        <v>391</v>
      </c>
      <c r="F4" t="s">
        <v>192</v>
      </c>
      <c r="G4" t="s">
        <v>1706</v>
      </c>
      <c r="H4" t="s">
        <v>192</v>
      </c>
      <c r="I4" t="s">
        <v>1971</v>
      </c>
      <c r="J4" t="str">
        <f t="shared" si="0"/>
        <v>to dignose</v>
      </c>
      <c r="K4" s="1" t="s">
        <v>10</v>
      </c>
      <c r="L4" s="1" t="s">
        <v>9</v>
      </c>
    </row>
    <row r="5" spans="1:12" ht="19">
      <c r="A5">
        <v>4</v>
      </c>
      <c r="B5" s="1" t="s">
        <v>10</v>
      </c>
      <c r="C5" s="2" t="s">
        <v>271</v>
      </c>
      <c r="D5" t="s">
        <v>1204</v>
      </c>
      <c r="E5" t="s">
        <v>391</v>
      </c>
      <c r="F5" t="s">
        <v>201</v>
      </c>
      <c r="G5" t="s">
        <v>1683</v>
      </c>
      <c r="H5" t="s">
        <v>201</v>
      </c>
      <c r="I5" t="s">
        <v>1948</v>
      </c>
      <c r="J5" t="str">
        <f t="shared" si="0"/>
        <v>to dignose</v>
      </c>
      <c r="K5" s="1" t="s">
        <v>203</v>
      </c>
      <c r="L5" s="1" t="s">
        <v>10</v>
      </c>
    </row>
    <row r="6" spans="1:12" ht="19">
      <c r="A6">
        <v>5</v>
      </c>
      <c r="B6" s="1" t="s">
        <v>203</v>
      </c>
      <c r="C6" s="2" t="s">
        <v>267</v>
      </c>
      <c r="D6" t="s">
        <v>1203</v>
      </c>
      <c r="E6" t="s">
        <v>391</v>
      </c>
      <c r="F6" t="s">
        <v>192</v>
      </c>
      <c r="G6" t="s">
        <v>1689</v>
      </c>
      <c r="H6" t="s">
        <v>192</v>
      </c>
      <c r="I6" t="s">
        <v>1954</v>
      </c>
      <c r="J6" t="str">
        <f t="shared" si="0"/>
        <v>to dignose</v>
      </c>
      <c r="K6" s="1" t="s">
        <v>11</v>
      </c>
      <c r="L6" s="1" t="s">
        <v>203</v>
      </c>
    </row>
    <row r="7" spans="1:12" ht="19">
      <c r="A7">
        <v>6</v>
      </c>
      <c r="B7" s="1" t="s">
        <v>11</v>
      </c>
      <c r="C7" s="2" t="s">
        <v>271</v>
      </c>
      <c r="D7" t="s">
        <v>1203</v>
      </c>
      <c r="E7" t="s">
        <v>391</v>
      </c>
      <c r="F7" t="s">
        <v>201</v>
      </c>
      <c r="G7" t="s">
        <v>1650</v>
      </c>
      <c r="H7" t="s">
        <v>201</v>
      </c>
      <c r="I7" t="s">
        <v>1915</v>
      </c>
      <c r="J7" t="str">
        <f t="shared" si="0"/>
        <v>to dignose</v>
      </c>
      <c r="K7" s="1" t="s">
        <v>204</v>
      </c>
      <c r="L7" s="1" t="s">
        <v>11</v>
      </c>
    </row>
    <row r="8" spans="1:12" ht="19">
      <c r="A8">
        <v>7</v>
      </c>
      <c r="B8" s="1" t="s">
        <v>12</v>
      </c>
      <c r="C8" s="2" t="s">
        <v>271</v>
      </c>
      <c r="D8" t="s">
        <v>86</v>
      </c>
      <c r="E8" t="s">
        <v>391</v>
      </c>
      <c r="F8" t="s">
        <v>1717</v>
      </c>
      <c r="G8" t="e">
        <v>#N/A</v>
      </c>
      <c r="H8" t="s">
        <v>1717</v>
      </c>
      <c r="I8" t="e">
        <v>#N/A</v>
      </c>
      <c r="J8" t="str">
        <f t="shared" si="0"/>
        <v>no</v>
      </c>
      <c r="K8" s="1" t="s">
        <v>13</v>
      </c>
      <c r="L8" s="1" t="s">
        <v>204</v>
      </c>
    </row>
    <row r="9" spans="1:12" ht="19">
      <c r="A9">
        <v>8</v>
      </c>
      <c r="B9" s="1" t="s">
        <v>204</v>
      </c>
      <c r="C9" s="2" t="s">
        <v>271</v>
      </c>
      <c r="D9" t="s">
        <v>1223</v>
      </c>
      <c r="E9" t="s">
        <v>391</v>
      </c>
      <c r="F9" t="s">
        <v>192</v>
      </c>
      <c r="G9" t="s">
        <v>1665</v>
      </c>
      <c r="H9" t="s">
        <v>201</v>
      </c>
      <c r="I9" t="s">
        <v>1930</v>
      </c>
      <c r="J9" t="str">
        <f t="shared" si="0"/>
        <v>to dignose</v>
      </c>
      <c r="K9" s="1" t="s">
        <v>14</v>
      </c>
      <c r="L9" s="1" t="s">
        <v>13</v>
      </c>
    </row>
    <row r="10" spans="1:12" ht="19">
      <c r="A10">
        <v>9</v>
      </c>
      <c r="B10" s="1" t="s">
        <v>13</v>
      </c>
      <c r="C10" s="2" t="s">
        <v>271</v>
      </c>
      <c r="D10" t="s">
        <v>1203</v>
      </c>
      <c r="E10" t="s">
        <v>391</v>
      </c>
      <c r="F10" t="s">
        <v>201</v>
      </c>
      <c r="G10" t="s">
        <v>1664</v>
      </c>
      <c r="H10" t="s">
        <v>201</v>
      </c>
      <c r="I10" t="s">
        <v>1929</v>
      </c>
      <c r="J10" t="str">
        <f t="shared" si="0"/>
        <v>to dignose</v>
      </c>
      <c r="K10" s="1" t="s">
        <v>211</v>
      </c>
      <c r="L10" s="1" t="s">
        <v>14</v>
      </c>
    </row>
    <row r="11" spans="1:12" ht="19">
      <c r="A11">
        <v>10</v>
      </c>
      <c r="B11" s="1" t="s">
        <v>14</v>
      </c>
      <c r="C11" s="2" t="s">
        <v>271</v>
      </c>
      <c r="D11" t="s">
        <v>1201</v>
      </c>
      <c r="E11" t="s">
        <v>391</v>
      </c>
      <c r="F11" t="s">
        <v>192</v>
      </c>
      <c r="G11" t="s">
        <v>1693</v>
      </c>
      <c r="H11" t="s">
        <v>192</v>
      </c>
      <c r="I11" t="s">
        <v>1958</v>
      </c>
      <c r="J11" t="str">
        <f t="shared" si="0"/>
        <v>to dignose</v>
      </c>
      <c r="K11" s="1" t="s">
        <v>21</v>
      </c>
      <c r="L11" s="1" t="s">
        <v>208</v>
      </c>
    </row>
    <row r="12" spans="1:12" ht="19">
      <c r="A12">
        <v>11</v>
      </c>
      <c r="B12" s="1" t="s">
        <v>205</v>
      </c>
      <c r="C12" s="2" t="s">
        <v>269</v>
      </c>
      <c r="D12" t="s">
        <v>84</v>
      </c>
      <c r="E12" t="s">
        <v>391</v>
      </c>
      <c r="F12" t="s">
        <v>1717</v>
      </c>
      <c r="G12" t="e">
        <v>#N/A</v>
      </c>
      <c r="H12" t="s">
        <v>1717</v>
      </c>
      <c r="I12" t="e">
        <v>#N/A</v>
      </c>
      <c r="J12" t="str">
        <f t="shared" si="0"/>
        <v>no</v>
      </c>
      <c r="K12" s="1" t="s">
        <v>22</v>
      </c>
      <c r="L12" s="1" t="s">
        <v>19</v>
      </c>
    </row>
    <row r="13" spans="1:12" ht="19">
      <c r="A13">
        <v>12</v>
      </c>
      <c r="B13" s="1" t="s">
        <v>206</v>
      </c>
      <c r="C13" s="2" t="s">
        <v>267</v>
      </c>
      <c r="D13" t="s">
        <v>84</v>
      </c>
      <c r="E13" t="s">
        <v>391</v>
      </c>
      <c r="F13" t="s">
        <v>1717</v>
      </c>
      <c r="G13" t="e">
        <v>#N/A</v>
      </c>
      <c r="H13" t="s">
        <v>1717</v>
      </c>
      <c r="I13" t="e">
        <v>#N/A</v>
      </c>
      <c r="J13" t="str">
        <f t="shared" si="0"/>
        <v>no</v>
      </c>
      <c r="K13" s="1" t="s">
        <v>238</v>
      </c>
      <c r="L13" s="1" t="s">
        <v>20</v>
      </c>
    </row>
    <row r="14" spans="1:12" ht="19">
      <c r="A14">
        <v>13</v>
      </c>
      <c r="B14" s="1" t="s">
        <v>15</v>
      </c>
      <c r="C14" s="2" t="s">
        <v>271</v>
      </c>
      <c r="D14" t="s">
        <v>85</v>
      </c>
      <c r="E14" t="s">
        <v>391</v>
      </c>
      <c r="F14" t="s">
        <v>1717</v>
      </c>
      <c r="G14" t="e">
        <v>#N/A</v>
      </c>
      <c r="H14" t="s">
        <v>1717</v>
      </c>
      <c r="I14" t="e">
        <v>#N/A</v>
      </c>
      <c r="J14" t="str">
        <f t="shared" si="0"/>
        <v>no</v>
      </c>
      <c r="K14" s="1" t="s">
        <v>28</v>
      </c>
      <c r="L14" s="1" t="s">
        <v>209</v>
      </c>
    </row>
    <row r="15" spans="1:12" ht="19">
      <c r="A15">
        <v>14</v>
      </c>
      <c r="B15" s="1" t="s">
        <v>207</v>
      </c>
      <c r="C15" s="2" t="s">
        <v>267</v>
      </c>
      <c r="D15" t="s">
        <v>84</v>
      </c>
      <c r="E15" t="s">
        <v>391</v>
      </c>
      <c r="F15" t="s">
        <v>1717</v>
      </c>
      <c r="G15" t="e">
        <v>#N/A</v>
      </c>
      <c r="H15" t="s">
        <v>1717</v>
      </c>
      <c r="I15" t="e">
        <v>#N/A</v>
      </c>
      <c r="J15" t="str">
        <f t="shared" si="0"/>
        <v>no</v>
      </c>
      <c r="K15" s="1" t="s">
        <v>29</v>
      </c>
      <c r="L15" s="1" t="s">
        <v>210</v>
      </c>
    </row>
    <row r="16" spans="1:12" ht="19">
      <c r="A16">
        <v>15</v>
      </c>
      <c r="B16" s="1" t="s">
        <v>16</v>
      </c>
      <c r="C16" s="2" t="s">
        <v>271</v>
      </c>
      <c r="D16" t="s">
        <v>84</v>
      </c>
      <c r="E16" t="s">
        <v>391</v>
      </c>
      <c r="F16" t="s">
        <v>1717</v>
      </c>
      <c r="G16" t="e">
        <v>#N/A</v>
      </c>
      <c r="H16" t="s">
        <v>1717</v>
      </c>
      <c r="I16" t="e">
        <v>#N/A</v>
      </c>
      <c r="J16" t="str">
        <f t="shared" si="0"/>
        <v>no</v>
      </c>
      <c r="K16" s="1" t="s">
        <v>30</v>
      </c>
      <c r="L16" s="1" t="s">
        <v>211</v>
      </c>
    </row>
    <row r="17" spans="1:12" ht="19">
      <c r="A17">
        <v>16</v>
      </c>
      <c r="B17" s="1" t="s">
        <v>17</v>
      </c>
      <c r="C17" s="2" t="s">
        <v>271</v>
      </c>
      <c r="D17" t="s">
        <v>84</v>
      </c>
      <c r="E17" t="s">
        <v>391</v>
      </c>
      <c r="F17" t="s">
        <v>1717</v>
      </c>
      <c r="G17" t="e">
        <v>#N/A</v>
      </c>
      <c r="H17" t="s">
        <v>1717</v>
      </c>
      <c r="I17" t="e">
        <v>#N/A</v>
      </c>
      <c r="J17" t="str">
        <f t="shared" si="0"/>
        <v>no</v>
      </c>
      <c r="K17" s="1" t="s">
        <v>31</v>
      </c>
      <c r="L17" s="1" t="s">
        <v>212</v>
      </c>
    </row>
    <row r="18" spans="1:12" ht="19">
      <c r="A18">
        <v>17</v>
      </c>
      <c r="B18" s="1" t="s">
        <v>18</v>
      </c>
      <c r="C18" s="2" t="s">
        <v>271</v>
      </c>
      <c r="D18" t="s">
        <v>85</v>
      </c>
      <c r="E18" t="s">
        <v>391</v>
      </c>
      <c r="F18" t="s">
        <v>1717</v>
      </c>
      <c r="G18" t="e">
        <v>#N/A</v>
      </c>
      <c r="H18" t="s">
        <v>1717</v>
      </c>
      <c r="I18" t="e">
        <v>#N/A</v>
      </c>
      <c r="J18" t="str">
        <f t="shared" si="0"/>
        <v>no</v>
      </c>
      <c r="K18" s="1" t="s">
        <v>33</v>
      </c>
      <c r="L18" s="1" t="s">
        <v>213</v>
      </c>
    </row>
    <row r="19" spans="1:12" ht="19">
      <c r="A19">
        <v>18</v>
      </c>
      <c r="B19" s="1" t="s">
        <v>208</v>
      </c>
      <c r="C19" s="2" t="s">
        <v>267</v>
      </c>
      <c r="D19" t="s">
        <v>84</v>
      </c>
      <c r="E19" t="s">
        <v>391</v>
      </c>
      <c r="F19" t="s">
        <v>192</v>
      </c>
      <c r="G19" t="s">
        <v>1692</v>
      </c>
      <c r="H19" t="s">
        <v>192</v>
      </c>
      <c r="I19" t="s">
        <v>1957</v>
      </c>
      <c r="J19" t="str">
        <f t="shared" si="0"/>
        <v>segmented videos list</v>
      </c>
      <c r="K19" s="1" t="s">
        <v>34</v>
      </c>
      <c r="L19" s="1" t="s">
        <v>21</v>
      </c>
    </row>
    <row r="20" spans="1:12" ht="19">
      <c r="A20">
        <v>19</v>
      </c>
      <c r="B20" s="1" t="s">
        <v>19</v>
      </c>
      <c r="C20" s="2" t="s">
        <v>271</v>
      </c>
      <c r="D20" t="s">
        <v>84</v>
      </c>
      <c r="E20" t="s">
        <v>391</v>
      </c>
      <c r="F20" t="s">
        <v>192</v>
      </c>
      <c r="G20" t="s">
        <v>1709</v>
      </c>
      <c r="H20" t="s">
        <v>192</v>
      </c>
      <c r="I20" t="s">
        <v>1974</v>
      </c>
      <c r="J20" t="str">
        <f t="shared" si="0"/>
        <v>segmented videos list</v>
      </c>
      <c r="K20" s="1" t="s">
        <v>37</v>
      </c>
      <c r="L20" s="1" t="s">
        <v>22</v>
      </c>
    </row>
    <row r="21" spans="1:12" ht="19">
      <c r="A21">
        <v>20</v>
      </c>
      <c r="B21" s="1" t="s">
        <v>20</v>
      </c>
      <c r="C21" s="2" t="s">
        <v>271</v>
      </c>
      <c r="D21" t="s">
        <v>84</v>
      </c>
      <c r="E21" t="s">
        <v>391</v>
      </c>
      <c r="F21" t="s">
        <v>192</v>
      </c>
      <c r="G21" t="s">
        <v>1696</v>
      </c>
      <c r="H21" t="s">
        <v>192</v>
      </c>
      <c r="I21" t="s">
        <v>1961</v>
      </c>
      <c r="J21" t="str">
        <f t="shared" si="0"/>
        <v>segmented videos list</v>
      </c>
      <c r="K21" s="1" t="s">
        <v>38</v>
      </c>
      <c r="L21" s="1" t="s">
        <v>217</v>
      </c>
    </row>
    <row r="22" spans="1:12" ht="19">
      <c r="A22">
        <v>21</v>
      </c>
      <c r="B22" s="1" t="s">
        <v>209</v>
      </c>
      <c r="C22" s="2" t="s">
        <v>272</v>
      </c>
      <c r="D22" t="s">
        <v>84</v>
      </c>
      <c r="E22" t="s">
        <v>391</v>
      </c>
      <c r="F22" t="s">
        <v>192</v>
      </c>
      <c r="G22" t="s">
        <v>1682</v>
      </c>
      <c r="H22" t="s">
        <v>192</v>
      </c>
      <c r="I22" t="s">
        <v>1947</v>
      </c>
      <c r="J22" t="str">
        <f t="shared" si="0"/>
        <v>segmented videos list</v>
      </c>
      <c r="K22" s="1" t="s">
        <v>40</v>
      </c>
      <c r="L22" s="1" t="s">
        <v>218</v>
      </c>
    </row>
    <row r="23" spans="1:12" ht="19">
      <c r="A23">
        <v>22</v>
      </c>
      <c r="B23" s="1" t="s">
        <v>210</v>
      </c>
      <c r="C23" s="2" t="s">
        <v>267</v>
      </c>
      <c r="D23" t="s">
        <v>84</v>
      </c>
      <c r="E23" t="s">
        <v>391</v>
      </c>
      <c r="F23" t="s">
        <v>192</v>
      </c>
      <c r="G23" t="s">
        <v>1663</v>
      </c>
      <c r="H23" t="s">
        <v>192</v>
      </c>
      <c r="I23" t="s">
        <v>1928</v>
      </c>
      <c r="J23" t="str">
        <f t="shared" si="0"/>
        <v>segmented videos list</v>
      </c>
      <c r="K23" s="1" t="s">
        <v>55</v>
      </c>
      <c r="L23" s="1" t="s">
        <v>220</v>
      </c>
    </row>
    <row r="24" spans="1:12" ht="19">
      <c r="A24">
        <v>23</v>
      </c>
      <c r="B24" s="1" t="s">
        <v>211</v>
      </c>
      <c r="C24" s="2" t="s">
        <v>271</v>
      </c>
      <c r="D24" t="s">
        <v>1204</v>
      </c>
      <c r="E24" t="s">
        <v>391</v>
      </c>
      <c r="F24" t="s">
        <v>201</v>
      </c>
      <c r="G24" t="s">
        <v>1669</v>
      </c>
      <c r="H24" t="s">
        <v>201</v>
      </c>
      <c r="I24" t="s">
        <v>1934</v>
      </c>
      <c r="J24" t="str">
        <f t="shared" si="0"/>
        <v>to dignose</v>
      </c>
      <c r="K24" s="1" t="s">
        <v>58</v>
      </c>
      <c r="L24" s="1" t="s">
        <v>221</v>
      </c>
    </row>
    <row r="25" spans="1:12" ht="19">
      <c r="A25">
        <v>24</v>
      </c>
      <c r="B25" s="1" t="s">
        <v>212</v>
      </c>
      <c r="C25" s="2" t="s">
        <v>273</v>
      </c>
      <c r="D25" t="s">
        <v>84</v>
      </c>
      <c r="E25" t="s">
        <v>391</v>
      </c>
      <c r="F25" t="s">
        <v>192</v>
      </c>
      <c r="G25" t="s">
        <v>1652</v>
      </c>
      <c r="H25" t="s">
        <v>201</v>
      </c>
      <c r="I25" t="s">
        <v>1917</v>
      </c>
      <c r="J25" t="str">
        <f t="shared" si="0"/>
        <v>segmented videos list</v>
      </c>
      <c r="K25" s="1" t="s">
        <v>255</v>
      </c>
      <c r="L25" s="1" t="s">
        <v>222</v>
      </c>
    </row>
    <row r="26" spans="1:12" ht="19">
      <c r="A26">
        <v>25</v>
      </c>
      <c r="B26" s="1" t="s">
        <v>213</v>
      </c>
      <c r="C26" s="2" t="s">
        <v>273</v>
      </c>
      <c r="D26" t="s">
        <v>84</v>
      </c>
      <c r="E26" t="s">
        <v>391</v>
      </c>
      <c r="F26" t="s">
        <v>201</v>
      </c>
      <c r="G26" t="s">
        <v>1662</v>
      </c>
      <c r="H26" t="s">
        <v>192</v>
      </c>
      <c r="I26" t="s">
        <v>1927</v>
      </c>
      <c r="J26" t="str">
        <f t="shared" si="0"/>
        <v>segmented videos list</v>
      </c>
      <c r="K26" s="1" t="s">
        <v>59</v>
      </c>
      <c r="L26" s="1" t="s">
        <v>223</v>
      </c>
    </row>
    <row r="27" spans="1:12" ht="19">
      <c r="A27">
        <v>26</v>
      </c>
      <c r="B27" s="1" t="s">
        <v>21</v>
      </c>
      <c r="C27" s="2" t="s">
        <v>271</v>
      </c>
      <c r="D27" t="s">
        <v>1230</v>
      </c>
      <c r="E27" t="s">
        <v>391</v>
      </c>
      <c r="F27" t="s">
        <v>192</v>
      </c>
      <c r="G27" t="s">
        <v>1659</v>
      </c>
      <c r="H27" t="s">
        <v>201</v>
      </c>
      <c r="I27" t="s">
        <v>1924</v>
      </c>
      <c r="J27" t="str">
        <f t="shared" si="0"/>
        <v>to dignose</v>
      </c>
      <c r="K27" s="1" t="s">
        <v>61</v>
      </c>
      <c r="L27" s="1" t="s">
        <v>27</v>
      </c>
    </row>
    <row r="28" spans="1:12" ht="19">
      <c r="A28">
        <v>27</v>
      </c>
      <c r="B28" s="1" t="s">
        <v>22</v>
      </c>
      <c r="C28" s="2" t="s">
        <v>271</v>
      </c>
      <c r="D28" t="s">
        <v>1231</v>
      </c>
      <c r="E28" t="s">
        <v>391</v>
      </c>
      <c r="F28" t="s">
        <v>201</v>
      </c>
      <c r="G28" t="s">
        <v>1686</v>
      </c>
      <c r="H28" t="s">
        <v>192</v>
      </c>
      <c r="I28" t="s">
        <v>1951</v>
      </c>
      <c r="J28" t="str">
        <f t="shared" si="0"/>
        <v>to dignose</v>
      </c>
      <c r="K28" s="1"/>
      <c r="L28" s="1" t="s">
        <v>224</v>
      </c>
    </row>
    <row r="29" spans="1:12" ht="19">
      <c r="A29">
        <v>28</v>
      </c>
      <c r="B29" s="1" t="s">
        <v>214</v>
      </c>
      <c r="C29" s="2" t="s">
        <v>269</v>
      </c>
      <c r="D29" t="s">
        <v>84</v>
      </c>
      <c r="E29" t="s">
        <v>391</v>
      </c>
      <c r="F29" t="s">
        <v>1717</v>
      </c>
      <c r="G29" t="e">
        <v>#N/A</v>
      </c>
      <c r="H29" t="s">
        <v>1717</v>
      </c>
      <c r="I29" t="e">
        <v>#N/A</v>
      </c>
      <c r="J29" t="str">
        <f t="shared" si="0"/>
        <v>no</v>
      </c>
      <c r="K29" s="1"/>
      <c r="L29" s="1" t="s">
        <v>225</v>
      </c>
    </row>
    <row r="30" spans="1:12" ht="19">
      <c r="A30">
        <v>29</v>
      </c>
      <c r="B30" s="1" t="s">
        <v>23</v>
      </c>
      <c r="C30" s="2" t="s">
        <v>271</v>
      </c>
      <c r="D30" t="s">
        <v>87</v>
      </c>
      <c r="E30" t="s">
        <v>391</v>
      </c>
      <c r="F30" t="s">
        <v>1717</v>
      </c>
      <c r="G30" t="e">
        <v>#N/A</v>
      </c>
      <c r="H30" t="s">
        <v>1717</v>
      </c>
      <c r="I30" t="e">
        <v>#N/A</v>
      </c>
      <c r="J30" t="str">
        <f t="shared" si="0"/>
        <v>no</v>
      </c>
      <c r="K30" s="1"/>
      <c r="L30" s="1" t="s">
        <v>226</v>
      </c>
    </row>
    <row r="31" spans="1:12" ht="19">
      <c r="A31">
        <v>30</v>
      </c>
      <c r="B31" s="1" t="s">
        <v>215</v>
      </c>
      <c r="C31" s="2" t="s">
        <v>269</v>
      </c>
      <c r="D31" t="s">
        <v>84</v>
      </c>
      <c r="E31" t="s">
        <v>391</v>
      </c>
      <c r="F31" t="s">
        <v>1717</v>
      </c>
      <c r="G31" t="e">
        <v>#N/A</v>
      </c>
      <c r="H31" t="s">
        <v>1717</v>
      </c>
      <c r="I31" t="e">
        <v>#N/A</v>
      </c>
      <c r="J31" t="str">
        <f t="shared" si="0"/>
        <v>no</v>
      </c>
      <c r="K31" s="1"/>
      <c r="L31" s="1" t="s">
        <v>227</v>
      </c>
    </row>
    <row r="32" spans="1:12" ht="19">
      <c r="A32">
        <v>31</v>
      </c>
      <c r="B32" s="1" t="s">
        <v>216</v>
      </c>
      <c r="C32" s="2" t="s">
        <v>269</v>
      </c>
      <c r="D32" t="s">
        <v>84</v>
      </c>
      <c r="E32" t="s">
        <v>391</v>
      </c>
      <c r="F32" t="s">
        <v>1717</v>
      </c>
      <c r="G32" t="e">
        <v>#N/A</v>
      </c>
      <c r="H32" t="s">
        <v>1717</v>
      </c>
      <c r="I32" t="e">
        <v>#N/A</v>
      </c>
      <c r="J32" t="str">
        <f t="shared" si="0"/>
        <v>no</v>
      </c>
      <c r="K32" s="1"/>
      <c r="L32" s="1" t="s">
        <v>228</v>
      </c>
    </row>
    <row r="33" spans="1:12" ht="19">
      <c r="A33">
        <v>32</v>
      </c>
      <c r="B33" s="1" t="s">
        <v>24</v>
      </c>
      <c r="C33" s="2" t="s">
        <v>271</v>
      </c>
      <c r="D33" t="s">
        <v>84</v>
      </c>
      <c r="E33" t="s">
        <v>391</v>
      </c>
      <c r="F33" t="s">
        <v>1717</v>
      </c>
      <c r="G33" t="e">
        <v>#N/A</v>
      </c>
      <c r="H33" t="s">
        <v>1717</v>
      </c>
      <c r="I33" t="e">
        <v>#N/A</v>
      </c>
      <c r="J33" t="str">
        <f t="shared" si="0"/>
        <v>no</v>
      </c>
      <c r="K33" s="1"/>
      <c r="L33" s="1" t="s">
        <v>229</v>
      </c>
    </row>
    <row r="34" spans="1:12" ht="19">
      <c r="A34">
        <v>33</v>
      </c>
      <c r="B34" s="1" t="s">
        <v>25</v>
      </c>
      <c r="C34" s="2" t="s">
        <v>271</v>
      </c>
      <c r="D34" t="s">
        <v>84</v>
      </c>
      <c r="E34" t="s">
        <v>391</v>
      </c>
      <c r="F34" t="s">
        <v>1717</v>
      </c>
      <c r="G34" t="e">
        <v>#N/A</v>
      </c>
      <c r="H34" t="s">
        <v>1717</v>
      </c>
      <c r="I34" t="e">
        <v>#N/A</v>
      </c>
      <c r="J34" t="str">
        <f t="shared" si="0"/>
        <v>no</v>
      </c>
      <c r="K34" s="1"/>
      <c r="L34" s="1" t="s">
        <v>230</v>
      </c>
    </row>
    <row r="35" spans="1:12" ht="19">
      <c r="A35">
        <v>34</v>
      </c>
      <c r="B35" s="1" t="s">
        <v>217</v>
      </c>
      <c r="C35" s="2" t="s">
        <v>267</v>
      </c>
      <c r="D35" t="s">
        <v>84</v>
      </c>
      <c r="E35" t="s">
        <v>391</v>
      </c>
      <c r="F35" t="s">
        <v>192</v>
      </c>
      <c r="G35" t="s">
        <v>1647</v>
      </c>
      <c r="H35" t="s">
        <v>192</v>
      </c>
      <c r="I35" t="s">
        <v>1912</v>
      </c>
      <c r="J35" t="str">
        <f t="shared" si="0"/>
        <v>segmented videos list</v>
      </c>
      <c r="K35" s="1"/>
      <c r="L35" s="1" t="s">
        <v>231</v>
      </c>
    </row>
    <row r="36" spans="1:12" ht="19">
      <c r="A36">
        <v>35</v>
      </c>
      <c r="B36" s="1" t="s">
        <v>218</v>
      </c>
      <c r="C36" s="2" t="s">
        <v>269</v>
      </c>
      <c r="D36" t="s">
        <v>84</v>
      </c>
      <c r="E36" t="s">
        <v>391</v>
      </c>
      <c r="F36" t="s">
        <v>201</v>
      </c>
      <c r="G36" t="s">
        <v>1645</v>
      </c>
      <c r="H36" t="s">
        <v>192</v>
      </c>
      <c r="I36" t="s">
        <v>1910</v>
      </c>
      <c r="J36" t="str">
        <f t="shared" si="0"/>
        <v>segmented videos list</v>
      </c>
      <c r="K36" s="1"/>
      <c r="L36" s="1" t="s">
        <v>232</v>
      </c>
    </row>
    <row r="37" spans="1:12" ht="19">
      <c r="A37">
        <v>36</v>
      </c>
      <c r="B37" s="1" t="s">
        <v>219</v>
      </c>
      <c r="C37" s="2" t="s">
        <v>269</v>
      </c>
      <c r="D37" t="s">
        <v>84</v>
      </c>
      <c r="E37" t="s">
        <v>391</v>
      </c>
      <c r="F37" t="s">
        <v>1717</v>
      </c>
      <c r="G37" t="e">
        <v>#N/A</v>
      </c>
      <c r="H37" t="s">
        <v>1717</v>
      </c>
      <c r="I37" t="e">
        <v>#N/A</v>
      </c>
      <c r="J37" t="str">
        <f t="shared" si="0"/>
        <v>no</v>
      </c>
      <c r="K37" s="1"/>
      <c r="L37" s="1" t="s">
        <v>233</v>
      </c>
    </row>
    <row r="38" spans="1:12" ht="19">
      <c r="A38">
        <v>37</v>
      </c>
      <c r="B38" s="1" t="s">
        <v>220</v>
      </c>
      <c r="C38" s="2" t="s">
        <v>269</v>
      </c>
      <c r="D38" t="s">
        <v>84</v>
      </c>
      <c r="E38" t="s">
        <v>391</v>
      </c>
      <c r="F38" t="s">
        <v>192</v>
      </c>
      <c r="G38" t="s">
        <v>1702</v>
      </c>
      <c r="H38" t="s">
        <v>192</v>
      </c>
      <c r="I38" t="s">
        <v>1967</v>
      </c>
      <c r="J38" t="str">
        <f t="shared" si="0"/>
        <v>segmented videos list</v>
      </c>
      <c r="K38" s="1"/>
      <c r="L38" s="1" t="s">
        <v>234</v>
      </c>
    </row>
    <row r="39" spans="1:12" ht="19">
      <c r="A39">
        <v>38</v>
      </c>
      <c r="B39" s="1" t="s">
        <v>221</v>
      </c>
      <c r="C39" s="2" t="s">
        <v>269</v>
      </c>
      <c r="D39" t="s">
        <v>84</v>
      </c>
      <c r="E39" t="s">
        <v>391</v>
      </c>
      <c r="F39" t="s">
        <v>201</v>
      </c>
      <c r="G39" t="s">
        <v>1648</v>
      </c>
      <c r="H39" t="s">
        <v>192</v>
      </c>
      <c r="I39" t="s">
        <v>1913</v>
      </c>
      <c r="J39" t="str">
        <f t="shared" si="0"/>
        <v>segmented videos list</v>
      </c>
      <c r="K39" s="1"/>
      <c r="L39" s="1" t="s">
        <v>235</v>
      </c>
    </row>
    <row r="40" spans="1:12" ht="19">
      <c r="A40">
        <v>39</v>
      </c>
      <c r="B40" s="1" t="s">
        <v>222</v>
      </c>
      <c r="C40" s="2" t="s">
        <v>267</v>
      </c>
      <c r="D40" t="s">
        <v>84</v>
      </c>
      <c r="E40" t="s">
        <v>391</v>
      </c>
      <c r="F40" t="s">
        <v>192</v>
      </c>
      <c r="G40" t="s">
        <v>1673</v>
      </c>
      <c r="H40" t="s">
        <v>192</v>
      </c>
      <c r="I40" t="s">
        <v>1938</v>
      </c>
      <c r="J40" t="str">
        <f t="shared" si="0"/>
        <v>segmented videos list</v>
      </c>
      <c r="K40" s="1"/>
      <c r="L40" s="1" t="s">
        <v>236</v>
      </c>
    </row>
    <row r="41" spans="1:12" ht="19">
      <c r="A41">
        <v>40</v>
      </c>
      <c r="B41" s="1" t="s">
        <v>26</v>
      </c>
      <c r="C41" s="2" t="s">
        <v>271</v>
      </c>
      <c r="D41" t="s">
        <v>84</v>
      </c>
      <c r="E41" t="s">
        <v>391</v>
      </c>
      <c r="F41" t="s">
        <v>1717</v>
      </c>
      <c r="G41" t="e">
        <v>#N/A</v>
      </c>
      <c r="H41" t="s">
        <v>1717</v>
      </c>
      <c r="I41" t="e">
        <v>#N/A</v>
      </c>
      <c r="J41" t="str">
        <f t="shared" si="0"/>
        <v>no</v>
      </c>
      <c r="K41" s="1"/>
      <c r="L41" s="1" t="s">
        <v>237</v>
      </c>
    </row>
    <row r="42" spans="1:12" ht="19">
      <c r="A42">
        <v>41</v>
      </c>
      <c r="B42" s="1" t="s">
        <v>223</v>
      </c>
      <c r="C42" s="2" t="s">
        <v>269</v>
      </c>
      <c r="D42" t="s">
        <v>84</v>
      </c>
      <c r="E42" t="s">
        <v>391</v>
      </c>
      <c r="F42" t="s">
        <v>192</v>
      </c>
      <c r="G42" t="s">
        <v>1671</v>
      </c>
      <c r="H42" t="s">
        <v>192</v>
      </c>
      <c r="I42" t="s">
        <v>1936</v>
      </c>
      <c r="J42" t="str">
        <f t="shared" si="0"/>
        <v>segmented videos list</v>
      </c>
      <c r="K42" s="1"/>
      <c r="L42" s="1" t="s">
        <v>238</v>
      </c>
    </row>
    <row r="43" spans="1:12" ht="19">
      <c r="A43">
        <v>42</v>
      </c>
      <c r="B43" s="1" t="s">
        <v>27</v>
      </c>
      <c r="C43" s="2" t="s">
        <v>271</v>
      </c>
      <c r="D43" t="s">
        <v>84</v>
      </c>
      <c r="E43" t="s">
        <v>391</v>
      </c>
      <c r="F43" t="s">
        <v>192</v>
      </c>
      <c r="G43" t="s">
        <v>1698</v>
      </c>
      <c r="H43" t="s">
        <v>192</v>
      </c>
      <c r="I43" t="s">
        <v>1963</v>
      </c>
      <c r="J43" t="str">
        <f t="shared" si="0"/>
        <v>segmented videos list</v>
      </c>
      <c r="K43" s="1"/>
      <c r="L43" s="1" t="s">
        <v>28</v>
      </c>
    </row>
    <row r="44" spans="1:12" ht="19">
      <c r="A44">
        <v>43</v>
      </c>
      <c r="B44" s="1" t="s">
        <v>224</v>
      </c>
      <c r="C44" s="2" t="s">
        <v>267</v>
      </c>
      <c r="D44" t="s">
        <v>84</v>
      </c>
      <c r="E44" t="s">
        <v>391</v>
      </c>
      <c r="F44" t="s">
        <v>192</v>
      </c>
      <c r="G44" t="s">
        <v>1668</v>
      </c>
      <c r="H44" t="s">
        <v>192</v>
      </c>
      <c r="I44" t="s">
        <v>1933</v>
      </c>
      <c r="J44" t="str">
        <f t="shared" si="0"/>
        <v>segmented videos list</v>
      </c>
      <c r="K44" s="1"/>
      <c r="L44" s="1" t="s">
        <v>29</v>
      </c>
    </row>
    <row r="45" spans="1:12" ht="19">
      <c r="A45">
        <v>44</v>
      </c>
      <c r="B45" s="1" t="s">
        <v>225</v>
      </c>
      <c r="C45" s="2" t="s">
        <v>274</v>
      </c>
      <c r="D45" t="s">
        <v>84</v>
      </c>
      <c r="E45" t="s">
        <v>391</v>
      </c>
      <c r="F45" t="s">
        <v>192</v>
      </c>
      <c r="G45" t="s">
        <v>1712</v>
      </c>
      <c r="H45" t="s">
        <v>192</v>
      </c>
      <c r="I45" t="s">
        <v>1977</v>
      </c>
      <c r="J45" t="str">
        <f t="shared" si="0"/>
        <v>segmented videos list</v>
      </c>
      <c r="K45" s="1"/>
      <c r="L45" s="1" t="s">
        <v>239</v>
      </c>
    </row>
    <row r="46" spans="1:12" ht="19">
      <c r="A46">
        <v>45</v>
      </c>
      <c r="B46" s="1" t="s">
        <v>226</v>
      </c>
      <c r="C46" s="2" t="s">
        <v>274</v>
      </c>
      <c r="D46" t="s">
        <v>84</v>
      </c>
      <c r="E46" t="s">
        <v>391</v>
      </c>
      <c r="F46" t="s">
        <v>201</v>
      </c>
      <c r="G46" t="s">
        <v>1715</v>
      </c>
      <c r="H46" t="s">
        <v>192</v>
      </c>
      <c r="I46" t="s">
        <v>1980</v>
      </c>
      <c r="J46" t="str">
        <f t="shared" si="0"/>
        <v>segmented videos list</v>
      </c>
      <c r="K46" s="1"/>
      <c r="L46" s="1" t="s">
        <v>30</v>
      </c>
    </row>
    <row r="47" spans="1:12" ht="19">
      <c r="A47">
        <v>46</v>
      </c>
      <c r="B47" s="1" t="s">
        <v>227</v>
      </c>
      <c r="C47" s="2" t="s">
        <v>269</v>
      </c>
      <c r="D47" t="s">
        <v>84</v>
      </c>
      <c r="E47" t="s">
        <v>391</v>
      </c>
      <c r="F47" t="s">
        <v>192</v>
      </c>
      <c r="G47" t="s">
        <v>1640</v>
      </c>
      <c r="H47" t="s">
        <v>192</v>
      </c>
      <c r="I47" t="s">
        <v>1905</v>
      </c>
      <c r="J47" t="str">
        <f t="shared" si="0"/>
        <v>segmented videos list</v>
      </c>
      <c r="K47" s="1"/>
      <c r="L47" s="1" t="s">
        <v>240</v>
      </c>
    </row>
    <row r="48" spans="1:12" ht="19">
      <c r="A48">
        <v>47</v>
      </c>
      <c r="B48" s="1" t="s">
        <v>228</v>
      </c>
      <c r="C48" s="2" t="s">
        <v>269</v>
      </c>
      <c r="D48" t="s">
        <v>84</v>
      </c>
      <c r="E48" t="s">
        <v>391</v>
      </c>
      <c r="F48" t="s">
        <v>192</v>
      </c>
      <c r="G48" t="s">
        <v>1697</v>
      </c>
      <c r="H48" t="s">
        <v>192</v>
      </c>
      <c r="I48" t="s">
        <v>1962</v>
      </c>
      <c r="J48" t="str">
        <f t="shared" si="0"/>
        <v>segmented videos list</v>
      </c>
      <c r="K48" s="1"/>
      <c r="L48" s="1" t="s">
        <v>31</v>
      </c>
    </row>
    <row r="49" spans="1:12" ht="19">
      <c r="A49">
        <v>48</v>
      </c>
      <c r="B49" s="1" t="s">
        <v>229</v>
      </c>
      <c r="C49" s="2" t="s">
        <v>269</v>
      </c>
      <c r="D49" t="s">
        <v>84</v>
      </c>
      <c r="E49" t="s">
        <v>391</v>
      </c>
      <c r="F49" t="s">
        <v>201</v>
      </c>
      <c r="G49" t="s">
        <v>1690</v>
      </c>
      <c r="H49" t="s">
        <v>192</v>
      </c>
      <c r="I49" t="s">
        <v>1955</v>
      </c>
      <c r="J49" t="str">
        <f t="shared" si="0"/>
        <v>segmented videos list</v>
      </c>
      <c r="K49" s="1"/>
      <c r="L49" s="1" t="s">
        <v>241</v>
      </c>
    </row>
    <row r="50" spans="1:12" ht="19">
      <c r="A50">
        <v>49</v>
      </c>
      <c r="B50" s="1" t="s">
        <v>230</v>
      </c>
      <c r="C50" s="2" t="s">
        <v>269</v>
      </c>
      <c r="D50" t="s">
        <v>84</v>
      </c>
      <c r="E50" t="s">
        <v>391</v>
      </c>
      <c r="F50" t="s">
        <v>201</v>
      </c>
      <c r="G50" t="s">
        <v>1649</v>
      </c>
      <c r="H50" t="s">
        <v>192</v>
      </c>
      <c r="I50" t="s">
        <v>1914</v>
      </c>
      <c r="J50" t="str">
        <f t="shared" si="0"/>
        <v>segmented videos list</v>
      </c>
      <c r="K50" s="1"/>
      <c r="L50" s="1" t="s">
        <v>32</v>
      </c>
    </row>
    <row r="51" spans="1:12" ht="19">
      <c r="A51">
        <v>50</v>
      </c>
      <c r="B51" s="1" t="s">
        <v>231</v>
      </c>
      <c r="C51" s="2" t="s">
        <v>269</v>
      </c>
      <c r="D51" t="s">
        <v>84</v>
      </c>
      <c r="E51" t="s">
        <v>391</v>
      </c>
      <c r="F51" t="s">
        <v>201</v>
      </c>
      <c r="G51" t="s">
        <v>1713</v>
      </c>
      <c r="H51" t="s">
        <v>192</v>
      </c>
      <c r="I51" t="s">
        <v>1978</v>
      </c>
      <c r="J51" t="str">
        <f t="shared" si="0"/>
        <v>segmented videos list</v>
      </c>
      <c r="K51" s="1"/>
      <c r="L51" s="1" t="s">
        <v>33</v>
      </c>
    </row>
    <row r="52" spans="1:12" ht="19">
      <c r="A52">
        <v>51</v>
      </c>
      <c r="B52" s="1" t="s">
        <v>232</v>
      </c>
      <c r="C52" s="2" t="s">
        <v>274</v>
      </c>
      <c r="D52" t="s">
        <v>84</v>
      </c>
      <c r="E52" t="s">
        <v>391</v>
      </c>
      <c r="F52" t="s">
        <v>201</v>
      </c>
      <c r="G52" t="s">
        <v>1643</v>
      </c>
      <c r="H52" t="s">
        <v>192</v>
      </c>
      <c r="I52" t="s">
        <v>1908</v>
      </c>
      <c r="J52" t="str">
        <f t="shared" si="0"/>
        <v>segmented videos list</v>
      </c>
      <c r="K52" s="1"/>
      <c r="L52" s="1" t="s">
        <v>34</v>
      </c>
    </row>
    <row r="53" spans="1:12" ht="19">
      <c r="A53">
        <v>52</v>
      </c>
      <c r="B53" s="1" t="s">
        <v>233</v>
      </c>
      <c r="C53" s="2" t="s">
        <v>274</v>
      </c>
      <c r="D53" t="s">
        <v>84</v>
      </c>
      <c r="E53" t="s">
        <v>391</v>
      </c>
      <c r="F53" t="s">
        <v>192</v>
      </c>
      <c r="G53" t="s">
        <v>1700</v>
      </c>
      <c r="H53" t="s">
        <v>192</v>
      </c>
      <c r="I53" t="s">
        <v>1965</v>
      </c>
      <c r="J53" t="str">
        <f t="shared" si="0"/>
        <v>segmented videos list</v>
      </c>
      <c r="K53" s="1"/>
      <c r="L53" s="1" t="s">
        <v>35</v>
      </c>
    </row>
    <row r="54" spans="1:12" ht="19">
      <c r="A54">
        <v>53</v>
      </c>
      <c r="B54" s="1" t="s">
        <v>234</v>
      </c>
      <c r="C54" s="2" t="s">
        <v>274</v>
      </c>
      <c r="D54" t="s">
        <v>84</v>
      </c>
      <c r="E54" t="s">
        <v>391</v>
      </c>
      <c r="F54" t="s">
        <v>192</v>
      </c>
      <c r="G54" t="s">
        <v>1703</v>
      </c>
      <c r="H54" t="s">
        <v>192</v>
      </c>
      <c r="I54" t="s">
        <v>1968</v>
      </c>
      <c r="J54" t="str">
        <f t="shared" si="0"/>
        <v>segmented videos list</v>
      </c>
      <c r="K54" s="1"/>
      <c r="L54" s="1" t="s">
        <v>36</v>
      </c>
    </row>
    <row r="55" spans="1:12" ht="19">
      <c r="A55">
        <v>54</v>
      </c>
      <c r="B55" s="1" t="s">
        <v>235</v>
      </c>
      <c r="C55" s="2" t="s">
        <v>274</v>
      </c>
      <c r="D55" t="s">
        <v>84</v>
      </c>
      <c r="E55" t="s">
        <v>391</v>
      </c>
      <c r="F55" t="s">
        <v>201</v>
      </c>
      <c r="G55" t="s">
        <v>1685</v>
      </c>
      <c r="H55" t="s">
        <v>192</v>
      </c>
      <c r="I55" t="s">
        <v>1950</v>
      </c>
      <c r="J55" t="str">
        <f t="shared" si="0"/>
        <v>segmented videos list</v>
      </c>
      <c r="K55" s="1"/>
      <c r="L55" s="1" t="s">
        <v>37</v>
      </c>
    </row>
    <row r="56" spans="1:12" ht="19">
      <c r="A56">
        <v>55</v>
      </c>
      <c r="B56" s="1" t="s">
        <v>236</v>
      </c>
      <c r="C56" s="2" t="s">
        <v>269</v>
      </c>
      <c r="D56" t="s">
        <v>84</v>
      </c>
      <c r="E56" t="s">
        <v>391</v>
      </c>
      <c r="F56" t="s">
        <v>201</v>
      </c>
      <c r="G56" t="s">
        <v>1705</v>
      </c>
      <c r="H56" t="s">
        <v>192</v>
      </c>
      <c r="I56" t="s">
        <v>1970</v>
      </c>
      <c r="J56" t="str">
        <f t="shared" si="0"/>
        <v>segmented videos list</v>
      </c>
      <c r="K56" s="1"/>
      <c r="L56" s="1" t="s">
        <v>38</v>
      </c>
    </row>
    <row r="57" spans="1:12" ht="19">
      <c r="A57">
        <v>56</v>
      </c>
      <c r="B57" s="1" t="s">
        <v>237</v>
      </c>
      <c r="C57" s="2" t="s">
        <v>269</v>
      </c>
      <c r="D57" t="s">
        <v>84</v>
      </c>
      <c r="E57" t="s">
        <v>391</v>
      </c>
      <c r="F57" t="s">
        <v>192</v>
      </c>
      <c r="G57" t="s">
        <v>1646</v>
      </c>
      <c r="H57" t="s">
        <v>192</v>
      </c>
      <c r="I57" t="s">
        <v>1911</v>
      </c>
      <c r="J57" t="str">
        <f t="shared" si="0"/>
        <v>segmented videos list</v>
      </c>
      <c r="K57" s="1"/>
      <c r="L57" s="1" t="s">
        <v>39</v>
      </c>
    </row>
    <row r="58" spans="1:12" ht="19">
      <c r="A58">
        <v>57</v>
      </c>
      <c r="B58" s="1" t="s">
        <v>238</v>
      </c>
      <c r="C58" s="2" t="s">
        <v>269</v>
      </c>
      <c r="D58" t="s">
        <v>1201</v>
      </c>
      <c r="E58" t="s">
        <v>391</v>
      </c>
      <c r="F58" t="s">
        <v>192</v>
      </c>
      <c r="G58" t="s">
        <v>1687</v>
      </c>
      <c r="H58" t="s">
        <v>192</v>
      </c>
      <c r="I58" t="s">
        <v>1952</v>
      </c>
      <c r="J58" t="str">
        <f t="shared" si="0"/>
        <v>to dignose</v>
      </c>
      <c r="K58" s="1"/>
      <c r="L58" s="1" t="s">
        <v>242</v>
      </c>
    </row>
    <row r="59" spans="1:12" ht="19">
      <c r="A59">
        <v>58</v>
      </c>
      <c r="B59" s="1" t="s">
        <v>28</v>
      </c>
      <c r="C59" s="2" t="s">
        <v>271</v>
      </c>
      <c r="D59" t="s">
        <v>1201</v>
      </c>
      <c r="E59" t="s">
        <v>391</v>
      </c>
      <c r="F59" t="s">
        <v>192</v>
      </c>
      <c r="G59" t="s">
        <v>1676</v>
      </c>
      <c r="H59" t="s">
        <v>192</v>
      </c>
      <c r="I59" t="s">
        <v>1941</v>
      </c>
      <c r="J59" t="str">
        <f t="shared" si="0"/>
        <v>to dignose</v>
      </c>
      <c r="K59" s="1"/>
      <c r="L59" s="1" t="s">
        <v>40</v>
      </c>
    </row>
    <row r="60" spans="1:12" ht="19">
      <c r="A60">
        <v>59</v>
      </c>
      <c r="B60" s="1" t="s">
        <v>29</v>
      </c>
      <c r="C60" s="2" t="s">
        <v>271</v>
      </c>
      <c r="D60" t="s">
        <v>1204</v>
      </c>
      <c r="E60" t="s">
        <v>391</v>
      </c>
      <c r="F60" t="s">
        <v>192</v>
      </c>
      <c r="G60" t="s">
        <v>1667</v>
      </c>
      <c r="H60" t="s">
        <v>201</v>
      </c>
      <c r="I60" t="s">
        <v>1932</v>
      </c>
      <c r="J60" t="str">
        <f t="shared" si="0"/>
        <v>to dignose</v>
      </c>
      <c r="K60" s="1"/>
      <c r="L60" s="1" t="s">
        <v>251</v>
      </c>
    </row>
    <row r="61" spans="1:12" ht="19">
      <c r="A61">
        <v>60</v>
      </c>
      <c r="B61" s="1" t="s">
        <v>239</v>
      </c>
      <c r="C61" s="2" t="s">
        <v>269</v>
      </c>
      <c r="D61" t="s">
        <v>84</v>
      </c>
      <c r="E61" t="s">
        <v>391</v>
      </c>
      <c r="F61" t="s">
        <v>192</v>
      </c>
      <c r="G61" t="s">
        <v>1678</v>
      </c>
      <c r="H61" t="s">
        <v>192</v>
      </c>
      <c r="I61" t="s">
        <v>1943</v>
      </c>
      <c r="J61" t="str">
        <f t="shared" si="0"/>
        <v>segmented videos list</v>
      </c>
      <c r="K61" s="1"/>
      <c r="L61" s="1" t="s">
        <v>54</v>
      </c>
    </row>
    <row r="62" spans="1:12" ht="19">
      <c r="A62">
        <v>61</v>
      </c>
      <c r="B62" s="1" t="s">
        <v>30</v>
      </c>
      <c r="C62" s="2" t="s">
        <v>271</v>
      </c>
      <c r="D62" t="s">
        <v>1201</v>
      </c>
      <c r="E62" t="s">
        <v>391</v>
      </c>
      <c r="F62" t="s">
        <v>201</v>
      </c>
      <c r="G62" t="s">
        <v>1679</v>
      </c>
      <c r="H62" t="s">
        <v>201</v>
      </c>
      <c r="I62" t="s">
        <v>1944</v>
      </c>
      <c r="J62" t="str">
        <f t="shared" si="0"/>
        <v>to dignose</v>
      </c>
      <c r="K62" s="1"/>
      <c r="L62" s="1" t="s">
        <v>55</v>
      </c>
    </row>
    <row r="63" spans="1:12" ht="19">
      <c r="A63">
        <v>62</v>
      </c>
      <c r="B63" s="1" t="s">
        <v>240</v>
      </c>
      <c r="C63" s="2" t="s">
        <v>269</v>
      </c>
      <c r="D63" t="s">
        <v>84</v>
      </c>
      <c r="E63" t="s">
        <v>391</v>
      </c>
      <c r="F63" t="s">
        <v>192</v>
      </c>
      <c r="G63" t="s">
        <v>1708</v>
      </c>
      <c r="H63" t="s">
        <v>192</v>
      </c>
      <c r="I63" t="s">
        <v>1973</v>
      </c>
      <c r="J63" t="str">
        <f t="shared" si="0"/>
        <v>segmented videos list</v>
      </c>
      <c r="K63" s="1"/>
      <c r="L63" s="1" t="s">
        <v>252</v>
      </c>
    </row>
    <row r="64" spans="1:12" ht="19">
      <c r="A64">
        <v>63</v>
      </c>
      <c r="B64" s="1" t="s">
        <v>31</v>
      </c>
      <c r="C64" s="2" t="s">
        <v>271</v>
      </c>
      <c r="D64" t="s">
        <v>1201</v>
      </c>
      <c r="E64" t="s">
        <v>391</v>
      </c>
      <c r="F64" t="s">
        <v>192</v>
      </c>
      <c r="G64" t="s">
        <v>1694</v>
      </c>
      <c r="H64" t="s">
        <v>201</v>
      </c>
      <c r="I64" t="s">
        <v>1959</v>
      </c>
      <c r="J64" t="str">
        <f t="shared" si="0"/>
        <v>to dignose</v>
      </c>
      <c r="K64" s="1"/>
      <c r="L64" s="1" t="s">
        <v>56</v>
      </c>
    </row>
    <row r="65" spans="1:12" ht="19">
      <c r="A65">
        <v>64</v>
      </c>
      <c r="B65" s="1" t="s">
        <v>241</v>
      </c>
      <c r="C65" s="2" t="s">
        <v>269</v>
      </c>
      <c r="D65" t="s">
        <v>84</v>
      </c>
      <c r="E65" t="s">
        <v>391</v>
      </c>
      <c r="F65" t="s">
        <v>192</v>
      </c>
      <c r="G65" t="s">
        <v>1716</v>
      </c>
      <c r="H65" t="s">
        <v>192</v>
      </c>
      <c r="I65" t="s">
        <v>1981</v>
      </c>
      <c r="J65" t="str">
        <f t="shared" si="0"/>
        <v>segmented videos list</v>
      </c>
      <c r="K65" s="1"/>
      <c r="L65" s="1" t="s">
        <v>253</v>
      </c>
    </row>
    <row r="66" spans="1:12" ht="19">
      <c r="A66">
        <v>65</v>
      </c>
      <c r="B66" s="1" t="s">
        <v>32</v>
      </c>
      <c r="C66" s="2" t="s">
        <v>271</v>
      </c>
      <c r="D66" t="s">
        <v>84</v>
      </c>
      <c r="E66" t="s">
        <v>391</v>
      </c>
      <c r="F66" t="s">
        <v>192</v>
      </c>
      <c r="G66" t="s">
        <v>1642</v>
      </c>
      <c r="H66" t="s">
        <v>192</v>
      </c>
      <c r="I66" t="s">
        <v>1907</v>
      </c>
      <c r="J66" t="str">
        <f t="shared" si="0"/>
        <v>segmented videos list</v>
      </c>
      <c r="K66" s="1"/>
      <c r="L66" s="1" t="s">
        <v>57</v>
      </c>
    </row>
    <row r="67" spans="1:12" ht="19">
      <c r="A67">
        <v>66</v>
      </c>
      <c r="B67" s="1" t="s">
        <v>33</v>
      </c>
      <c r="C67" s="2" t="s">
        <v>271</v>
      </c>
      <c r="D67" t="s">
        <v>1204</v>
      </c>
      <c r="E67" t="s">
        <v>391</v>
      </c>
      <c r="F67" t="s">
        <v>192</v>
      </c>
      <c r="G67" t="s">
        <v>1644</v>
      </c>
      <c r="H67" t="s">
        <v>192</v>
      </c>
      <c r="I67" t="s">
        <v>1909</v>
      </c>
      <c r="J67" t="str">
        <f t="shared" ref="J67:J130" si="1">IF(COUNTIF(K:K, B67)&gt;0,$K$1,IF(COUNTIF(L:L, B67)&gt;0,$L$1,"no"))</f>
        <v>to dignose</v>
      </c>
      <c r="K67" s="1"/>
      <c r="L67" s="1" t="s">
        <v>58</v>
      </c>
    </row>
    <row r="68" spans="1:12" ht="19">
      <c r="A68">
        <v>67</v>
      </c>
      <c r="B68" s="1" t="s">
        <v>34</v>
      </c>
      <c r="C68" s="2" t="s">
        <v>271</v>
      </c>
      <c r="D68" t="s">
        <v>1204</v>
      </c>
      <c r="E68" t="s">
        <v>391</v>
      </c>
      <c r="F68" t="s">
        <v>192</v>
      </c>
      <c r="G68" t="s">
        <v>1656</v>
      </c>
      <c r="H68" t="s">
        <v>192</v>
      </c>
      <c r="I68" t="s">
        <v>1921</v>
      </c>
      <c r="J68" t="str">
        <f t="shared" si="1"/>
        <v>to dignose</v>
      </c>
      <c r="K68" s="1"/>
      <c r="L68" s="1" t="s">
        <v>254</v>
      </c>
    </row>
    <row r="69" spans="1:12" ht="19">
      <c r="A69">
        <v>68</v>
      </c>
      <c r="B69" s="1" t="s">
        <v>35</v>
      </c>
      <c r="C69" s="2" t="s">
        <v>271</v>
      </c>
      <c r="D69" t="s">
        <v>85</v>
      </c>
      <c r="E69" t="s">
        <v>391</v>
      </c>
      <c r="F69" t="s">
        <v>192</v>
      </c>
      <c r="G69" t="s">
        <v>1641</v>
      </c>
      <c r="H69" t="s">
        <v>192</v>
      </c>
      <c r="I69" t="s">
        <v>1906</v>
      </c>
      <c r="J69" t="str">
        <f t="shared" si="1"/>
        <v>segmented videos list</v>
      </c>
      <c r="K69" s="1"/>
      <c r="L69" s="1" t="s">
        <v>255</v>
      </c>
    </row>
    <row r="70" spans="1:12" ht="19">
      <c r="A70">
        <v>69</v>
      </c>
      <c r="B70" s="1" t="s">
        <v>36</v>
      </c>
      <c r="C70" s="2" t="s">
        <v>271</v>
      </c>
      <c r="D70" t="s">
        <v>85</v>
      </c>
      <c r="E70" t="s">
        <v>391</v>
      </c>
      <c r="F70" t="s">
        <v>192</v>
      </c>
      <c r="G70" t="s">
        <v>1674</v>
      </c>
      <c r="H70" t="s">
        <v>192</v>
      </c>
      <c r="I70" t="s">
        <v>1939</v>
      </c>
      <c r="J70" t="str">
        <f t="shared" si="1"/>
        <v>segmented videos list</v>
      </c>
      <c r="K70" s="1"/>
      <c r="L70" s="1" t="s">
        <v>257</v>
      </c>
    </row>
    <row r="71" spans="1:12" ht="19">
      <c r="A71">
        <v>70</v>
      </c>
      <c r="B71" s="1" t="s">
        <v>37</v>
      </c>
      <c r="C71" s="2" t="s">
        <v>271</v>
      </c>
      <c r="D71" t="s">
        <v>1204</v>
      </c>
      <c r="E71" t="s">
        <v>391</v>
      </c>
      <c r="F71" t="s">
        <v>201</v>
      </c>
      <c r="G71" t="s">
        <v>1681</v>
      </c>
      <c r="H71" t="s">
        <v>192</v>
      </c>
      <c r="I71" t="s">
        <v>1946</v>
      </c>
      <c r="J71" t="str">
        <f t="shared" si="1"/>
        <v>to dignose</v>
      </c>
      <c r="K71" s="1"/>
      <c r="L71" s="1" t="s">
        <v>264</v>
      </c>
    </row>
    <row r="72" spans="1:12" ht="19">
      <c r="A72">
        <v>71</v>
      </c>
      <c r="B72" s="1" t="s">
        <v>38</v>
      </c>
      <c r="C72" s="2" t="s">
        <v>271</v>
      </c>
      <c r="D72" t="s">
        <v>1201</v>
      </c>
      <c r="E72" t="s">
        <v>391</v>
      </c>
      <c r="F72" t="s">
        <v>192</v>
      </c>
      <c r="G72" t="s">
        <v>1684</v>
      </c>
      <c r="H72" t="s">
        <v>192</v>
      </c>
      <c r="I72" t="s">
        <v>1949</v>
      </c>
      <c r="J72" t="str">
        <f t="shared" si="1"/>
        <v>to dignose</v>
      </c>
      <c r="K72" s="1"/>
      <c r="L72" s="1" t="s">
        <v>59</v>
      </c>
    </row>
    <row r="73" spans="1:12" ht="19">
      <c r="A73">
        <v>72</v>
      </c>
      <c r="B73" s="1" t="s">
        <v>39</v>
      </c>
      <c r="C73" s="2" t="s">
        <v>271</v>
      </c>
      <c r="D73" t="s">
        <v>84</v>
      </c>
      <c r="E73" t="s">
        <v>391</v>
      </c>
      <c r="F73" t="s">
        <v>201</v>
      </c>
      <c r="G73" t="s">
        <v>1677</v>
      </c>
      <c r="H73" t="s">
        <v>192</v>
      </c>
      <c r="I73" t="s">
        <v>1942</v>
      </c>
      <c r="J73" t="str">
        <f t="shared" si="1"/>
        <v>segmented videos list</v>
      </c>
      <c r="K73" s="1"/>
      <c r="L73" s="1" t="s">
        <v>60</v>
      </c>
    </row>
    <row r="74" spans="1:12" ht="19">
      <c r="A74">
        <v>73</v>
      </c>
      <c r="B74" s="1" t="s">
        <v>242</v>
      </c>
      <c r="C74" s="2" t="s">
        <v>267</v>
      </c>
      <c r="D74" t="s">
        <v>84</v>
      </c>
      <c r="E74" t="s">
        <v>391</v>
      </c>
      <c r="F74" t="s">
        <v>192</v>
      </c>
      <c r="G74" t="s">
        <v>1653</v>
      </c>
      <c r="H74" t="s">
        <v>192</v>
      </c>
      <c r="I74" t="s">
        <v>1918</v>
      </c>
      <c r="J74" t="str">
        <f t="shared" si="1"/>
        <v>segmented videos list</v>
      </c>
      <c r="K74" s="1"/>
      <c r="L74" s="1" t="s">
        <v>265</v>
      </c>
    </row>
    <row r="75" spans="1:12" ht="19">
      <c r="A75">
        <v>74</v>
      </c>
      <c r="B75" s="1" t="s">
        <v>40</v>
      </c>
      <c r="C75" s="2" t="s">
        <v>271</v>
      </c>
      <c r="D75" t="s">
        <v>1203</v>
      </c>
      <c r="E75" t="s">
        <v>391</v>
      </c>
      <c r="F75" t="s">
        <v>192</v>
      </c>
      <c r="G75" t="s">
        <v>1695</v>
      </c>
      <c r="H75" t="s">
        <v>192</v>
      </c>
      <c r="I75" t="s">
        <v>1960</v>
      </c>
      <c r="J75" t="str">
        <f t="shared" si="1"/>
        <v>to dignose</v>
      </c>
      <c r="K75" s="1"/>
      <c r="L75" s="1" t="s">
        <v>61</v>
      </c>
    </row>
    <row r="76" spans="1:12" ht="19">
      <c r="A76">
        <v>75</v>
      </c>
      <c r="B76" s="1" t="s">
        <v>243</v>
      </c>
      <c r="C76" s="2" t="s">
        <v>269</v>
      </c>
      <c r="D76" t="s">
        <v>84</v>
      </c>
      <c r="E76" t="s">
        <v>391</v>
      </c>
      <c r="F76" t="s">
        <v>1717</v>
      </c>
      <c r="G76" t="e">
        <v>#N/A</v>
      </c>
      <c r="H76" t="s">
        <v>1717</v>
      </c>
      <c r="I76" t="e">
        <v>#N/A</v>
      </c>
      <c r="J76" t="str">
        <f t="shared" si="1"/>
        <v>no</v>
      </c>
      <c r="K76" s="1"/>
      <c r="L76" s="1" t="s">
        <v>266</v>
      </c>
    </row>
    <row r="77" spans="1:12" ht="19">
      <c r="A77">
        <v>76</v>
      </c>
      <c r="B77" s="1" t="s">
        <v>41</v>
      </c>
      <c r="C77" s="2" t="s">
        <v>271</v>
      </c>
      <c r="D77" t="s">
        <v>84</v>
      </c>
      <c r="E77" t="s">
        <v>391</v>
      </c>
      <c r="F77" t="s">
        <v>1717</v>
      </c>
      <c r="G77" t="e">
        <v>#N/A</v>
      </c>
      <c r="H77" t="s">
        <v>1717</v>
      </c>
      <c r="I77" t="e">
        <v>#N/A</v>
      </c>
      <c r="J77" t="str">
        <f t="shared" si="1"/>
        <v>no</v>
      </c>
      <c r="K77" s="1"/>
      <c r="L77" s="1" t="s">
        <v>62</v>
      </c>
    </row>
    <row r="78" spans="1:12" ht="19">
      <c r="A78">
        <v>77</v>
      </c>
      <c r="B78" s="1" t="s">
        <v>244</v>
      </c>
      <c r="C78" s="2" t="s">
        <v>274</v>
      </c>
      <c r="D78" t="s">
        <v>84</v>
      </c>
      <c r="E78" t="s">
        <v>391</v>
      </c>
      <c r="F78" t="s">
        <v>1717</v>
      </c>
      <c r="G78" t="e">
        <v>#N/A</v>
      </c>
      <c r="H78" t="s">
        <v>1717</v>
      </c>
      <c r="I78" t="e">
        <v>#N/A</v>
      </c>
      <c r="J78" t="str">
        <f t="shared" si="1"/>
        <v>no</v>
      </c>
      <c r="K78" s="1"/>
      <c r="L78" s="1" t="s">
        <v>63</v>
      </c>
    </row>
    <row r="79" spans="1:12" ht="19">
      <c r="A79">
        <v>78</v>
      </c>
      <c r="B79" s="1" t="s">
        <v>245</v>
      </c>
      <c r="C79" s="2" t="s">
        <v>269</v>
      </c>
      <c r="D79" t="s">
        <v>84</v>
      </c>
      <c r="E79" t="s">
        <v>391</v>
      </c>
      <c r="F79" t="s">
        <v>1717</v>
      </c>
      <c r="G79" t="e">
        <v>#N/A</v>
      </c>
      <c r="H79" t="s">
        <v>1717</v>
      </c>
      <c r="I79" t="e">
        <v>#N/A</v>
      </c>
      <c r="J79" t="str">
        <f t="shared" si="1"/>
        <v>no</v>
      </c>
      <c r="K79" s="1"/>
      <c r="L79" s="1"/>
    </row>
    <row r="80" spans="1:12" ht="19">
      <c r="A80">
        <v>79</v>
      </c>
      <c r="B80" s="1" t="s">
        <v>42</v>
      </c>
      <c r="C80" s="2" t="s">
        <v>271</v>
      </c>
      <c r="D80" t="s">
        <v>87</v>
      </c>
      <c r="E80" t="s">
        <v>391</v>
      </c>
      <c r="F80" t="s">
        <v>1717</v>
      </c>
      <c r="G80" t="e">
        <v>#N/A</v>
      </c>
      <c r="H80" t="s">
        <v>1717</v>
      </c>
      <c r="I80" t="e">
        <v>#N/A</v>
      </c>
      <c r="J80" t="str">
        <f t="shared" si="1"/>
        <v>no</v>
      </c>
      <c r="K80" s="1"/>
      <c r="L80" s="1"/>
    </row>
    <row r="81" spans="1:10" ht="19">
      <c r="A81">
        <v>80</v>
      </c>
      <c r="B81" s="1" t="s">
        <v>43</v>
      </c>
      <c r="C81" s="2" t="s">
        <v>271</v>
      </c>
      <c r="D81" t="s">
        <v>87</v>
      </c>
      <c r="E81" t="s">
        <v>391</v>
      </c>
      <c r="F81" t="s">
        <v>1717</v>
      </c>
      <c r="G81" t="e">
        <v>#N/A</v>
      </c>
      <c r="H81" t="s">
        <v>1717</v>
      </c>
      <c r="I81" t="e">
        <v>#N/A</v>
      </c>
      <c r="J81" t="str">
        <f t="shared" si="1"/>
        <v>no</v>
      </c>
    </row>
    <row r="82" spans="1:10" ht="19">
      <c r="A82">
        <v>81</v>
      </c>
      <c r="B82" s="1" t="s">
        <v>246</v>
      </c>
      <c r="C82" s="2" t="s">
        <v>273</v>
      </c>
      <c r="D82" t="s">
        <v>84</v>
      </c>
      <c r="E82" t="s">
        <v>391</v>
      </c>
      <c r="F82" t="s">
        <v>1717</v>
      </c>
      <c r="G82" t="e">
        <v>#N/A</v>
      </c>
      <c r="H82" t="s">
        <v>1717</v>
      </c>
      <c r="I82" t="e">
        <v>#N/A</v>
      </c>
      <c r="J82" t="str">
        <f t="shared" si="1"/>
        <v>no</v>
      </c>
    </row>
    <row r="83" spans="1:10" ht="19">
      <c r="A83">
        <v>82</v>
      </c>
      <c r="B83" s="1" t="s">
        <v>247</v>
      </c>
      <c r="C83" s="2" t="s">
        <v>269</v>
      </c>
      <c r="D83" t="s">
        <v>84</v>
      </c>
      <c r="E83" t="s">
        <v>391</v>
      </c>
      <c r="F83" t="s">
        <v>1717</v>
      </c>
      <c r="G83" t="e">
        <v>#N/A</v>
      </c>
      <c r="H83" t="s">
        <v>1717</v>
      </c>
      <c r="I83" t="e">
        <v>#N/A</v>
      </c>
      <c r="J83" t="str">
        <f t="shared" si="1"/>
        <v>no</v>
      </c>
    </row>
    <row r="84" spans="1:10" ht="19">
      <c r="A84">
        <v>83</v>
      </c>
      <c r="B84" s="1" t="s">
        <v>248</v>
      </c>
      <c r="C84" s="2" t="s">
        <v>269</v>
      </c>
      <c r="D84" t="s">
        <v>84</v>
      </c>
      <c r="E84" t="s">
        <v>391</v>
      </c>
      <c r="F84" t="s">
        <v>1717</v>
      </c>
      <c r="G84" t="e">
        <v>#N/A</v>
      </c>
      <c r="H84" t="s">
        <v>1717</v>
      </c>
      <c r="I84" t="e">
        <v>#N/A</v>
      </c>
      <c r="J84" t="str">
        <f t="shared" si="1"/>
        <v>no</v>
      </c>
    </row>
    <row r="85" spans="1:10" ht="19">
      <c r="A85">
        <v>84</v>
      </c>
      <c r="B85" s="1" t="s">
        <v>44</v>
      </c>
      <c r="C85" s="2" t="s">
        <v>271</v>
      </c>
      <c r="D85" t="s">
        <v>87</v>
      </c>
      <c r="E85" t="s">
        <v>391</v>
      </c>
      <c r="F85" t="s">
        <v>1717</v>
      </c>
      <c r="G85" t="e">
        <v>#N/A</v>
      </c>
      <c r="H85" t="s">
        <v>1717</v>
      </c>
      <c r="I85" t="e">
        <v>#N/A</v>
      </c>
      <c r="J85" t="str">
        <f t="shared" si="1"/>
        <v>no</v>
      </c>
    </row>
    <row r="86" spans="1:10" ht="19">
      <c r="A86">
        <v>85</v>
      </c>
      <c r="B86" s="1" t="s">
        <v>249</v>
      </c>
      <c r="C86" s="2" t="s">
        <v>274</v>
      </c>
      <c r="D86" t="s">
        <v>84</v>
      </c>
      <c r="E86" t="s">
        <v>391</v>
      </c>
      <c r="F86" t="s">
        <v>1717</v>
      </c>
      <c r="G86" t="e">
        <v>#N/A</v>
      </c>
      <c r="H86" t="s">
        <v>1717</v>
      </c>
      <c r="I86" t="e">
        <v>#N/A</v>
      </c>
      <c r="J86" t="str">
        <f t="shared" si="1"/>
        <v>no</v>
      </c>
    </row>
    <row r="87" spans="1:10" ht="19">
      <c r="A87">
        <v>86</v>
      </c>
      <c r="B87" s="1" t="s">
        <v>45</v>
      </c>
      <c r="C87" s="2" t="s">
        <v>271</v>
      </c>
      <c r="D87" t="s">
        <v>84</v>
      </c>
      <c r="E87" t="s">
        <v>391</v>
      </c>
      <c r="F87" t="s">
        <v>1717</v>
      </c>
      <c r="G87" t="e">
        <v>#N/A</v>
      </c>
      <c r="H87" t="s">
        <v>1717</v>
      </c>
      <c r="I87" t="e">
        <v>#N/A</v>
      </c>
      <c r="J87" t="str">
        <f t="shared" si="1"/>
        <v>no</v>
      </c>
    </row>
    <row r="88" spans="1:10" ht="19">
      <c r="A88">
        <v>87</v>
      </c>
      <c r="B88" s="1" t="s">
        <v>250</v>
      </c>
      <c r="C88" s="2" t="s">
        <v>268</v>
      </c>
      <c r="D88" t="s">
        <v>84</v>
      </c>
      <c r="E88" t="s">
        <v>391</v>
      </c>
      <c r="F88" t="s">
        <v>1717</v>
      </c>
      <c r="G88" t="e">
        <v>#N/A</v>
      </c>
      <c r="H88" t="s">
        <v>1717</v>
      </c>
      <c r="I88" t="e">
        <v>#N/A</v>
      </c>
      <c r="J88" t="str">
        <f t="shared" si="1"/>
        <v>no</v>
      </c>
    </row>
    <row r="89" spans="1:10" ht="19">
      <c r="A89">
        <v>88</v>
      </c>
      <c r="B89" s="1" t="s">
        <v>46</v>
      </c>
      <c r="C89" s="2" t="s">
        <v>271</v>
      </c>
      <c r="D89" t="s">
        <v>84</v>
      </c>
      <c r="E89" t="s">
        <v>391</v>
      </c>
      <c r="F89" t="s">
        <v>1717</v>
      </c>
      <c r="G89" t="e">
        <v>#N/A</v>
      </c>
      <c r="H89" t="s">
        <v>1717</v>
      </c>
      <c r="I89" t="e">
        <v>#N/A</v>
      </c>
      <c r="J89" t="str">
        <f t="shared" si="1"/>
        <v>no</v>
      </c>
    </row>
    <row r="90" spans="1:10" ht="19">
      <c r="A90">
        <v>89</v>
      </c>
      <c r="B90" s="1" t="s">
        <v>47</v>
      </c>
      <c r="C90" s="2" t="s">
        <v>271</v>
      </c>
      <c r="D90" t="s">
        <v>84</v>
      </c>
      <c r="E90" t="s">
        <v>391</v>
      </c>
      <c r="F90" t="s">
        <v>1717</v>
      </c>
      <c r="G90" t="e">
        <v>#N/A</v>
      </c>
      <c r="H90" t="s">
        <v>1717</v>
      </c>
      <c r="I90" t="e">
        <v>#N/A</v>
      </c>
      <c r="J90" t="str">
        <f t="shared" si="1"/>
        <v>no</v>
      </c>
    </row>
    <row r="91" spans="1:10" ht="19">
      <c r="A91">
        <v>90</v>
      </c>
      <c r="B91" s="1" t="s">
        <v>48</v>
      </c>
      <c r="C91" s="2" t="s">
        <v>271</v>
      </c>
      <c r="D91" t="s">
        <v>84</v>
      </c>
      <c r="E91" t="s">
        <v>391</v>
      </c>
      <c r="F91" t="s">
        <v>1717</v>
      </c>
      <c r="G91" t="e">
        <v>#N/A</v>
      </c>
      <c r="H91" t="s">
        <v>1717</v>
      </c>
      <c r="I91" t="e">
        <v>#N/A</v>
      </c>
      <c r="J91" t="str">
        <f t="shared" si="1"/>
        <v>no</v>
      </c>
    </row>
    <row r="92" spans="1:10" ht="19">
      <c r="A92">
        <v>91</v>
      </c>
      <c r="B92" s="1" t="s">
        <v>49</v>
      </c>
      <c r="C92" s="2" t="s">
        <v>271</v>
      </c>
      <c r="D92" t="s">
        <v>84</v>
      </c>
      <c r="E92" t="s">
        <v>391</v>
      </c>
      <c r="F92" t="s">
        <v>1717</v>
      </c>
      <c r="G92" t="e">
        <v>#N/A</v>
      </c>
      <c r="H92" t="s">
        <v>1717</v>
      </c>
      <c r="I92" t="e">
        <v>#N/A</v>
      </c>
      <c r="J92" t="str">
        <f t="shared" si="1"/>
        <v>no</v>
      </c>
    </row>
    <row r="93" spans="1:10" ht="19">
      <c r="A93">
        <v>92</v>
      </c>
      <c r="B93" s="1" t="s">
        <v>50</v>
      </c>
      <c r="C93" s="2" t="s">
        <v>271</v>
      </c>
      <c r="D93" t="s">
        <v>84</v>
      </c>
      <c r="E93" t="s">
        <v>391</v>
      </c>
      <c r="F93" t="s">
        <v>1717</v>
      </c>
      <c r="G93" t="e">
        <v>#N/A</v>
      </c>
      <c r="H93" t="s">
        <v>1717</v>
      </c>
      <c r="I93" t="e">
        <v>#N/A</v>
      </c>
      <c r="J93" t="str">
        <f t="shared" si="1"/>
        <v>no</v>
      </c>
    </row>
    <row r="94" spans="1:10" ht="19">
      <c r="A94">
        <v>93</v>
      </c>
      <c r="B94" s="1" t="s">
        <v>51</v>
      </c>
      <c r="C94" s="2" t="s">
        <v>271</v>
      </c>
      <c r="D94" t="s">
        <v>84</v>
      </c>
      <c r="E94" t="s">
        <v>391</v>
      </c>
      <c r="F94" t="s">
        <v>1717</v>
      </c>
      <c r="G94" t="e">
        <v>#N/A</v>
      </c>
      <c r="H94" t="s">
        <v>1717</v>
      </c>
      <c r="I94" t="e">
        <v>#N/A</v>
      </c>
      <c r="J94" t="str">
        <f t="shared" si="1"/>
        <v>no</v>
      </c>
    </row>
    <row r="95" spans="1:10" ht="19">
      <c r="A95">
        <v>94</v>
      </c>
      <c r="B95" s="1" t="s">
        <v>52</v>
      </c>
      <c r="C95" s="2" t="s">
        <v>271</v>
      </c>
      <c r="D95" t="s">
        <v>84</v>
      </c>
      <c r="E95" t="s">
        <v>391</v>
      </c>
      <c r="F95" t="s">
        <v>1717</v>
      </c>
      <c r="G95" t="e">
        <v>#N/A</v>
      </c>
      <c r="H95" t="s">
        <v>1717</v>
      </c>
      <c r="I95" t="e">
        <v>#N/A</v>
      </c>
      <c r="J95" t="str">
        <f t="shared" si="1"/>
        <v>no</v>
      </c>
    </row>
    <row r="96" spans="1:10" ht="19">
      <c r="A96">
        <v>95</v>
      </c>
      <c r="B96" s="1" t="s">
        <v>53</v>
      </c>
      <c r="C96" s="2" t="s">
        <v>271</v>
      </c>
      <c r="D96" t="s">
        <v>84</v>
      </c>
      <c r="E96" t="s">
        <v>391</v>
      </c>
      <c r="F96" t="s">
        <v>1717</v>
      </c>
      <c r="G96" t="e">
        <v>#N/A</v>
      </c>
      <c r="H96" t="s">
        <v>1717</v>
      </c>
      <c r="I96" t="e">
        <v>#N/A</v>
      </c>
      <c r="J96" t="str">
        <f t="shared" si="1"/>
        <v>no</v>
      </c>
    </row>
    <row r="97" spans="1:10" ht="19">
      <c r="A97">
        <v>96</v>
      </c>
      <c r="B97" s="1" t="s">
        <v>251</v>
      </c>
      <c r="C97" s="2" t="s">
        <v>267</v>
      </c>
      <c r="D97" t="s">
        <v>84</v>
      </c>
      <c r="E97" t="s">
        <v>391</v>
      </c>
      <c r="F97" t="s">
        <v>192</v>
      </c>
      <c r="G97" t="s">
        <v>1654</v>
      </c>
      <c r="H97" t="s">
        <v>192</v>
      </c>
      <c r="I97" t="s">
        <v>1919</v>
      </c>
      <c r="J97" t="str">
        <f t="shared" si="1"/>
        <v>segmented videos list</v>
      </c>
    </row>
    <row r="98" spans="1:10" ht="19">
      <c r="A98">
        <v>97</v>
      </c>
      <c r="B98" s="1" t="s">
        <v>54</v>
      </c>
      <c r="C98" s="2" t="s">
        <v>271</v>
      </c>
      <c r="D98" t="s">
        <v>84</v>
      </c>
      <c r="E98" t="s">
        <v>391</v>
      </c>
      <c r="F98" t="s">
        <v>192</v>
      </c>
      <c r="G98" t="s">
        <v>1691</v>
      </c>
      <c r="H98" t="s">
        <v>192</v>
      </c>
      <c r="I98" t="s">
        <v>1956</v>
      </c>
      <c r="J98" t="str">
        <f t="shared" si="1"/>
        <v>segmented videos list</v>
      </c>
    </row>
    <row r="99" spans="1:10" ht="19">
      <c r="A99">
        <v>98</v>
      </c>
      <c r="B99" s="1" t="s">
        <v>55</v>
      </c>
      <c r="C99" s="2" t="s">
        <v>271</v>
      </c>
      <c r="D99" t="s">
        <v>1201</v>
      </c>
      <c r="E99" t="s">
        <v>391</v>
      </c>
      <c r="F99" t="s">
        <v>192</v>
      </c>
      <c r="G99" t="s">
        <v>1666</v>
      </c>
      <c r="H99" t="s">
        <v>192</v>
      </c>
      <c r="I99" t="s">
        <v>1931</v>
      </c>
      <c r="J99" t="str">
        <f t="shared" si="1"/>
        <v>to dignose</v>
      </c>
    </row>
    <row r="100" spans="1:10" ht="19">
      <c r="A100">
        <v>99</v>
      </c>
      <c r="B100" s="1" t="s">
        <v>252</v>
      </c>
      <c r="C100" s="2" t="s">
        <v>274</v>
      </c>
      <c r="D100" t="s">
        <v>84</v>
      </c>
      <c r="E100" t="s">
        <v>391</v>
      </c>
      <c r="F100" t="s">
        <v>192</v>
      </c>
      <c r="G100" t="s">
        <v>1675</v>
      </c>
      <c r="H100" t="s">
        <v>192</v>
      </c>
      <c r="I100" t="s">
        <v>1940</v>
      </c>
      <c r="J100" t="str">
        <f t="shared" si="1"/>
        <v>segmented videos list</v>
      </c>
    </row>
    <row r="101" spans="1:10" ht="19">
      <c r="A101">
        <v>100</v>
      </c>
      <c r="B101" s="1" t="s">
        <v>56</v>
      </c>
      <c r="C101" s="2" t="s">
        <v>271</v>
      </c>
      <c r="D101" t="s">
        <v>84</v>
      </c>
      <c r="E101" t="s">
        <v>391</v>
      </c>
      <c r="F101" t="s">
        <v>192</v>
      </c>
      <c r="G101" t="s">
        <v>1670</v>
      </c>
      <c r="H101" t="s">
        <v>192</v>
      </c>
      <c r="I101" t="s">
        <v>1935</v>
      </c>
      <c r="J101" t="str">
        <f t="shared" si="1"/>
        <v>segmented videos list</v>
      </c>
    </row>
    <row r="102" spans="1:10" ht="19">
      <c r="A102">
        <v>101</v>
      </c>
      <c r="B102" s="1" t="s">
        <v>253</v>
      </c>
      <c r="C102" s="2" t="s">
        <v>267</v>
      </c>
      <c r="D102" t="s">
        <v>84</v>
      </c>
      <c r="E102" t="s">
        <v>391</v>
      </c>
      <c r="F102" t="s">
        <v>201</v>
      </c>
      <c r="G102" t="s">
        <v>1704</v>
      </c>
      <c r="H102" t="s">
        <v>192</v>
      </c>
      <c r="I102" t="s">
        <v>1969</v>
      </c>
      <c r="J102" t="str">
        <f t="shared" si="1"/>
        <v>segmented videos list</v>
      </c>
    </row>
    <row r="103" spans="1:10" ht="19">
      <c r="A103">
        <v>102</v>
      </c>
      <c r="B103" s="1" t="s">
        <v>57</v>
      </c>
      <c r="C103" s="2" t="s">
        <v>271</v>
      </c>
      <c r="D103" t="s">
        <v>84</v>
      </c>
      <c r="E103" t="s">
        <v>391</v>
      </c>
      <c r="F103" t="s">
        <v>201</v>
      </c>
      <c r="G103" t="s">
        <v>1701</v>
      </c>
      <c r="H103" t="s">
        <v>192</v>
      </c>
      <c r="I103" t="s">
        <v>1966</v>
      </c>
      <c r="J103" t="str">
        <f t="shared" si="1"/>
        <v>segmented videos list</v>
      </c>
    </row>
    <row r="104" spans="1:10" ht="19">
      <c r="A104">
        <v>103</v>
      </c>
      <c r="B104" s="1" t="s">
        <v>58</v>
      </c>
      <c r="C104" s="2" t="s">
        <v>271</v>
      </c>
      <c r="D104" t="s">
        <v>1203</v>
      </c>
      <c r="E104" t="s">
        <v>391</v>
      </c>
      <c r="F104" t="s">
        <v>201</v>
      </c>
      <c r="G104" t="s">
        <v>1710</v>
      </c>
      <c r="H104" t="s">
        <v>192</v>
      </c>
      <c r="I104" t="s">
        <v>1975</v>
      </c>
      <c r="J104" t="str">
        <f t="shared" si="1"/>
        <v>to dignose</v>
      </c>
    </row>
    <row r="105" spans="1:10" ht="19">
      <c r="A105">
        <v>104</v>
      </c>
      <c r="B105" s="1" t="s">
        <v>254</v>
      </c>
      <c r="C105" s="2" t="s">
        <v>269</v>
      </c>
      <c r="D105" t="s">
        <v>84</v>
      </c>
      <c r="E105" t="s">
        <v>391</v>
      </c>
      <c r="F105" t="s">
        <v>192</v>
      </c>
      <c r="G105" t="s">
        <v>1661</v>
      </c>
      <c r="H105" t="s">
        <v>192</v>
      </c>
      <c r="I105" t="s">
        <v>1926</v>
      </c>
      <c r="J105" t="str">
        <f t="shared" si="1"/>
        <v>segmented videos list</v>
      </c>
    </row>
    <row r="106" spans="1:10" ht="19">
      <c r="A106">
        <v>105</v>
      </c>
      <c r="B106" s="1" t="s">
        <v>255</v>
      </c>
      <c r="C106" s="2" t="s">
        <v>269</v>
      </c>
      <c r="D106" t="s">
        <v>1201</v>
      </c>
      <c r="E106" t="s">
        <v>391</v>
      </c>
      <c r="F106" t="s">
        <v>201</v>
      </c>
      <c r="G106" t="s">
        <v>1672</v>
      </c>
      <c r="H106" t="s">
        <v>192</v>
      </c>
      <c r="I106" t="s">
        <v>1937</v>
      </c>
      <c r="J106" t="str">
        <f t="shared" si="1"/>
        <v>to dignose</v>
      </c>
    </row>
    <row r="107" spans="1:10" ht="19">
      <c r="A107">
        <v>106</v>
      </c>
      <c r="B107" s="1" t="s">
        <v>256</v>
      </c>
      <c r="C107" s="2" t="s">
        <v>269</v>
      </c>
      <c r="D107" t="s">
        <v>84</v>
      </c>
      <c r="E107" t="s">
        <v>391</v>
      </c>
      <c r="F107" t="s">
        <v>1717</v>
      </c>
      <c r="G107" t="e">
        <v>#N/A</v>
      </c>
      <c r="H107" t="s">
        <v>1717</v>
      </c>
      <c r="I107" t="e">
        <v>#N/A</v>
      </c>
      <c r="J107" t="str">
        <f t="shared" si="1"/>
        <v>no</v>
      </c>
    </row>
    <row r="108" spans="1:10" ht="19">
      <c r="A108">
        <v>107</v>
      </c>
      <c r="B108" s="1" t="s">
        <v>257</v>
      </c>
      <c r="C108" s="2" t="s">
        <v>274</v>
      </c>
      <c r="D108" t="s">
        <v>84</v>
      </c>
      <c r="E108" t="s">
        <v>391</v>
      </c>
      <c r="F108" t="s">
        <v>192</v>
      </c>
      <c r="G108" t="s">
        <v>1655</v>
      </c>
      <c r="H108" t="s">
        <v>192</v>
      </c>
      <c r="I108" t="s">
        <v>1920</v>
      </c>
      <c r="J108" t="str">
        <f t="shared" si="1"/>
        <v>segmented videos list</v>
      </c>
    </row>
    <row r="109" spans="1:10" ht="19">
      <c r="A109">
        <v>108</v>
      </c>
      <c r="B109" s="1" t="s">
        <v>258</v>
      </c>
      <c r="C109" s="2" t="s">
        <v>267</v>
      </c>
      <c r="D109" t="s">
        <v>84</v>
      </c>
      <c r="E109" t="s">
        <v>391</v>
      </c>
      <c r="F109" t="s">
        <v>1717</v>
      </c>
      <c r="G109" t="e">
        <v>#N/A</v>
      </c>
      <c r="H109" t="s">
        <v>1717</v>
      </c>
      <c r="I109" t="e">
        <v>#N/A</v>
      </c>
      <c r="J109" t="str">
        <f t="shared" si="1"/>
        <v>no</v>
      </c>
    </row>
    <row r="110" spans="1:10" ht="19">
      <c r="A110">
        <v>109</v>
      </c>
      <c r="B110" s="1" t="s">
        <v>259</v>
      </c>
      <c r="C110" s="2" t="s">
        <v>274</v>
      </c>
      <c r="D110" t="s">
        <v>84</v>
      </c>
      <c r="E110" t="s">
        <v>391</v>
      </c>
      <c r="F110" t="s">
        <v>1717</v>
      </c>
      <c r="G110" t="e">
        <v>#N/A</v>
      </c>
      <c r="H110" t="s">
        <v>1717</v>
      </c>
      <c r="I110" t="e">
        <v>#N/A</v>
      </c>
      <c r="J110" t="str">
        <f t="shared" si="1"/>
        <v>no</v>
      </c>
    </row>
    <row r="111" spans="1:10" ht="19">
      <c r="A111">
        <v>110</v>
      </c>
      <c r="B111" s="1" t="s">
        <v>260</v>
      </c>
      <c r="C111" s="2" t="s">
        <v>269</v>
      </c>
      <c r="D111" t="s">
        <v>84</v>
      </c>
      <c r="E111" t="s">
        <v>391</v>
      </c>
      <c r="F111" t="s">
        <v>1717</v>
      </c>
      <c r="G111" t="e">
        <v>#N/A</v>
      </c>
      <c r="H111" t="s">
        <v>1717</v>
      </c>
      <c r="I111" t="e">
        <v>#N/A</v>
      </c>
      <c r="J111" t="str">
        <f t="shared" si="1"/>
        <v>no</v>
      </c>
    </row>
    <row r="112" spans="1:10" ht="19">
      <c r="A112">
        <v>111</v>
      </c>
      <c r="B112" s="1" t="s">
        <v>261</v>
      </c>
      <c r="C112" s="2" t="s">
        <v>274</v>
      </c>
      <c r="D112" t="s">
        <v>84</v>
      </c>
      <c r="E112" t="s">
        <v>391</v>
      </c>
      <c r="F112" t="s">
        <v>1717</v>
      </c>
      <c r="G112" t="e">
        <v>#N/A</v>
      </c>
      <c r="H112" t="s">
        <v>1717</v>
      </c>
      <c r="I112" t="e">
        <v>#N/A</v>
      </c>
      <c r="J112" t="str">
        <f t="shared" si="1"/>
        <v>no</v>
      </c>
    </row>
    <row r="113" spans="1:10" ht="19">
      <c r="A113">
        <v>112</v>
      </c>
      <c r="B113" s="1" t="s">
        <v>262</v>
      </c>
      <c r="C113" s="2" t="s">
        <v>269</v>
      </c>
      <c r="D113" t="s">
        <v>84</v>
      </c>
      <c r="E113" t="s">
        <v>391</v>
      </c>
      <c r="F113" t="s">
        <v>1717</v>
      </c>
      <c r="G113" t="e">
        <v>#N/A</v>
      </c>
      <c r="H113" t="s">
        <v>1717</v>
      </c>
      <c r="I113" t="e">
        <v>#N/A</v>
      </c>
      <c r="J113" t="str">
        <f t="shared" si="1"/>
        <v>no</v>
      </c>
    </row>
    <row r="114" spans="1:10" ht="19">
      <c r="A114">
        <v>113</v>
      </c>
      <c r="B114" s="1" t="s">
        <v>263</v>
      </c>
      <c r="C114" s="2" t="s">
        <v>269</v>
      </c>
      <c r="D114" t="s">
        <v>84</v>
      </c>
      <c r="E114" t="s">
        <v>391</v>
      </c>
      <c r="F114" t="s">
        <v>1717</v>
      </c>
      <c r="G114" t="e">
        <v>#N/A</v>
      </c>
      <c r="H114" t="s">
        <v>1717</v>
      </c>
      <c r="I114" t="e">
        <v>#N/A</v>
      </c>
      <c r="J114" t="str">
        <f t="shared" si="1"/>
        <v>no</v>
      </c>
    </row>
    <row r="115" spans="1:10" ht="19">
      <c r="A115">
        <v>114</v>
      </c>
      <c r="B115" s="1" t="s">
        <v>264</v>
      </c>
      <c r="C115" s="2" t="s">
        <v>267</v>
      </c>
      <c r="D115" t="s">
        <v>85</v>
      </c>
      <c r="E115" t="s">
        <v>391</v>
      </c>
      <c r="F115" t="s">
        <v>192</v>
      </c>
      <c r="G115" t="s">
        <v>1660</v>
      </c>
      <c r="H115" t="s">
        <v>192</v>
      </c>
      <c r="I115" t="s">
        <v>1925</v>
      </c>
      <c r="J115" t="str">
        <f t="shared" si="1"/>
        <v>segmented videos list</v>
      </c>
    </row>
    <row r="116" spans="1:10" ht="19">
      <c r="A116">
        <v>115</v>
      </c>
      <c r="B116" s="1" t="s">
        <v>59</v>
      </c>
      <c r="C116" s="2" t="s">
        <v>271</v>
      </c>
      <c r="D116" t="s">
        <v>1204</v>
      </c>
      <c r="E116" t="s">
        <v>391</v>
      </c>
      <c r="F116" t="s">
        <v>192</v>
      </c>
      <c r="G116" t="s">
        <v>1688</v>
      </c>
      <c r="H116" t="s">
        <v>201</v>
      </c>
      <c r="I116" t="s">
        <v>1953</v>
      </c>
      <c r="J116" t="str">
        <f t="shared" si="1"/>
        <v>to dignose</v>
      </c>
    </row>
    <row r="117" spans="1:10" ht="19">
      <c r="A117">
        <v>116</v>
      </c>
      <c r="B117" s="1" t="s">
        <v>60</v>
      </c>
      <c r="C117" s="2" t="s">
        <v>271</v>
      </c>
      <c r="D117" t="s">
        <v>84</v>
      </c>
      <c r="E117" t="s">
        <v>391</v>
      </c>
      <c r="F117" t="s">
        <v>192</v>
      </c>
      <c r="G117" t="s">
        <v>1711</v>
      </c>
      <c r="H117" t="s">
        <v>192</v>
      </c>
      <c r="I117" t="s">
        <v>1976</v>
      </c>
      <c r="J117" t="str">
        <f t="shared" si="1"/>
        <v>segmented videos list</v>
      </c>
    </row>
    <row r="118" spans="1:10" ht="19">
      <c r="A118">
        <v>117</v>
      </c>
      <c r="B118" s="1" t="s">
        <v>265</v>
      </c>
      <c r="C118" s="2" t="s">
        <v>267</v>
      </c>
      <c r="D118" t="s">
        <v>84</v>
      </c>
      <c r="E118" t="s">
        <v>391</v>
      </c>
      <c r="F118" t="s">
        <v>201</v>
      </c>
      <c r="G118" t="s">
        <v>1707</v>
      </c>
      <c r="H118" t="s">
        <v>192</v>
      </c>
      <c r="I118" t="s">
        <v>1972</v>
      </c>
      <c r="J118" t="str">
        <f t="shared" si="1"/>
        <v>segmented videos list</v>
      </c>
    </row>
    <row r="119" spans="1:10" ht="19">
      <c r="A119">
        <v>118</v>
      </c>
      <c r="B119" s="1" t="s">
        <v>61</v>
      </c>
      <c r="C119" s="2" t="s">
        <v>271</v>
      </c>
      <c r="D119" t="s">
        <v>1203</v>
      </c>
      <c r="E119" t="s">
        <v>391</v>
      </c>
      <c r="F119" t="s">
        <v>201</v>
      </c>
      <c r="G119" t="s">
        <v>1658</v>
      </c>
      <c r="H119" t="s">
        <v>201</v>
      </c>
      <c r="I119" t="s">
        <v>1923</v>
      </c>
      <c r="J119" t="str">
        <f t="shared" si="1"/>
        <v>to dignose</v>
      </c>
    </row>
    <row r="120" spans="1:10" ht="19">
      <c r="A120">
        <v>119</v>
      </c>
      <c r="B120" s="1" t="s">
        <v>266</v>
      </c>
      <c r="C120" s="2" t="s">
        <v>269</v>
      </c>
      <c r="D120" t="s">
        <v>84</v>
      </c>
      <c r="E120" t="s">
        <v>391</v>
      </c>
      <c r="F120" t="s">
        <v>192</v>
      </c>
      <c r="G120" t="s">
        <v>1657</v>
      </c>
      <c r="H120" t="s">
        <v>192</v>
      </c>
      <c r="I120" t="s">
        <v>1922</v>
      </c>
      <c r="J120" t="str">
        <f t="shared" si="1"/>
        <v>segmented videos list</v>
      </c>
    </row>
    <row r="121" spans="1:10" ht="19">
      <c r="A121">
        <v>120</v>
      </c>
      <c r="B121" s="1" t="s">
        <v>62</v>
      </c>
      <c r="C121" s="2" t="s">
        <v>271</v>
      </c>
      <c r="D121" t="s">
        <v>84</v>
      </c>
      <c r="E121" t="s">
        <v>391</v>
      </c>
      <c r="F121" t="s">
        <v>201</v>
      </c>
      <c r="G121" t="s">
        <v>1651</v>
      </c>
      <c r="H121" t="s">
        <v>192</v>
      </c>
      <c r="I121" t="s">
        <v>1916</v>
      </c>
      <c r="J121" t="str">
        <f t="shared" si="1"/>
        <v>segmented videos list</v>
      </c>
    </row>
    <row r="122" spans="1:10" ht="19">
      <c r="A122">
        <v>121</v>
      </c>
      <c r="B122" s="1" t="s">
        <v>63</v>
      </c>
      <c r="C122" s="2" t="s">
        <v>271</v>
      </c>
      <c r="D122" t="s">
        <v>84</v>
      </c>
      <c r="E122" t="s">
        <v>391</v>
      </c>
      <c r="F122" t="s">
        <v>201</v>
      </c>
      <c r="G122" t="s">
        <v>1680</v>
      </c>
      <c r="H122" t="s">
        <v>192</v>
      </c>
      <c r="I122" t="s">
        <v>1945</v>
      </c>
      <c r="J122" t="str">
        <f t="shared" si="1"/>
        <v>segmented videos list</v>
      </c>
    </row>
    <row r="123" spans="1:10" ht="19">
      <c r="A123">
        <v>122</v>
      </c>
      <c r="B123" s="1" t="s">
        <v>64</v>
      </c>
      <c r="C123" s="2" t="s">
        <v>271</v>
      </c>
      <c r="D123" t="s">
        <v>84</v>
      </c>
      <c r="E123" t="s">
        <v>391</v>
      </c>
      <c r="F123" t="s">
        <v>1717</v>
      </c>
      <c r="G123" t="e">
        <v>#N/A</v>
      </c>
      <c r="H123" t="s">
        <v>1717</v>
      </c>
      <c r="I123" t="e">
        <v>#N/A</v>
      </c>
      <c r="J123" t="str">
        <f t="shared" si="1"/>
        <v>no</v>
      </c>
    </row>
    <row r="124" spans="1:10" ht="19">
      <c r="A124">
        <v>123</v>
      </c>
      <c r="B124" s="1" t="s">
        <v>65</v>
      </c>
      <c r="C124" s="2" t="s">
        <v>271</v>
      </c>
      <c r="D124" t="s">
        <v>84</v>
      </c>
      <c r="E124" t="s">
        <v>391</v>
      </c>
      <c r="F124" t="s">
        <v>1717</v>
      </c>
      <c r="G124" t="e">
        <v>#N/A</v>
      </c>
      <c r="H124" t="s">
        <v>1717</v>
      </c>
      <c r="I124" t="e">
        <v>#N/A</v>
      </c>
      <c r="J124" t="str">
        <f t="shared" si="1"/>
        <v>no</v>
      </c>
    </row>
    <row r="125" spans="1:10" ht="19">
      <c r="A125">
        <v>124</v>
      </c>
      <c r="B125" s="1" t="s">
        <v>66</v>
      </c>
      <c r="C125" s="2" t="s">
        <v>271</v>
      </c>
      <c r="D125" t="s">
        <v>84</v>
      </c>
      <c r="E125" t="s">
        <v>391</v>
      </c>
      <c r="F125" t="s">
        <v>1717</v>
      </c>
      <c r="G125" t="e">
        <v>#N/A</v>
      </c>
      <c r="H125" t="s">
        <v>1717</v>
      </c>
      <c r="I125" t="e">
        <v>#N/A</v>
      </c>
      <c r="J125" t="str">
        <f t="shared" si="1"/>
        <v>no</v>
      </c>
    </row>
    <row r="126" spans="1:10" ht="19">
      <c r="A126">
        <v>125</v>
      </c>
      <c r="B126" s="1" t="s">
        <v>67</v>
      </c>
      <c r="C126" s="2" t="s">
        <v>271</v>
      </c>
      <c r="D126" t="s">
        <v>84</v>
      </c>
      <c r="E126" t="s">
        <v>391</v>
      </c>
      <c r="F126" t="s">
        <v>1717</v>
      </c>
      <c r="G126" t="e">
        <v>#N/A</v>
      </c>
      <c r="H126" t="s">
        <v>1717</v>
      </c>
      <c r="I126" t="e">
        <v>#N/A</v>
      </c>
      <c r="J126" t="str">
        <f t="shared" si="1"/>
        <v>no</v>
      </c>
    </row>
    <row r="127" spans="1:10" ht="19">
      <c r="A127">
        <v>126</v>
      </c>
      <c r="B127" s="1" t="s">
        <v>68</v>
      </c>
      <c r="C127" s="2" t="s">
        <v>271</v>
      </c>
      <c r="D127" t="s">
        <v>84</v>
      </c>
      <c r="E127" t="s">
        <v>391</v>
      </c>
      <c r="F127" t="s">
        <v>1717</v>
      </c>
      <c r="G127" t="e">
        <v>#N/A</v>
      </c>
      <c r="H127" t="s">
        <v>1717</v>
      </c>
      <c r="I127" t="e">
        <v>#N/A</v>
      </c>
      <c r="J127" t="str">
        <f t="shared" si="1"/>
        <v>no</v>
      </c>
    </row>
    <row r="128" spans="1:10" ht="19">
      <c r="A128">
        <v>127</v>
      </c>
      <c r="B128" s="1" t="s">
        <v>69</v>
      </c>
      <c r="C128" s="2" t="s">
        <v>271</v>
      </c>
      <c r="D128" t="s">
        <v>84</v>
      </c>
      <c r="E128" t="s">
        <v>391</v>
      </c>
      <c r="F128" t="s">
        <v>1717</v>
      </c>
      <c r="G128" t="e">
        <v>#N/A</v>
      </c>
      <c r="H128" t="s">
        <v>1717</v>
      </c>
      <c r="I128" t="e">
        <v>#N/A</v>
      </c>
      <c r="J128" t="str">
        <f t="shared" si="1"/>
        <v>no</v>
      </c>
    </row>
    <row r="129" spans="1:10" ht="19">
      <c r="A129">
        <v>128</v>
      </c>
      <c r="B129" s="1" t="s">
        <v>70</v>
      </c>
      <c r="C129" s="2" t="s">
        <v>271</v>
      </c>
      <c r="D129" t="s">
        <v>84</v>
      </c>
      <c r="E129" t="s">
        <v>391</v>
      </c>
      <c r="F129" t="s">
        <v>1717</v>
      </c>
      <c r="G129" t="e">
        <v>#N/A</v>
      </c>
      <c r="H129" t="s">
        <v>1717</v>
      </c>
      <c r="I129" t="e">
        <v>#N/A</v>
      </c>
      <c r="J129" t="str">
        <f t="shared" si="1"/>
        <v>no</v>
      </c>
    </row>
    <row r="130" spans="1:10" ht="19">
      <c r="A130">
        <v>129</v>
      </c>
      <c r="B130" s="1" t="s">
        <v>71</v>
      </c>
      <c r="C130" s="2" t="s">
        <v>271</v>
      </c>
      <c r="D130" t="s">
        <v>84</v>
      </c>
      <c r="E130" t="s">
        <v>391</v>
      </c>
      <c r="F130" t="s">
        <v>1717</v>
      </c>
      <c r="G130" t="e">
        <v>#N/A</v>
      </c>
      <c r="H130" t="s">
        <v>1717</v>
      </c>
      <c r="I130" t="e">
        <v>#N/A</v>
      </c>
      <c r="J130" t="str">
        <f t="shared" si="1"/>
        <v>no</v>
      </c>
    </row>
    <row r="131" spans="1:10" ht="19">
      <c r="A131">
        <v>130</v>
      </c>
      <c r="B131" s="1" t="s">
        <v>72</v>
      </c>
      <c r="C131" s="2" t="s">
        <v>271</v>
      </c>
      <c r="D131" t="s">
        <v>84</v>
      </c>
      <c r="E131" t="s">
        <v>391</v>
      </c>
      <c r="F131" t="s">
        <v>1717</v>
      </c>
      <c r="G131" t="e">
        <v>#N/A</v>
      </c>
      <c r="H131" t="s">
        <v>1717</v>
      </c>
      <c r="I131" t="e">
        <v>#N/A</v>
      </c>
      <c r="J131" t="str">
        <f t="shared" ref="J131:J142" si="2">IF(COUNTIF(K:K, B131)&gt;0,$K$1,IF(COUNTIF(L:L, B131)&gt;0,$L$1,"no"))</f>
        <v>no</v>
      </c>
    </row>
    <row r="132" spans="1:10" ht="19">
      <c r="A132">
        <v>131</v>
      </c>
      <c r="B132" s="1" t="s">
        <v>73</v>
      </c>
      <c r="C132" s="2" t="s">
        <v>271</v>
      </c>
      <c r="D132" t="s">
        <v>84</v>
      </c>
      <c r="E132" t="s">
        <v>391</v>
      </c>
      <c r="F132" t="s">
        <v>1717</v>
      </c>
      <c r="G132" t="e">
        <v>#N/A</v>
      </c>
      <c r="H132" t="s">
        <v>1717</v>
      </c>
      <c r="I132" t="e">
        <v>#N/A</v>
      </c>
      <c r="J132" t="str">
        <f t="shared" si="2"/>
        <v>no</v>
      </c>
    </row>
    <row r="133" spans="1:10" ht="19">
      <c r="A133">
        <v>132</v>
      </c>
      <c r="B133" s="1" t="s">
        <v>74</v>
      </c>
      <c r="C133" s="2" t="s">
        <v>271</v>
      </c>
      <c r="D133" t="s">
        <v>84</v>
      </c>
      <c r="E133" t="s">
        <v>391</v>
      </c>
      <c r="F133" t="s">
        <v>1717</v>
      </c>
      <c r="G133" t="e">
        <v>#N/A</v>
      </c>
      <c r="H133" t="s">
        <v>1717</v>
      </c>
      <c r="I133" t="e">
        <v>#N/A</v>
      </c>
      <c r="J133" t="str">
        <f t="shared" si="2"/>
        <v>no</v>
      </c>
    </row>
    <row r="134" spans="1:10" ht="19">
      <c r="A134">
        <v>133</v>
      </c>
      <c r="B134" s="1" t="s">
        <v>75</v>
      </c>
      <c r="C134" s="2" t="s">
        <v>271</v>
      </c>
      <c r="D134" t="s">
        <v>84</v>
      </c>
      <c r="E134" t="s">
        <v>391</v>
      </c>
      <c r="F134" t="s">
        <v>1717</v>
      </c>
      <c r="G134" t="e">
        <v>#N/A</v>
      </c>
      <c r="H134" t="s">
        <v>1717</v>
      </c>
      <c r="I134" t="e">
        <v>#N/A</v>
      </c>
      <c r="J134" t="str">
        <f t="shared" si="2"/>
        <v>no</v>
      </c>
    </row>
    <row r="135" spans="1:10" ht="19">
      <c r="A135">
        <v>134</v>
      </c>
      <c r="B135" s="1" t="s">
        <v>76</v>
      </c>
      <c r="C135" s="2" t="s">
        <v>271</v>
      </c>
      <c r="D135" t="s">
        <v>84</v>
      </c>
      <c r="E135" t="s">
        <v>391</v>
      </c>
      <c r="F135" t="s">
        <v>1717</v>
      </c>
      <c r="G135" t="e">
        <v>#N/A</v>
      </c>
      <c r="H135" t="s">
        <v>1717</v>
      </c>
      <c r="I135" t="e">
        <v>#N/A</v>
      </c>
      <c r="J135" t="str">
        <f t="shared" si="2"/>
        <v>no</v>
      </c>
    </row>
    <row r="136" spans="1:10" ht="19">
      <c r="A136">
        <v>135</v>
      </c>
      <c r="B136" s="1" t="s">
        <v>77</v>
      </c>
      <c r="C136" s="2" t="s">
        <v>271</v>
      </c>
      <c r="D136" t="s">
        <v>84</v>
      </c>
      <c r="E136" t="s">
        <v>391</v>
      </c>
      <c r="F136" t="s">
        <v>1717</v>
      </c>
      <c r="G136" t="e">
        <v>#N/A</v>
      </c>
      <c r="H136" t="s">
        <v>1717</v>
      </c>
      <c r="I136" t="e">
        <v>#N/A</v>
      </c>
      <c r="J136" t="str">
        <f t="shared" si="2"/>
        <v>no</v>
      </c>
    </row>
    <row r="137" spans="1:10" ht="19">
      <c r="A137">
        <v>136</v>
      </c>
      <c r="B137" s="1" t="s">
        <v>78</v>
      </c>
      <c r="C137" s="2" t="s">
        <v>271</v>
      </c>
      <c r="D137" t="s">
        <v>84</v>
      </c>
      <c r="E137" t="s">
        <v>391</v>
      </c>
      <c r="F137" t="s">
        <v>1717</v>
      </c>
      <c r="G137" t="e">
        <v>#N/A</v>
      </c>
      <c r="H137" t="s">
        <v>1717</v>
      </c>
      <c r="I137" t="e">
        <v>#N/A</v>
      </c>
      <c r="J137" t="str">
        <f t="shared" si="2"/>
        <v>no</v>
      </c>
    </row>
    <row r="138" spans="1:10" ht="19">
      <c r="A138">
        <v>137</v>
      </c>
      <c r="B138" s="1" t="s">
        <v>79</v>
      </c>
      <c r="C138" s="2" t="s">
        <v>271</v>
      </c>
      <c r="D138" t="s">
        <v>84</v>
      </c>
      <c r="E138" t="s">
        <v>391</v>
      </c>
      <c r="F138" t="s">
        <v>1717</v>
      </c>
      <c r="G138" t="e">
        <v>#N/A</v>
      </c>
      <c r="H138" t="s">
        <v>1717</v>
      </c>
      <c r="I138" t="e">
        <v>#N/A</v>
      </c>
      <c r="J138" t="str">
        <f t="shared" si="2"/>
        <v>no</v>
      </c>
    </row>
    <row r="139" spans="1:10" ht="19">
      <c r="A139">
        <v>138</v>
      </c>
      <c r="B139" s="1" t="s">
        <v>80</v>
      </c>
      <c r="C139" s="2" t="s">
        <v>271</v>
      </c>
      <c r="D139" t="s">
        <v>84</v>
      </c>
      <c r="E139" t="s">
        <v>391</v>
      </c>
      <c r="F139" t="s">
        <v>1717</v>
      </c>
      <c r="G139" t="e">
        <v>#N/A</v>
      </c>
      <c r="H139" t="s">
        <v>1717</v>
      </c>
      <c r="I139" t="e">
        <v>#N/A</v>
      </c>
      <c r="J139" t="str">
        <f t="shared" si="2"/>
        <v>no</v>
      </c>
    </row>
    <row r="140" spans="1:10" ht="19">
      <c r="A140">
        <v>139</v>
      </c>
      <c r="B140" s="1" t="s">
        <v>81</v>
      </c>
      <c r="C140" s="2" t="s">
        <v>271</v>
      </c>
      <c r="D140" t="s">
        <v>84</v>
      </c>
      <c r="E140" t="s">
        <v>391</v>
      </c>
      <c r="F140" t="s">
        <v>1717</v>
      </c>
      <c r="G140" t="e">
        <v>#N/A</v>
      </c>
      <c r="H140" t="s">
        <v>1717</v>
      </c>
      <c r="I140" t="e">
        <v>#N/A</v>
      </c>
      <c r="J140" t="str">
        <f t="shared" si="2"/>
        <v>no</v>
      </c>
    </row>
    <row r="141" spans="1:10" ht="19">
      <c r="A141">
        <v>140</v>
      </c>
      <c r="B141" s="1" t="s">
        <v>82</v>
      </c>
      <c r="C141" s="2" t="s">
        <v>271</v>
      </c>
      <c r="D141" t="s">
        <v>84</v>
      </c>
      <c r="E141" t="s">
        <v>391</v>
      </c>
      <c r="F141" t="s">
        <v>1717</v>
      </c>
      <c r="G141" t="e">
        <v>#N/A</v>
      </c>
      <c r="H141" t="s">
        <v>1717</v>
      </c>
      <c r="I141" t="e">
        <v>#N/A</v>
      </c>
      <c r="J141" t="str">
        <f t="shared" si="2"/>
        <v>no</v>
      </c>
    </row>
    <row r="142" spans="1:10" ht="19">
      <c r="A142">
        <v>141</v>
      </c>
      <c r="B142" s="1" t="s">
        <v>83</v>
      </c>
      <c r="C142" s="2" t="s">
        <v>271</v>
      </c>
      <c r="D142" t="s">
        <v>84</v>
      </c>
      <c r="E142" t="s">
        <v>391</v>
      </c>
      <c r="F142" t="s">
        <v>1717</v>
      </c>
      <c r="G142" t="e">
        <v>#N/A</v>
      </c>
      <c r="H142" t="s">
        <v>1717</v>
      </c>
      <c r="I142" t="e">
        <v>#N/A</v>
      </c>
      <c r="J142" t="str">
        <f t="shared" si="2"/>
        <v>no</v>
      </c>
    </row>
    <row r="143" spans="1:10" ht="19">
      <c r="B143" s="1"/>
    </row>
    <row r="144" spans="1:10" ht="19">
      <c r="B144" s="1"/>
    </row>
  </sheetData>
  <autoFilter ref="A1:K142" xr:uid="{CDC925AE-7FF0-3244-95F6-37B0F343D4FE}"/>
  <phoneticPr fontId="1" type="noConversion"/>
  <conditionalFormatting sqref="E1:E1048576">
    <cfRule type="cellIs" dxfId="78" priority="3" operator="equal">
      <formula>"no"</formula>
    </cfRule>
    <cfRule type="cellIs" dxfId="77" priority="4" operator="equal">
      <formula>"yes"</formula>
    </cfRule>
  </conditionalFormatting>
  <conditionalFormatting sqref="F2:F142">
    <cfRule type="expression" dxfId="76" priority="2">
      <formula>F2&lt;&gt;E2</formula>
    </cfRule>
  </conditionalFormatting>
  <conditionalFormatting sqref="H2:H142">
    <cfRule type="expression" dxfId="75" priority="1" stopIfTrue="1">
      <formula>H2&lt;&gt;E2</formula>
    </cfRule>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14544-FA8B-DB4E-AB07-E6A01FC13B5B}">
  <sheetPr filterMode="1"/>
  <dimension ref="A1:L142"/>
  <sheetViews>
    <sheetView workbookViewId="0">
      <selection activeCell="I3" sqref="I3"/>
    </sheetView>
  </sheetViews>
  <sheetFormatPr baseColWidth="10" defaultRowHeight="15"/>
  <cols>
    <col min="2" max="2" width="12" style="5" customWidth="1"/>
    <col min="3" max="3" width="5.1640625" customWidth="1"/>
    <col min="5" max="5" width="11.33203125" customWidth="1"/>
    <col min="10" max="10" width="14.33203125" customWidth="1"/>
  </cols>
  <sheetData>
    <row r="1" spans="1:12">
      <c r="A1" t="s">
        <v>88</v>
      </c>
      <c r="B1" s="5" t="s">
        <v>0</v>
      </c>
      <c r="C1" s="2" t="s">
        <v>202</v>
      </c>
      <c r="D1" t="s">
        <v>6</v>
      </c>
      <c r="E1" t="s">
        <v>1</v>
      </c>
      <c r="F1" t="s">
        <v>2</v>
      </c>
      <c r="G1" t="s">
        <v>2</v>
      </c>
      <c r="H1" t="s">
        <v>1904</v>
      </c>
      <c r="I1" t="s">
        <v>1819</v>
      </c>
      <c r="J1" t="s">
        <v>1067</v>
      </c>
      <c r="K1" t="s">
        <v>1192</v>
      </c>
      <c r="L1" t="s">
        <v>1105</v>
      </c>
    </row>
    <row r="2" spans="1:12" ht="19">
      <c r="A2">
        <v>1</v>
      </c>
      <c r="B2" s="14" t="s">
        <v>299</v>
      </c>
      <c r="C2" t="s">
        <v>271</v>
      </c>
      <c r="E2" t="s">
        <v>390</v>
      </c>
      <c r="F2" t="s">
        <v>201</v>
      </c>
      <c r="G2" t="s">
        <v>1757</v>
      </c>
      <c r="H2" t="s">
        <v>201</v>
      </c>
      <c r="I2" t="s">
        <v>2020</v>
      </c>
      <c r="J2" t="str">
        <f>IF(COUNTIF(K:K, B2)&gt;0,$K$1,IF(COUNTIF(L:L, B2)&gt;0,$L$1,"no"))</f>
        <v>segmented videos list</v>
      </c>
      <c r="K2" s="1"/>
      <c r="L2" s="1" t="s">
        <v>327</v>
      </c>
    </row>
    <row r="3" spans="1:12" ht="19">
      <c r="A3">
        <v>2</v>
      </c>
      <c r="B3" s="14" t="s">
        <v>300</v>
      </c>
      <c r="C3" t="s">
        <v>271</v>
      </c>
      <c r="E3" t="s">
        <v>390</v>
      </c>
      <c r="F3" t="s">
        <v>192</v>
      </c>
      <c r="G3" t="s">
        <v>1724</v>
      </c>
      <c r="H3" t="s">
        <v>201</v>
      </c>
      <c r="I3" t="s">
        <v>1987</v>
      </c>
      <c r="J3" t="str">
        <f t="shared" ref="J3:J66" si="0">IF(COUNTIF(K:K, B3)&gt;0,$K$1,IF(COUNTIF(L:L, B3)&gt;0,$L$1,"no"))</f>
        <v>segmented videos list</v>
      </c>
      <c r="K3" s="1"/>
      <c r="L3" s="1" t="s">
        <v>348</v>
      </c>
    </row>
    <row r="4" spans="1:12" ht="19" hidden="1">
      <c r="A4">
        <v>3</v>
      </c>
      <c r="B4" s="14" t="s">
        <v>301</v>
      </c>
      <c r="C4" t="s">
        <v>295</v>
      </c>
      <c r="E4" t="s">
        <v>391</v>
      </c>
      <c r="F4" t="s">
        <v>201</v>
      </c>
      <c r="G4" t="s">
        <v>1745</v>
      </c>
      <c r="H4" t="s">
        <v>201</v>
      </c>
      <c r="I4" t="s">
        <v>2008</v>
      </c>
      <c r="J4" t="str">
        <f t="shared" si="0"/>
        <v>segmented videos list</v>
      </c>
      <c r="K4" s="1"/>
      <c r="L4" s="1" t="s">
        <v>311</v>
      </c>
    </row>
    <row r="5" spans="1:12" ht="19">
      <c r="A5">
        <v>4</v>
      </c>
      <c r="B5" s="14" t="s">
        <v>302</v>
      </c>
      <c r="C5" t="s">
        <v>271</v>
      </c>
      <c r="E5" t="s">
        <v>390</v>
      </c>
      <c r="F5" t="s">
        <v>201</v>
      </c>
      <c r="G5" t="s">
        <v>1740</v>
      </c>
      <c r="H5" t="s">
        <v>201</v>
      </c>
      <c r="I5" t="s">
        <v>2003</v>
      </c>
      <c r="J5" t="str">
        <f t="shared" si="0"/>
        <v>segmented videos list</v>
      </c>
      <c r="K5" s="1"/>
      <c r="L5" s="1" t="s">
        <v>328</v>
      </c>
    </row>
    <row r="6" spans="1:12" ht="19" hidden="1">
      <c r="A6">
        <v>5</v>
      </c>
      <c r="B6" s="14" t="s">
        <v>303</v>
      </c>
      <c r="C6" t="s">
        <v>271</v>
      </c>
      <c r="E6" t="s">
        <v>390</v>
      </c>
      <c r="F6" t="s">
        <v>1717</v>
      </c>
      <c r="G6" t="e">
        <v>#N/A</v>
      </c>
      <c r="H6" t="s">
        <v>1717</v>
      </c>
      <c r="I6" t="e">
        <v>#N/A</v>
      </c>
      <c r="J6" t="str">
        <f t="shared" si="0"/>
        <v>no</v>
      </c>
      <c r="K6" s="1"/>
      <c r="L6" s="1" t="s">
        <v>349</v>
      </c>
    </row>
    <row r="7" spans="1:12" ht="19">
      <c r="A7">
        <v>6</v>
      </c>
      <c r="B7" s="14" t="s">
        <v>304</v>
      </c>
      <c r="C7" t="s">
        <v>268</v>
      </c>
      <c r="E7" t="s">
        <v>390</v>
      </c>
      <c r="F7" t="s">
        <v>192</v>
      </c>
      <c r="G7" t="s">
        <v>1756</v>
      </c>
      <c r="H7" t="s">
        <v>192</v>
      </c>
      <c r="I7" t="s">
        <v>2019</v>
      </c>
      <c r="J7" t="str">
        <f t="shared" si="0"/>
        <v>segmented videos list</v>
      </c>
      <c r="K7" s="1"/>
      <c r="L7" s="1" t="s">
        <v>312</v>
      </c>
    </row>
    <row r="8" spans="1:12" ht="19">
      <c r="A8">
        <v>7</v>
      </c>
      <c r="B8" s="14" t="s">
        <v>305</v>
      </c>
      <c r="C8" t="s">
        <v>269</v>
      </c>
      <c r="E8" t="s">
        <v>390</v>
      </c>
      <c r="F8" t="s">
        <v>201</v>
      </c>
      <c r="G8" t="s">
        <v>1753</v>
      </c>
      <c r="H8" t="s">
        <v>201</v>
      </c>
      <c r="I8" t="s">
        <v>2016</v>
      </c>
      <c r="J8" t="str">
        <f t="shared" si="0"/>
        <v>segmented videos list</v>
      </c>
      <c r="K8" s="1"/>
      <c r="L8" s="1" t="s">
        <v>329</v>
      </c>
    </row>
    <row r="9" spans="1:12" ht="19" hidden="1">
      <c r="A9">
        <v>8</v>
      </c>
      <c r="B9" s="14" t="s">
        <v>306</v>
      </c>
      <c r="C9" t="s">
        <v>295</v>
      </c>
      <c r="E9" t="s">
        <v>391</v>
      </c>
      <c r="F9" t="s">
        <v>1717</v>
      </c>
      <c r="G9" t="e">
        <v>#N/A</v>
      </c>
      <c r="H9" t="s">
        <v>1717</v>
      </c>
      <c r="I9" t="e">
        <v>#N/A</v>
      </c>
      <c r="J9" t="str">
        <f t="shared" si="0"/>
        <v>no</v>
      </c>
      <c r="K9" s="1"/>
      <c r="L9" s="1" t="s">
        <v>350</v>
      </c>
    </row>
    <row r="10" spans="1:12" ht="19" hidden="1">
      <c r="A10">
        <v>9</v>
      </c>
      <c r="B10" s="14" t="s">
        <v>307</v>
      </c>
      <c r="C10" t="s">
        <v>295</v>
      </c>
      <c r="E10" t="s">
        <v>391</v>
      </c>
      <c r="F10" t="s">
        <v>1717</v>
      </c>
      <c r="G10" t="e">
        <v>#N/A</v>
      </c>
      <c r="H10" t="s">
        <v>1717</v>
      </c>
      <c r="I10" t="e">
        <v>#N/A</v>
      </c>
      <c r="J10" t="str">
        <f t="shared" si="0"/>
        <v>no</v>
      </c>
      <c r="K10" s="1"/>
      <c r="L10" s="1" t="s">
        <v>313</v>
      </c>
    </row>
    <row r="11" spans="1:12" ht="19" hidden="1">
      <c r="A11">
        <v>10</v>
      </c>
      <c r="B11" s="14" t="s">
        <v>308</v>
      </c>
      <c r="C11" t="s">
        <v>295</v>
      </c>
      <c r="E11" t="s">
        <v>391</v>
      </c>
      <c r="F11" t="s">
        <v>192</v>
      </c>
      <c r="G11" t="s">
        <v>1746</v>
      </c>
      <c r="H11" t="s">
        <v>192</v>
      </c>
      <c r="I11" t="s">
        <v>2009</v>
      </c>
      <c r="J11" t="str">
        <f t="shared" si="0"/>
        <v>segmented videos list</v>
      </c>
      <c r="K11" s="1"/>
      <c r="L11" s="1" t="s">
        <v>330</v>
      </c>
    </row>
    <row r="12" spans="1:12" ht="19" hidden="1">
      <c r="A12">
        <v>11</v>
      </c>
      <c r="B12" s="14" t="s">
        <v>309</v>
      </c>
      <c r="C12" t="s">
        <v>354</v>
      </c>
      <c r="E12" t="s">
        <v>391</v>
      </c>
      <c r="F12" t="s">
        <v>192</v>
      </c>
      <c r="G12" t="s">
        <v>1721</v>
      </c>
      <c r="H12" t="s">
        <v>192</v>
      </c>
      <c r="I12" t="s">
        <v>1984</v>
      </c>
      <c r="J12" t="str">
        <f t="shared" si="0"/>
        <v>segmented videos list</v>
      </c>
      <c r="K12" s="1"/>
      <c r="L12" s="1" t="s">
        <v>351</v>
      </c>
    </row>
    <row r="13" spans="1:12" ht="19" hidden="1">
      <c r="A13">
        <v>12</v>
      </c>
      <c r="B13" s="14" t="s">
        <v>310</v>
      </c>
      <c r="C13" t="s">
        <v>295</v>
      </c>
      <c r="E13" t="s">
        <v>391</v>
      </c>
      <c r="F13" t="s">
        <v>201</v>
      </c>
      <c r="G13" t="s">
        <v>1733</v>
      </c>
      <c r="H13" t="s">
        <v>192</v>
      </c>
      <c r="I13" t="s">
        <v>1996</v>
      </c>
      <c r="J13" t="str">
        <f t="shared" si="0"/>
        <v>segmented videos list</v>
      </c>
      <c r="K13" s="1"/>
      <c r="L13" s="1" t="s">
        <v>314</v>
      </c>
    </row>
    <row r="14" spans="1:12" ht="19" hidden="1">
      <c r="A14">
        <v>13</v>
      </c>
      <c r="B14" s="14" t="s">
        <v>311</v>
      </c>
      <c r="C14" t="s">
        <v>355</v>
      </c>
      <c r="E14" t="s">
        <v>391</v>
      </c>
      <c r="F14" t="s">
        <v>192</v>
      </c>
      <c r="G14" t="s">
        <v>1747</v>
      </c>
      <c r="H14" t="s">
        <v>201</v>
      </c>
      <c r="I14" t="s">
        <v>2010</v>
      </c>
      <c r="J14" t="str">
        <f t="shared" si="0"/>
        <v>segmented videos list</v>
      </c>
      <c r="K14" s="1"/>
      <c r="L14" s="1" t="s">
        <v>331</v>
      </c>
    </row>
    <row r="15" spans="1:12" ht="19">
      <c r="A15">
        <v>14</v>
      </c>
      <c r="B15" s="14" t="s">
        <v>312</v>
      </c>
      <c r="C15" t="s">
        <v>271</v>
      </c>
      <c r="E15" t="s">
        <v>390</v>
      </c>
      <c r="F15" t="s">
        <v>192</v>
      </c>
      <c r="G15" t="s">
        <v>1754</v>
      </c>
      <c r="H15" t="s">
        <v>201</v>
      </c>
      <c r="I15" t="s">
        <v>2017</v>
      </c>
      <c r="J15" t="str">
        <f t="shared" si="0"/>
        <v>segmented videos list</v>
      </c>
      <c r="K15" s="1"/>
      <c r="L15" s="1" t="s">
        <v>352</v>
      </c>
    </row>
    <row r="16" spans="1:12" ht="19" hidden="1">
      <c r="A16">
        <v>15</v>
      </c>
      <c r="B16" s="14" t="s">
        <v>313</v>
      </c>
      <c r="C16" t="s">
        <v>355</v>
      </c>
      <c r="E16" t="s">
        <v>391</v>
      </c>
      <c r="F16" t="s">
        <v>192</v>
      </c>
      <c r="G16" t="s">
        <v>1723</v>
      </c>
      <c r="H16" t="s">
        <v>192</v>
      </c>
      <c r="I16" t="s">
        <v>1986</v>
      </c>
      <c r="J16" t="str">
        <f t="shared" si="0"/>
        <v>segmented videos list</v>
      </c>
      <c r="K16" s="1"/>
      <c r="L16" s="1" t="s">
        <v>318</v>
      </c>
    </row>
    <row r="17" spans="1:12" ht="19">
      <c r="A17">
        <v>16</v>
      </c>
      <c r="B17" s="14" t="s">
        <v>314</v>
      </c>
      <c r="C17" t="s">
        <v>270</v>
      </c>
      <c r="E17" t="s">
        <v>390</v>
      </c>
      <c r="F17" t="s">
        <v>192</v>
      </c>
      <c r="G17" t="s">
        <v>1739</v>
      </c>
      <c r="H17" t="s">
        <v>192</v>
      </c>
      <c r="I17" t="s">
        <v>2002</v>
      </c>
      <c r="J17" t="str">
        <f t="shared" si="0"/>
        <v>segmented videos list</v>
      </c>
      <c r="K17" s="1"/>
      <c r="L17" s="1" t="s">
        <v>332</v>
      </c>
    </row>
    <row r="18" spans="1:12" ht="19" hidden="1">
      <c r="A18">
        <v>17</v>
      </c>
      <c r="B18" s="14" t="s">
        <v>315</v>
      </c>
      <c r="C18" t="s">
        <v>271</v>
      </c>
      <c r="E18" t="s">
        <v>390</v>
      </c>
      <c r="F18" t="s">
        <v>1717</v>
      </c>
      <c r="G18" t="e">
        <v>#N/A</v>
      </c>
      <c r="H18" t="s">
        <v>1717</v>
      </c>
      <c r="I18" t="e">
        <v>#N/A</v>
      </c>
      <c r="J18" t="str">
        <f t="shared" si="0"/>
        <v>no</v>
      </c>
      <c r="K18" s="1"/>
      <c r="L18" s="1" t="s">
        <v>299</v>
      </c>
    </row>
    <row r="19" spans="1:12" ht="19" hidden="1">
      <c r="A19">
        <v>18</v>
      </c>
      <c r="B19" s="14" t="s">
        <v>316</v>
      </c>
      <c r="C19" t="s">
        <v>271</v>
      </c>
      <c r="E19" t="s">
        <v>390</v>
      </c>
      <c r="F19" t="s">
        <v>1717</v>
      </c>
      <c r="G19" t="e">
        <v>#N/A</v>
      </c>
      <c r="H19" t="s">
        <v>1717</v>
      </c>
      <c r="I19" t="e">
        <v>#N/A</v>
      </c>
      <c r="J19" t="str">
        <f t="shared" si="0"/>
        <v>no</v>
      </c>
      <c r="K19" s="1"/>
      <c r="L19" s="1" t="s">
        <v>319</v>
      </c>
    </row>
    <row r="20" spans="1:12" ht="19" hidden="1">
      <c r="A20">
        <v>19</v>
      </c>
      <c r="B20" s="14" t="s">
        <v>317</v>
      </c>
      <c r="C20" t="s">
        <v>271</v>
      </c>
      <c r="E20" t="s">
        <v>390</v>
      </c>
      <c r="F20" t="s">
        <v>1717</v>
      </c>
      <c r="G20" t="e">
        <v>#N/A</v>
      </c>
      <c r="H20" t="s">
        <v>1717</v>
      </c>
      <c r="I20" t="e">
        <v>#N/A</v>
      </c>
      <c r="J20" t="str">
        <f t="shared" si="0"/>
        <v>no</v>
      </c>
      <c r="K20" s="1"/>
      <c r="L20" s="1" t="s">
        <v>333</v>
      </c>
    </row>
    <row r="21" spans="1:12" ht="19" hidden="1">
      <c r="A21">
        <v>20</v>
      </c>
      <c r="B21" s="14" t="s">
        <v>318</v>
      </c>
      <c r="C21" t="s">
        <v>295</v>
      </c>
      <c r="E21" t="s">
        <v>391</v>
      </c>
      <c r="F21" t="s">
        <v>192</v>
      </c>
      <c r="G21" t="s">
        <v>1730</v>
      </c>
      <c r="H21" t="s">
        <v>192</v>
      </c>
      <c r="I21" t="s">
        <v>1993</v>
      </c>
      <c r="J21" t="str">
        <f t="shared" si="0"/>
        <v>segmented videos list</v>
      </c>
      <c r="K21" s="1"/>
      <c r="L21" s="1" t="s">
        <v>300</v>
      </c>
    </row>
    <row r="22" spans="1:12" ht="19" hidden="1">
      <c r="A22">
        <v>21</v>
      </c>
      <c r="B22" s="14" t="s">
        <v>319</v>
      </c>
      <c r="C22" t="s">
        <v>295</v>
      </c>
      <c r="E22" t="s">
        <v>391</v>
      </c>
      <c r="F22" t="s">
        <v>192</v>
      </c>
      <c r="G22" t="s">
        <v>1735</v>
      </c>
      <c r="H22" t="s">
        <v>192</v>
      </c>
      <c r="I22" t="s">
        <v>1998</v>
      </c>
      <c r="J22" t="str">
        <f t="shared" si="0"/>
        <v>segmented videos list</v>
      </c>
      <c r="K22" s="1"/>
      <c r="L22" s="1" t="s">
        <v>320</v>
      </c>
    </row>
    <row r="23" spans="1:12" ht="19" hidden="1">
      <c r="A23">
        <v>22</v>
      </c>
      <c r="B23" s="14" t="s">
        <v>320</v>
      </c>
      <c r="C23" t="s">
        <v>295</v>
      </c>
      <c r="E23" t="s">
        <v>391</v>
      </c>
      <c r="F23" t="s">
        <v>201</v>
      </c>
      <c r="G23" t="s">
        <v>1748</v>
      </c>
      <c r="H23" t="s">
        <v>192</v>
      </c>
      <c r="I23" t="s">
        <v>2011</v>
      </c>
      <c r="J23" t="str">
        <f t="shared" si="0"/>
        <v>segmented videos list</v>
      </c>
      <c r="K23" s="1"/>
      <c r="L23" s="1" t="s">
        <v>338</v>
      </c>
    </row>
    <row r="24" spans="1:12" ht="19" hidden="1">
      <c r="A24">
        <v>23</v>
      </c>
      <c r="B24" s="14" t="s">
        <v>321</v>
      </c>
      <c r="C24" t="s">
        <v>296</v>
      </c>
      <c r="E24" t="s">
        <v>391</v>
      </c>
      <c r="F24" t="s">
        <v>192</v>
      </c>
      <c r="G24" t="s">
        <v>1758</v>
      </c>
      <c r="H24" t="s">
        <v>192</v>
      </c>
      <c r="I24" t="s">
        <v>2021</v>
      </c>
      <c r="J24" t="str">
        <f t="shared" si="0"/>
        <v>segmented videos list</v>
      </c>
      <c r="K24" s="1"/>
      <c r="L24" s="1" t="s">
        <v>301</v>
      </c>
    </row>
    <row r="25" spans="1:12" ht="19" hidden="1">
      <c r="A25">
        <v>24</v>
      </c>
      <c r="B25" s="14" t="s">
        <v>322</v>
      </c>
      <c r="C25" t="s">
        <v>296</v>
      </c>
      <c r="E25" t="s">
        <v>391</v>
      </c>
      <c r="F25" t="s">
        <v>192</v>
      </c>
      <c r="G25" t="s">
        <v>1749</v>
      </c>
      <c r="H25" t="s">
        <v>192</v>
      </c>
      <c r="I25" t="s">
        <v>2012</v>
      </c>
      <c r="J25" t="str">
        <f t="shared" si="0"/>
        <v>segmented videos list</v>
      </c>
      <c r="K25" s="1"/>
      <c r="L25" s="1" t="s">
        <v>321</v>
      </c>
    </row>
    <row r="26" spans="1:12" ht="19" hidden="1">
      <c r="A26">
        <v>25</v>
      </c>
      <c r="B26" s="14" t="s">
        <v>323</v>
      </c>
      <c r="C26" t="s">
        <v>296</v>
      </c>
      <c r="E26" t="s">
        <v>391</v>
      </c>
      <c r="F26" t="s">
        <v>201</v>
      </c>
      <c r="G26" t="s">
        <v>1727</v>
      </c>
      <c r="H26" t="s">
        <v>192</v>
      </c>
      <c r="I26" t="s">
        <v>1990</v>
      </c>
      <c r="J26" t="str">
        <f t="shared" si="0"/>
        <v>segmented videos list</v>
      </c>
      <c r="K26" s="1"/>
      <c r="L26" s="1" t="s">
        <v>339</v>
      </c>
    </row>
    <row r="27" spans="1:12" ht="19" hidden="1">
      <c r="A27">
        <v>26</v>
      </c>
      <c r="B27" s="14" t="s">
        <v>324</v>
      </c>
      <c r="C27" t="s">
        <v>296</v>
      </c>
      <c r="E27" t="s">
        <v>391</v>
      </c>
      <c r="F27" t="s">
        <v>192</v>
      </c>
      <c r="G27" t="s">
        <v>1734</v>
      </c>
      <c r="H27" t="s">
        <v>192</v>
      </c>
      <c r="I27" t="s">
        <v>1997</v>
      </c>
      <c r="J27" t="str">
        <f t="shared" si="0"/>
        <v>segmented videos list</v>
      </c>
      <c r="K27" s="1"/>
      <c r="L27" s="1" t="s">
        <v>302</v>
      </c>
    </row>
    <row r="28" spans="1:12" ht="19" hidden="1">
      <c r="A28">
        <v>27</v>
      </c>
      <c r="B28" s="14" t="s">
        <v>325</v>
      </c>
      <c r="C28" t="s">
        <v>296</v>
      </c>
      <c r="E28" t="s">
        <v>391</v>
      </c>
      <c r="F28" t="s">
        <v>192</v>
      </c>
      <c r="G28" t="s">
        <v>1750</v>
      </c>
      <c r="H28" t="s">
        <v>192</v>
      </c>
      <c r="I28" t="s">
        <v>2013</v>
      </c>
      <c r="J28" t="str">
        <f t="shared" si="0"/>
        <v>segmented videos list</v>
      </c>
      <c r="K28" s="1"/>
      <c r="L28" s="1" t="s">
        <v>322</v>
      </c>
    </row>
    <row r="29" spans="1:12" ht="19" hidden="1">
      <c r="A29">
        <v>28</v>
      </c>
      <c r="B29" s="14" t="s">
        <v>326</v>
      </c>
      <c r="C29" t="s">
        <v>296</v>
      </c>
      <c r="E29" t="s">
        <v>391</v>
      </c>
      <c r="F29" t="s">
        <v>201</v>
      </c>
      <c r="G29" t="s">
        <v>1743</v>
      </c>
      <c r="H29" t="s">
        <v>192</v>
      </c>
      <c r="I29" t="s">
        <v>2006</v>
      </c>
      <c r="J29" t="str">
        <f t="shared" si="0"/>
        <v>segmented videos list</v>
      </c>
      <c r="K29" s="1"/>
      <c r="L29" s="1" t="s">
        <v>340</v>
      </c>
    </row>
    <row r="30" spans="1:12" ht="19">
      <c r="A30">
        <v>29</v>
      </c>
      <c r="B30" s="14" t="s">
        <v>327</v>
      </c>
      <c r="C30" t="s">
        <v>271</v>
      </c>
      <c r="E30" t="s">
        <v>390</v>
      </c>
      <c r="F30" t="s">
        <v>192</v>
      </c>
      <c r="G30" t="s">
        <v>1728</v>
      </c>
      <c r="H30" t="s">
        <v>192</v>
      </c>
      <c r="I30" t="s">
        <v>1991</v>
      </c>
      <c r="J30" t="str">
        <f t="shared" si="0"/>
        <v>segmented videos list</v>
      </c>
      <c r="K30" s="1"/>
      <c r="L30" s="1" t="s">
        <v>304</v>
      </c>
    </row>
    <row r="31" spans="1:12" ht="19">
      <c r="A31">
        <v>30</v>
      </c>
      <c r="B31" s="14" t="s">
        <v>328</v>
      </c>
      <c r="C31" t="s">
        <v>270</v>
      </c>
      <c r="E31" t="s">
        <v>390</v>
      </c>
      <c r="F31" t="s">
        <v>192</v>
      </c>
      <c r="G31" t="s">
        <v>1744</v>
      </c>
      <c r="H31" t="s">
        <v>192</v>
      </c>
      <c r="I31" t="s">
        <v>2007</v>
      </c>
      <c r="J31" t="str">
        <f t="shared" si="0"/>
        <v>segmented videos list</v>
      </c>
      <c r="K31" s="1"/>
      <c r="L31" s="1" t="s">
        <v>323</v>
      </c>
    </row>
    <row r="32" spans="1:12" ht="19">
      <c r="A32">
        <v>31</v>
      </c>
      <c r="B32" s="14" t="s">
        <v>329</v>
      </c>
      <c r="C32" t="s">
        <v>269</v>
      </c>
      <c r="E32" t="s">
        <v>390</v>
      </c>
      <c r="F32" t="s">
        <v>192</v>
      </c>
      <c r="G32" t="s">
        <v>1751</v>
      </c>
      <c r="H32" t="s">
        <v>201</v>
      </c>
      <c r="I32" t="s">
        <v>2014</v>
      </c>
      <c r="J32" t="str">
        <f t="shared" si="0"/>
        <v>segmented videos list</v>
      </c>
      <c r="K32" s="1"/>
      <c r="L32" s="1" t="s">
        <v>341</v>
      </c>
    </row>
    <row r="33" spans="1:12" ht="19">
      <c r="A33">
        <v>32</v>
      </c>
      <c r="B33" s="14" t="s">
        <v>330</v>
      </c>
      <c r="C33" t="s">
        <v>269</v>
      </c>
      <c r="E33" t="s">
        <v>390</v>
      </c>
      <c r="F33" t="s">
        <v>201</v>
      </c>
      <c r="G33" t="s">
        <v>1725</v>
      </c>
      <c r="H33" t="s">
        <v>192</v>
      </c>
      <c r="I33" t="s">
        <v>1988</v>
      </c>
      <c r="J33" t="str">
        <f t="shared" si="0"/>
        <v>segmented videos list</v>
      </c>
      <c r="K33" s="1"/>
      <c r="L33" s="1" t="s">
        <v>305</v>
      </c>
    </row>
    <row r="34" spans="1:12" ht="19">
      <c r="A34">
        <v>33</v>
      </c>
      <c r="B34" s="14" t="s">
        <v>331</v>
      </c>
      <c r="C34" t="s">
        <v>271</v>
      </c>
      <c r="E34" t="s">
        <v>390</v>
      </c>
      <c r="F34" t="s">
        <v>201</v>
      </c>
      <c r="G34" t="s">
        <v>1741</v>
      </c>
      <c r="H34" t="s">
        <v>201</v>
      </c>
      <c r="I34" t="s">
        <v>2004</v>
      </c>
      <c r="J34" t="str">
        <f t="shared" si="0"/>
        <v>segmented videos list</v>
      </c>
      <c r="K34" s="1"/>
      <c r="L34" s="1" t="s">
        <v>324</v>
      </c>
    </row>
    <row r="35" spans="1:12" ht="19" hidden="1">
      <c r="A35">
        <v>34</v>
      </c>
      <c r="B35" s="14" t="s">
        <v>332</v>
      </c>
      <c r="C35" t="s">
        <v>295</v>
      </c>
      <c r="E35" t="s">
        <v>391</v>
      </c>
      <c r="F35" t="s">
        <v>201</v>
      </c>
      <c r="G35" t="s">
        <v>1731</v>
      </c>
      <c r="H35" t="s">
        <v>192</v>
      </c>
      <c r="I35" t="s">
        <v>1994</v>
      </c>
      <c r="J35" t="str">
        <f t="shared" si="0"/>
        <v>segmented videos list</v>
      </c>
      <c r="K35" s="1"/>
      <c r="L35" s="1" t="s">
        <v>342</v>
      </c>
    </row>
    <row r="36" spans="1:12" ht="19">
      <c r="A36">
        <v>35</v>
      </c>
      <c r="B36" s="14" t="s">
        <v>333</v>
      </c>
      <c r="C36" t="s">
        <v>269</v>
      </c>
      <c r="E36" t="s">
        <v>390</v>
      </c>
      <c r="F36" t="s">
        <v>192</v>
      </c>
      <c r="G36" t="s">
        <v>1722</v>
      </c>
      <c r="H36" t="s">
        <v>192</v>
      </c>
      <c r="I36" t="s">
        <v>1985</v>
      </c>
      <c r="J36" t="str">
        <f t="shared" si="0"/>
        <v>segmented videos list</v>
      </c>
      <c r="K36" s="1"/>
      <c r="L36" s="1" t="s">
        <v>308</v>
      </c>
    </row>
    <row r="37" spans="1:12" ht="19" hidden="1">
      <c r="A37">
        <v>36</v>
      </c>
      <c r="B37" s="14" t="s">
        <v>334</v>
      </c>
      <c r="C37" t="s">
        <v>296</v>
      </c>
      <c r="E37" t="s">
        <v>391</v>
      </c>
      <c r="F37" t="s">
        <v>1717</v>
      </c>
      <c r="G37" t="e">
        <v>#N/A</v>
      </c>
      <c r="H37" t="s">
        <v>1717</v>
      </c>
      <c r="I37" t="e">
        <v>#N/A</v>
      </c>
      <c r="J37" t="str">
        <f t="shared" si="0"/>
        <v>no</v>
      </c>
      <c r="K37" s="1"/>
      <c r="L37" s="1" t="s">
        <v>325</v>
      </c>
    </row>
    <row r="38" spans="1:12" ht="19" hidden="1">
      <c r="A38">
        <v>37</v>
      </c>
      <c r="B38" s="14" t="s">
        <v>335</v>
      </c>
      <c r="C38" t="s">
        <v>355</v>
      </c>
      <c r="E38" t="s">
        <v>391</v>
      </c>
      <c r="F38" t="s">
        <v>1717</v>
      </c>
      <c r="G38" t="e">
        <v>#N/A</v>
      </c>
      <c r="H38" t="s">
        <v>1717</v>
      </c>
      <c r="I38" t="e">
        <v>#N/A</v>
      </c>
      <c r="J38" t="str">
        <f t="shared" si="0"/>
        <v>no</v>
      </c>
      <c r="K38" s="1"/>
      <c r="L38" s="1" t="s">
        <v>343</v>
      </c>
    </row>
    <row r="39" spans="1:12" ht="19" hidden="1">
      <c r="A39">
        <v>38</v>
      </c>
      <c r="B39" s="14" t="s">
        <v>336</v>
      </c>
      <c r="C39" t="s">
        <v>268</v>
      </c>
      <c r="E39" t="s">
        <v>390</v>
      </c>
      <c r="F39" t="s">
        <v>1717</v>
      </c>
      <c r="G39" t="e">
        <v>#N/A</v>
      </c>
      <c r="H39" t="s">
        <v>1717</v>
      </c>
      <c r="I39" t="e">
        <v>#N/A</v>
      </c>
      <c r="J39" t="str">
        <f t="shared" si="0"/>
        <v>no</v>
      </c>
      <c r="K39" s="1"/>
      <c r="L39" s="1" t="s">
        <v>309</v>
      </c>
    </row>
    <row r="40" spans="1:12" ht="19" hidden="1">
      <c r="A40">
        <v>39</v>
      </c>
      <c r="B40" s="14" t="s">
        <v>337</v>
      </c>
      <c r="C40" t="s">
        <v>296</v>
      </c>
      <c r="E40" t="s">
        <v>391</v>
      </c>
      <c r="F40" t="s">
        <v>1717</v>
      </c>
      <c r="G40" t="e">
        <v>#N/A</v>
      </c>
      <c r="H40" t="s">
        <v>1717</v>
      </c>
      <c r="I40" t="e">
        <v>#N/A</v>
      </c>
      <c r="J40" t="str">
        <f t="shared" si="0"/>
        <v>no</v>
      </c>
      <c r="K40" s="1"/>
      <c r="L40" s="1" t="s">
        <v>326</v>
      </c>
    </row>
    <row r="41" spans="1:12" ht="19" hidden="1">
      <c r="A41">
        <v>40</v>
      </c>
      <c r="B41" s="14" t="s">
        <v>338</v>
      </c>
      <c r="C41" t="s">
        <v>296</v>
      </c>
      <c r="E41" t="s">
        <v>391</v>
      </c>
      <c r="F41" t="s">
        <v>192</v>
      </c>
      <c r="G41" t="s">
        <v>1719</v>
      </c>
      <c r="H41" t="s">
        <v>192</v>
      </c>
      <c r="I41" t="s">
        <v>1982</v>
      </c>
      <c r="J41" t="str">
        <f t="shared" si="0"/>
        <v>segmented videos list</v>
      </c>
      <c r="K41" s="1"/>
      <c r="L41" s="1" t="s">
        <v>347</v>
      </c>
    </row>
    <row r="42" spans="1:12" ht="19">
      <c r="A42">
        <v>41</v>
      </c>
      <c r="B42" s="14" t="s">
        <v>339</v>
      </c>
      <c r="C42" t="s">
        <v>271</v>
      </c>
      <c r="E42" t="s">
        <v>390</v>
      </c>
      <c r="F42" t="s">
        <v>201</v>
      </c>
      <c r="G42" t="s">
        <v>1737</v>
      </c>
      <c r="H42" t="s">
        <v>201</v>
      </c>
      <c r="I42" t="s">
        <v>2000</v>
      </c>
      <c r="J42" t="str">
        <f t="shared" si="0"/>
        <v>segmented videos list</v>
      </c>
      <c r="K42" s="1"/>
      <c r="L42" s="1" t="s">
        <v>310</v>
      </c>
    </row>
    <row r="43" spans="1:12" ht="19" hidden="1">
      <c r="A43">
        <v>42</v>
      </c>
      <c r="B43" s="14" t="s">
        <v>340</v>
      </c>
      <c r="C43" t="s">
        <v>296</v>
      </c>
      <c r="E43" t="s">
        <v>391</v>
      </c>
      <c r="F43" t="s">
        <v>201</v>
      </c>
      <c r="G43" t="s">
        <v>1720</v>
      </c>
      <c r="H43" t="s">
        <v>192</v>
      </c>
      <c r="I43" t="s">
        <v>1983</v>
      </c>
      <c r="J43" t="str">
        <f t="shared" si="0"/>
        <v>segmented videos list</v>
      </c>
      <c r="K43" s="1"/>
      <c r="L43" s="1"/>
    </row>
    <row r="44" spans="1:12" ht="19" hidden="1">
      <c r="A44">
        <v>43</v>
      </c>
      <c r="B44" s="14" t="s">
        <v>341</v>
      </c>
      <c r="C44" t="s">
        <v>295</v>
      </c>
      <c r="E44" t="s">
        <v>391</v>
      </c>
      <c r="F44" t="s">
        <v>201</v>
      </c>
      <c r="G44" t="s">
        <v>1752</v>
      </c>
      <c r="H44" t="s">
        <v>192</v>
      </c>
      <c r="I44" t="s">
        <v>2015</v>
      </c>
      <c r="J44" t="str">
        <f t="shared" si="0"/>
        <v>segmented videos list</v>
      </c>
      <c r="K44" s="1"/>
      <c r="L44" s="1"/>
    </row>
    <row r="45" spans="1:12" ht="19">
      <c r="A45">
        <v>44</v>
      </c>
      <c r="B45" s="14" t="s">
        <v>342</v>
      </c>
      <c r="C45" t="s">
        <v>269</v>
      </c>
      <c r="E45" t="s">
        <v>390</v>
      </c>
      <c r="F45" t="s">
        <v>192</v>
      </c>
      <c r="G45" t="s">
        <v>1732</v>
      </c>
      <c r="H45" t="s">
        <v>192</v>
      </c>
      <c r="I45" t="s">
        <v>1995</v>
      </c>
      <c r="J45" t="str">
        <f t="shared" si="0"/>
        <v>segmented videos list</v>
      </c>
      <c r="K45" s="1"/>
      <c r="L45" s="1"/>
    </row>
    <row r="46" spans="1:12" ht="19" hidden="1">
      <c r="A46">
        <v>45</v>
      </c>
      <c r="B46" s="14" t="s">
        <v>343</v>
      </c>
      <c r="C46" t="s">
        <v>296</v>
      </c>
      <c r="E46" t="s">
        <v>391</v>
      </c>
      <c r="F46" t="s">
        <v>192</v>
      </c>
      <c r="G46" t="s">
        <v>1738</v>
      </c>
      <c r="H46" t="s">
        <v>192</v>
      </c>
      <c r="I46" t="s">
        <v>2001</v>
      </c>
      <c r="J46" t="str">
        <f t="shared" si="0"/>
        <v>segmented videos list</v>
      </c>
      <c r="K46" s="1"/>
      <c r="L46" s="1"/>
    </row>
    <row r="47" spans="1:12" ht="19" hidden="1">
      <c r="A47">
        <v>46</v>
      </c>
      <c r="B47" s="14" t="s">
        <v>344</v>
      </c>
      <c r="C47" t="s">
        <v>295</v>
      </c>
      <c r="E47" t="s">
        <v>391</v>
      </c>
      <c r="F47" t="s">
        <v>1717</v>
      </c>
      <c r="G47" t="e">
        <v>#N/A</v>
      </c>
      <c r="H47" t="s">
        <v>1717</v>
      </c>
      <c r="I47" t="e">
        <v>#N/A</v>
      </c>
      <c r="J47" t="str">
        <f t="shared" si="0"/>
        <v>no</v>
      </c>
      <c r="K47" s="1"/>
      <c r="L47" s="1"/>
    </row>
    <row r="48" spans="1:12" ht="19" hidden="1">
      <c r="A48">
        <v>47</v>
      </c>
      <c r="B48" s="14" t="s">
        <v>345</v>
      </c>
      <c r="C48" t="s">
        <v>296</v>
      </c>
      <c r="E48" t="s">
        <v>391</v>
      </c>
      <c r="F48" t="s">
        <v>1717</v>
      </c>
      <c r="G48" t="e">
        <v>#N/A</v>
      </c>
      <c r="H48" t="s">
        <v>1717</v>
      </c>
      <c r="I48" t="e">
        <v>#N/A</v>
      </c>
      <c r="J48" t="str">
        <f t="shared" si="0"/>
        <v>no</v>
      </c>
      <c r="K48" s="1"/>
      <c r="L48" s="1"/>
    </row>
    <row r="49" spans="1:12" ht="19" hidden="1">
      <c r="A49">
        <v>48</v>
      </c>
      <c r="B49" s="14" t="s">
        <v>346</v>
      </c>
      <c r="C49" t="s">
        <v>296</v>
      </c>
      <c r="E49" t="s">
        <v>391</v>
      </c>
      <c r="F49" t="s">
        <v>1717</v>
      </c>
      <c r="G49" t="e">
        <v>#N/A</v>
      </c>
      <c r="H49" t="s">
        <v>1717</v>
      </c>
      <c r="I49" t="e">
        <v>#N/A</v>
      </c>
      <c r="J49" t="str">
        <f t="shared" si="0"/>
        <v>no</v>
      </c>
      <c r="K49" s="1"/>
      <c r="L49" s="1"/>
    </row>
    <row r="50" spans="1:12" ht="19" hidden="1">
      <c r="A50">
        <v>49</v>
      </c>
      <c r="B50" s="14" t="s">
        <v>347</v>
      </c>
      <c r="C50" t="s">
        <v>295</v>
      </c>
      <c r="E50" t="s">
        <v>391</v>
      </c>
      <c r="F50" t="s">
        <v>192</v>
      </c>
      <c r="G50" t="s">
        <v>1742</v>
      </c>
      <c r="H50" t="s">
        <v>192</v>
      </c>
      <c r="I50" t="s">
        <v>2005</v>
      </c>
      <c r="J50" t="str">
        <f t="shared" si="0"/>
        <v>segmented videos list</v>
      </c>
      <c r="K50" s="1"/>
      <c r="L50" s="1"/>
    </row>
    <row r="51" spans="1:12" ht="19">
      <c r="A51">
        <v>50</v>
      </c>
      <c r="B51" s="14" t="s">
        <v>348</v>
      </c>
      <c r="C51" t="s">
        <v>268</v>
      </c>
      <c r="E51" t="s">
        <v>390</v>
      </c>
      <c r="F51" t="s">
        <v>192</v>
      </c>
      <c r="G51" t="s">
        <v>1736</v>
      </c>
      <c r="H51" t="s">
        <v>201</v>
      </c>
      <c r="I51" t="s">
        <v>1999</v>
      </c>
      <c r="J51" t="str">
        <f t="shared" si="0"/>
        <v>segmented videos list</v>
      </c>
      <c r="K51" s="1"/>
      <c r="L51" s="1"/>
    </row>
    <row r="52" spans="1:12" ht="19">
      <c r="A52">
        <v>51</v>
      </c>
      <c r="B52" s="14" t="s">
        <v>349</v>
      </c>
      <c r="C52" t="s">
        <v>271</v>
      </c>
      <c r="E52" t="s">
        <v>390</v>
      </c>
      <c r="F52" t="s">
        <v>201</v>
      </c>
      <c r="G52" t="s">
        <v>1729</v>
      </c>
      <c r="H52" t="s">
        <v>201</v>
      </c>
      <c r="I52" t="s">
        <v>1992</v>
      </c>
      <c r="J52" t="str">
        <f t="shared" si="0"/>
        <v>segmented videos list</v>
      </c>
      <c r="K52" s="1"/>
      <c r="L52" s="1"/>
    </row>
    <row r="53" spans="1:12" ht="19">
      <c r="A53">
        <v>52</v>
      </c>
      <c r="B53" s="14" t="s">
        <v>350</v>
      </c>
      <c r="C53" t="s">
        <v>271</v>
      </c>
      <c r="E53" t="s">
        <v>390</v>
      </c>
      <c r="F53" t="s">
        <v>201</v>
      </c>
      <c r="G53" t="s">
        <v>1726</v>
      </c>
      <c r="H53" t="s">
        <v>201</v>
      </c>
      <c r="I53" t="s">
        <v>1989</v>
      </c>
      <c r="J53" t="str">
        <f t="shared" si="0"/>
        <v>segmented videos list</v>
      </c>
      <c r="K53" s="1"/>
      <c r="L53" s="1"/>
    </row>
    <row r="54" spans="1:12" ht="19">
      <c r="A54">
        <v>53</v>
      </c>
      <c r="B54" s="14" t="s">
        <v>351</v>
      </c>
      <c r="E54" t="s">
        <v>390</v>
      </c>
      <c r="F54" t="s">
        <v>201</v>
      </c>
      <c r="G54" t="s">
        <v>1755</v>
      </c>
      <c r="H54" t="s">
        <v>192</v>
      </c>
      <c r="I54" t="s">
        <v>2018</v>
      </c>
      <c r="J54" t="str">
        <f t="shared" si="0"/>
        <v>segmented videos list</v>
      </c>
      <c r="K54" s="1"/>
      <c r="L54" s="1"/>
    </row>
    <row r="55" spans="1:12" ht="19">
      <c r="A55">
        <v>54</v>
      </c>
      <c r="B55" s="14" t="s">
        <v>352</v>
      </c>
      <c r="E55" t="s">
        <v>390</v>
      </c>
      <c r="F55" t="s">
        <v>201</v>
      </c>
      <c r="G55" t="s">
        <v>1759</v>
      </c>
      <c r="H55" t="s">
        <v>201</v>
      </c>
      <c r="I55" t="s">
        <v>2022</v>
      </c>
      <c r="J55" t="str">
        <f t="shared" si="0"/>
        <v>segmented videos list</v>
      </c>
      <c r="K55" s="1"/>
      <c r="L55" s="1"/>
    </row>
    <row r="56" spans="1:12" ht="19" hidden="1">
      <c r="A56">
        <v>55</v>
      </c>
      <c r="B56" s="14" t="s">
        <v>353</v>
      </c>
      <c r="E56" t="s">
        <v>390</v>
      </c>
      <c r="F56" t="s">
        <v>1717</v>
      </c>
      <c r="G56" t="e">
        <v>#N/A</v>
      </c>
      <c r="H56" t="s">
        <v>1717</v>
      </c>
      <c r="I56" t="e">
        <v>#N/A</v>
      </c>
      <c r="J56" t="str">
        <f t="shared" si="0"/>
        <v>no</v>
      </c>
      <c r="K56" s="1"/>
      <c r="L56" s="1"/>
    </row>
    <row r="57" spans="1:12" ht="19" hidden="1">
      <c r="J57" t="str">
        <f t="shared" si="0"/>
        <v>no</v>
      </c>
      <c r="K57" s="1"/>
      <c r="L57" s="1"/>
    </row>
    <row r="58" spans="1:12" ht="19" hidden="1">
      <c r="J58" t="str">
        <f t="shared" si="0"/>
        <v>no</v>
      </c>
      <c r="K58" s="1"/>
      <c r="L58" s="1"/>
    </row>
    <row r="59" spans="1:12" ht="19" hidden="1">
      <c r="J59" t="str">
        <f t="shared" si="0"/>
        <v>no</v>
      </c>
      <c r="K59" s="1"/>
      <c r="L59" s="1"/>
    </row>
    <row r="60" spans="1:12" ht="19" hidden="1">
      <c r="J60" t="str">
        <f t="shared" si="0"/>
        <v>no</v>
      </c>
      <c r="K60" s="1"/>
      <c r="L60" s="1"/>
    </row>
    <row r="61" spans="1:12" ht="19" hidden="1">
      <c r="J61" t="str">
        <f t="shared" si="0"/>
        <v>no</v>
      </c>
      <c r="K61" s="1"/>
      <c r="L61" s="1"/>
    </row>
    <row r="62" spans="1:12" ht="19" hidden="1">
      <c r="J62" t="str">
        <f t="shared" si="0"/>
        <v>no</v>
      </c>
      <c r="K62" s="1"/>
      <c r="L62" s="1"/>
    </row>
    <row r="63" spans="1:12" ht="19" hidden="1">
      <c r="J63" t="str">
        <f t="shared" si="0"/>
        <v>no</v>
      </c>
      <c r="K63" s="1"/>
      <c r="L63" s="1"/>
    </row>
    <row r="64" spans="1:12" ht="19" hidden="1">
      <c r="J64" t="str">
        <f t="shared" si="0"/>
        <v>no</v>
      </c>
      <c r="K64" s="1"/>
      <c r="L64" s="1"/>
    </row>
    <row r="65" spans="10:12" ht="19" hidden="1">
      <c r="J65" t="str">
        <f t="shared" si="0"/>
        <v>no</v>
      </c>
      <c r="K65" s="1"/>
      <c r="L65" s="1"/>
    </row>
    <row r="66" spans="10:12" ht="19" hidden="1">
      <c r="J66" t="str">
        <f t="shared" si="0"/>
        <v>no</v>
      </c>
      <c r="K66" s="1"/>
      <c r="L66" s="1"/>
    </row>
    <row r="67" spans="10:12" ht="19" hidden="1">
      <c r="J67" t="str">
        <f t="shared" ref="J67:J130" si="1">IF(COUNTIF(K:K, B67)&gt;0,$K$1,IF(COUNTIF(L:L, B67)&gt;0,$L$1,"no"))</f>
        <v>no</v>
      </c>
      <c r="K67" s="1"/>
      <c r="L67" s="1"/>
    </row>
    <row r="68" spans="10:12" ht="19" hidden="1">
      <c r="J68" t="str">
        <f t="shared" si="1"/>
        <v>no</v>
      </c>
      <c r="K68" s="1"/>
      <c r="L68" s="1"/>
    </row>
    <row r="69" spans="10:12" ht="19" hidden="1">
      <c r="J69" t="str">
        <f t="shared" si="1"/>
        <v>no</v>
      </c>
      <c r="K69" s="1"/>
      <c r="L69" s="1"/>
    </row>
    <row r="70" spans="10:12" ht="19" hidden="1">
      <c r="J70" t="str">
        <f t="shared" si="1"/>
        <v>no</v>
      </c>
      <c r="K70" s="1"/>
      <c r="L70" s="1"/>
    </row>
    <row r="71" spans="10:12" ht="19" hidden="1">
      <c r="J71" t="str">
        <f t="shared" si="1"/>
        <v>no</v>
      </c>
      <c r="K71" s="1"/>
      <c r="L71" s="1"/>
    </row>
    <row r="72" spans="10:12" ht="19" hidden="1">
      <c r="J72" t="str">
        <f t="shared" si="1"/>
        <v>no</v>
      </c>
      <c r="K72" s="1"/>
      <c r="L72" s="1"/>
    </row>
    <row r="73" spans="10:12" ht="19" hidden="1">
      <c r="J73" t="str">
        <f t="shared" si="1"/>
        <v>no</v>
      </c>
      <c r="K73" s="1"/>
      <c r="L73" s="1"/>
    </row>
    <row r="74" spans="10:12" ht="19" hidden="1">
      <c r="J74" t="str">
        <f t="shared" si="1"/>
        <v>no</v>
      </c>
      <c r="K74" s="1"/>
      <c r="L74" s="1"/>
    </row>
    <row r="75" spans="10:12" ht="19" hidden="1">
      <c r="J75" t="str">
        <f t="shared" si="1"/>
        <v>no</v>
      </c>
      <c r="K75" s="1"/>
      <c r="L75" s="1"/>
    </row>
    <row r="76" spans="10:12" ht="19" hidden="1">
      <c r="J76" t="str">
        <f t="shared" si="1"/>
        <v>no</v>
      </c>
      <c r="K76" s="1"/>
      <c r="L76" s="1"/>
    </row>
    <row r="77" spans="10:12" ht="19" hidden="1">
      <c r="J77" t="str">
        <f t="shared" si="1"/>
        <v>no</v>
      </c>
      <c r="K77" s="1"/>
      <c r="L77" s="1"/>
    </row>
    <row r="78" spans="10:12" ht="19" hidden="1">
      <c r="J78" t="str">
        <f t="shared" si="1"/>
        <v>no</v>
      </c>
      <c r="K78" s="1"/>
      <c r="L78" s="1"/>
    </row>
    <row r="79" spans="10:12" ht="19" hidden="1">
      <c r="J79" t="str">
        <f t="shared" si="1"/>
        <v>no</v>
      </c>
      <c r="K79" s="1"/>
      <c r="L79" s="1"/>
    </row>
    <row r="80" spans="10:12" ht="19" hidden="1">
      <c r="J80" t="str">
        <f t="shared" si="1"/>
        <v>no</v>
      </c>
      <c r="K80" s="1"/>
      <c r="L80" s="1"/>
    </row>
    <row r="81" spans="10:10" hidden="1">
      <c r="J81" t="str">
        <f t="shared" si="1"/>
        <v>no</v>
      </c>
    </row>
    <row r="82" spans="10:10" hidden="1">
      <c r="J82" t="str">
        <f t="shared" si="1"/>
        <v>no</v>
      </c>
    </row>
    <row r="83" spans="10:10" hidden="1">
      <c r="J83" t="str">
        <f t="shared" si="1"/>
        <v>no</v>
      </c>
    </row>
    <row r="84" spans="10:10" hidden="1">
      <c r="J84" t="str">
        <f t="shared" si="1"/>
        <v>no</v>
      </c>
    </row>
    <row r="85" spans="10:10" hidden="1">
      <c r="J85" t="str">
        <f t="shared" si="1"/>
        <v>no</v>
      </c>
    </row>
    <row r="86" spans="10:10" hidden="1">
      <c r="J86" t="str">
        <f t="shared" si="1"/>
        <v>no</v>
      </c>
    </row>
    <row r="87" spans="10:10" hidden="1">
      <c r="J87" t="str">
        <f t="shared" si="1"/>
        <v>no</v>
      </c>
    </row>
    <row r="88" spans="10:10" hidden="1">
      <c r="J88" t="str">
        <f t="shared" si="1"/>
        <v>no</v>
      </c>
    </row>
    <row r="89" spans="10:10" hidden="1">
      <c r="J89" t="str">
        <f t="shared" si="1"/>
        <v>no</v>
      </c>
    </row>
    <row r="90" spans="10:10" hidden="1">
      <c r="J90" t="str">
        <f t="shared" si="1"/>
        <v>no</v>
      </c>
    </row>
    <row r="91" spans="10:10" hidden="1">
      <c r="J91" t="str">
        <f t="shared" si="1"/>
        <v>no</v>
      </c>
    </row>
    <row r="92" spans="10:10" hidden="1">
      <c r="J92" t="str">
        <f t="shared" si="1"/>
        <v>no</v>
      </c>
    </row>
    <row r="93" spans="10:10" hidden="1">
      <c r="J93" t="str">
        <f t="shared" si="1"/>
        <v>no</v>
      </c>
    </row>
    <row r="94" spans="10:10" hidden="1">
      <c r="J94" t="str">
        <f t="shared" si="1"/>
        <v>no</v>
      </c>
    </row>
    <row r="95" spans="10:10" hidden="1">
      <c r="J95" t="str">
        <f t="shared" si="1"/>
        <v>no</v>
      </c>
    </row>
    <row r="96" spans="10:10" hidden="1">
      <c r="J96" t="str">
        <f t="shared" si="1"/>
        <v>no</v>
      </c>
    </row>
    <row r="97" spans="10:10" hidden="1">
      <c r="J97" t="str">
        <f t="shared" si="1"/>
        <v>no</v>
      </c>
    </row>
    <row r="98" spans="10:10" hidden="1">
      <c r="J98" t="str">
        <f t="shared" si="1"/>
        <v>no</v>
      </c>
    </row>
    <row r="99" spans="10:10" hidden="1">
      <c r="J99" t="str">
        <f t="shared" si="1"/>
        <v>no</v>
      </c>
    </row>
    <row r="100" spans="10:10" hidden="1">
      <c r="J100" t="str">
        <f t="shared" si="1"/>
        <v>no</v>
      </c>
    </row>
    <row r="101" spans="10:10" hidden="1">
      <c r="J101" t="str">
        <f t="shared" si="1"/>
        <v>no</v>
      </c>
    </row>
    <row r="102" spans="10:10" hidden="1">
      <c r="J102" t="str">
        <f t="shared" si="1"/>
        <v>no</v>
      </c>
    </row>
    <row r="103" spans="10:10" hidden="1">
      <c r="J103" t="str">
        <f t="shared" si="1"/>
        <v>no</v>
      </c>
    </row>
    <row r="104" spans="10:10" hidden="1">
      <c r="J104" t="str">
        <f t="shared" si="1"/>
        <v>no</v>
      </c>
    </row>
    <row r="105" spans="10:10" hidden="1">
      <c r="J105" t="str">
        <f t="shared" si="1"/>
        <v>no</v>
      </c>
    </row>
    <row r="106" spans="10:10" hidden="1">
      <c r="J106" t="str">
        <f t="shared" si="1"/>
        <v>no</v>
      </c>
    </row>
    <row r="107" spans="10:10" hidden="1">
      <c r="J107" t="str">
        <f t="shared" si="1"/>
        <v>no</v>
      </c>
    </row>
    <row r="108" spans="10:10" hidden="1">
      <c r="J108" t="str">
        <f t="shared" si="1"/>
        <v>no</v>
      </c>
    </row>
    <row r="109" spans="10:10" hidden="1">
      <c r="J109" t="str">
        <f t="shared" si="1"/>
        <v>no</v>
      </c>
    </row>
    <row r="110" spans="10:10" hidden="1">
      <c r="J110" t="str">
        <f t="shared" si="1"/>
        <v>no</v>
      </c>
    </row>
    <row r="111" spans="10:10" hidden="1">
      <c r="J111" t="str">
        <f t="shared" si="1"/>
        <v>no</v>
      </c>
    </row>
    <row r="112" spans="10:10" hidden="1">
      <c r="J112" t="str">
        <f t="shared" si="1"/>
        <v>no</v>
      </c>
    </row>
    <row r="113" spans="10:10" hidden="1">
      <c r="J113" t="str">
        <f t="shared" si="1"/>
        <v>no</v>
      </c>
    </row>
    <row r="114" spans="10:10" hidden="1">
      <c r="J114" t="str">
        <f t="shared" si="1"/>
        <v>no</v>
      </c>
    </row>
    <row r="115" spans="10:10" hidden="1">
      <c r="J115" t="str">
        <f t="shared" si="1"/>
        <v>no</v>
      </c>
    </row>
    <row r="116" spans="10:10" hidden="1">
      <c r="J116" t="str">
        <f t="shared" si="1"/>
        <v>no</v>
      </c>
    </row>
    <row r="117" spans="10:10" hidden="1">
      <c r="J117" t="str">
        <f t="shared" si="1"/>
        <v>no</v>
      </c>
    </row>
    <row r="118" spans="10:10" hidden="1">
      <c r="J118" t="str">
        <f t="shared" si="1"/>
        <v>no</v>
      </c>
    </row>
    <row r="119" spans="10:10" hidden="1">
      <c r="J119" t="str">
        <f t="shared" si="1"/>
        <v>no</v>
      </c>
    </row>
    <row r="120" spans="10:10" hidden="1">
      <c r="J120" t="str">
        <f t="shared" si="1"/>
        <v>no</v>
      </c>
    </row>
    <row r="121" spans="10:10" hidden="1">
      <c r="J121" t="str">
        <f t="shared" si="1"/>
        <v>no</v>
      </c>
    </row>
    <row r="122" spans="10:10" hidden="1">
      <c r="J122" t="str">
        <f t="shared" si="1"/>
        <v>no</v>
      </c>
    </row>
    <row r="123" spans="10:10" hidden="1">
      <c r="J123" t="str">
        <f t="shared" si="1"/>
        <v>no</v>
      </c>
    </row>
    <row r="124" spans="10:10" hidden="1">
      <c r="J124" t="str">
        <f t="shared" si="1"/>
        <v>no</v>
      </c>
    </row>
    <row r="125" spans="10:10" hidden="1">
      <c r="J125" t="str">
        <f t="shared" si="1"/>
        <v>no</v>
      </c>
    </row>
    <row r="126" spans="10:10" hidden="1">
      <c r="J126" t="str">
        <f t="shared" si="1"/>
        <v>no</v>
      </c>
    </row>
    <row r="127" spans="10:10" hidden="1">
      <c r="J127" t="str">
        <f t="shared" si="1"/>
        <v>no</v>
      </c>
    </row>
    <row r="128" spans="10:10" hidden="1">
      <c r="J128" t="str">
        <f t="shared" si="1"/>
        <v>no</v>
      </c>
    </row>
    <row r="129" spans="10:10" hidden="1">
      <c r="J129" t="str">
        <f t="shared" si="1"/>
        <v>no</v>
      </c>
    </row>
    <row r="130" spans="10:10" hidden="1">
      <c r="J130" t="str">
        <f t="shared" si="1"/>
        <v>no</v>
      </c>
    </row>
    <row r="131" spans="10:10" hidden="1">
      <c r="J131" t="str">
        <f t="shared" ref="J131:J142" si="2">IF(COUNTIF(K:K, B131)&gt;0,$K$1,IF(COUNTIF(L:L, B131)&gt;0,$L$1,"no"))</f>
        <v>no</v>
      </c>
    </row>
    <row r="132" spans="10:10" hidden="1">
      <c r="J132" t="str">
        <f t="shared" si="2"/>
        <v>no</v>
      </c>
    </row>
    <row r="133" spans="10:10" hidden="1">
      <c r="J133" t="str">
        <f t="shared" si="2"/>
        <v>no</v>
      </c>
    </row>
    <row r="134" spans="10:10" hidden="1">
      <c r="J134" t="str">
        <f t="shared" si="2"/>
        <v>no</v>
      </c>
    </row>
    <row r="135" spans="10:10" hidden="1">
      <c r="J135" t="str">
        <f t="shared" si="2"/>
        <v>no</v>
      </c>
    </row>
    <row r="136" spans="10:10" hidden="1">
      <c r="J136" t="str">
        <f t="shared" si="2"/>
        <v>no</v>
      </c>
    </row>
    <row r="137" spans="10:10" hidden="1">
      <c r="J137" t="str">
        <f t="shared" si="2"/>
        <v>no</v>
      </c>
    </row>
    <row r="138" spans="10:10" hidden="1">
      <c r="J138" t="str">
        <f t="shared" si="2"/>
        <v>no</v>
      </c>
    </row>
    <row r="139" spans="10:10" hidden="1">
      <c r="J139" t="str">
        <f t="shared" si="2"/>
        <v>no</v>
      </c>
    </row>
    <row r="140" spans="10:10" hidden="1">
      <c r="J140" t="str">
        <f t="shared" si="2"/>
        <v>no</v>
      </c>
    </row>
    <row r="141" spans="10:10" hidden="1">
      <c r="J141" t="str">
        <f t="shared" si="2"/>
        <v>no</v>
      </c>
    </row>
    <row r="142" spans="10:10" hidden="1">
      <c r="J142" t="str">
        <f t="shared" si="2"/>
        <v>no</v>
      </c>
    </row>
  </sheetData>
  <autoFilter ref="A1:L142" xr:uid="{454B3E56-1CA8-6546-98E3-2D158BBFEBE9}">
    <filterColumn colId="4">
      <filters>
        <filter val="no"/>
      </filters>
    </filterColumn>
    <filterColumn colId="9">
      <filters>
        <filter val="segmented videos list"/>
      </filters>
    </filterColumn>
  </autoFilter>
  <phoneticPr fontId="1" type="noConversion"/>
  <conditionalFormatting sqref="E1:E1048576">
    <cfRule type="cellIs" dxfId="74" priority="4" operator="equal">
      <formula>"no"</formula>
    </cfRule>
    <cfRule type="cellIs" dxfId="73" priority="5" operator="equal">
      <formula>"yes"</formula>
    </cfRule>
  </conditionalFormatting>
  <conditionalFormatting sqref="F2:F142">
    <cfRule type="expression" dxfId="72" priority="3">
      <formula>F2&lt;&gt;E2</formula>
    </cfRule>
  </conditionalFormatting>
  <conditionalFormatting sqref="H2:H142">
    <cfRule type="expression" dxfId="71" priority="1" stopIfTrue="1">
      <formula>H2&lt;&gt;E2</formula>
    </cfRule>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F5A4-1157-DC41-8892-B88358B50EBE}">
  <sheetPr filterMode="1"/>
  <dimension ref="A1:L142"/>
  <sheetViews>
    <sheetView workbookViewId="0">
      <selection activeCell="J156" sqref="J156"/>
    </sheetView>
  </sheetViews>
  <sheetFormatPr baseColWidth="10" defaultRowHeight="15"/>
  <cols>
    <col min="3" max="3" width="4.83203125" customWidth="1"/>
    <col min="5" max="5" width="11.33203125" customWidth="1"/>
    <col min="10" max="10" width="14.33203125" customWidth="1"/>
  </cols>
  <sheetData>
    <row r="1" spans="1:12">
      <c r="A1" t="s">
        <v>88</v>
      </c>
      <c r="B1" t="s">
        <v>0</v>
      </c>
      <c r="C1" s="2" t="s">
        <v>202</v>
      </c>
      <c r="D1" t="s">
        <v>6</v>
      </c>
      <c r="E1" t="s">
        <v>1</v>
      </c>
      <c r="F1" t="s">
        <v>4</v>
      </c>
      <c r="G1" t="s">
        <v>1639</v>
      </c>
      <c r="H1" t="s">
        <v>1818</v>
      </c>
      <c r="I1" t="s">
        <v>1819</v>
      </c>
      <c r="J1" t="s">
        <v>1067</v>
      </c>
      <c r="K1" t="s">
        <v>1192</v>
      </c>
      <c r="L1" t="s">
        <v>1105</v>
      </c>
    </row>
    <row r="2" spans="1:12" ht="19">
      <c r="A2">
        <v>1</v>
      </c>
      <c r="B2" s="1" t="s">
        <v>275</v>
      </c>
      <c r="C2" t="s">
        <v>271</v>
      </c>
      <c r="E2" t="s">
        <v>390</v>
      </c>
      <c r="F2" t="s">
        <v>192</v>
      </c>
      <c r="G2" t="s">
        <v>1764</v>
      </c>
      <c r="H2" t="s">
        <v>192</v>
      </c>
      <c r="I2" t="s">
        <v>1806</v>
      </c>
      <c r="J2" t="str">
        <f>IF(COUNTIF(K:K, B2)&gt;0,$K$1,IF(COUNTIF(L:L, B2)&gt;0,$L$1,"no"))</f>
        <v>segmented videos list</v>
      </c>
      <c r="K2" s="1"/>
      <c r="L2" s="1" t="s">
        <v>285</v>
      </c>
    </row>
    <row r="3" spans="1:12" ht="19">
      <c r="A3">
        <v>2</v>
      </c>
      <c r="B3" s="1" t="s">
        <v>276</v>
      </c>
      <c r="C3" t="s">
        <v>269</v>
      </c>
      <c r="E3" t="s">
        <v>390</v>
      </c>
      <c r="F3" t="s">
        <v>192</v>
      </c>
      <c r="G3" t="s">
        <v>1768</v>
      </c>
      <c r="H3" t="s">
        <v>201</v>
      </c>
      <c r="I3" t="s">
        <v>1810</v>
      </c>
      <c r="J3" t="str">
        <f t="shared" ref="J3:J66" si="0">IF(COUNTIF(K:K, B3)&gt;0,$K$1,IF(COUNTIF(L:L, B3)&gt;0,$L$1,"no"))</f>
        <v>segmented videos list</v>
      </c>
      <c r="K3" s="1"/>
      <c r="L3" s="1" t="s">
        <v>294</v>
      </c>
    </row>
    <row r="4" spans="1:12" ht="19">
      <c r="A4">
        <v>3</v>
      </c>
      <c r="B4" s="1" t="s">
        <v>277</v>
      </c>
      <c r="C4" t="s">
        <v>267</v>
      </c>
      <c r="E4" t="s">
        <v>390</v>
      </c>
      <c r="F4" t="s">
        <v>192</v>
      </c>
      <c r="G4" t="s">
        <v>1765</v>
      </c>
      <c r="H4" t="s">
        <v>201</v>
      </c>
      <c r="I4" t="s">
        <v>1807</v>
      </c>
      <c r="J4" t="str">
        <f t="shared" si="0"/>
        <v>segmented videos list</v>
      </c>
      <c r="K4" s="1"/>
      <c r="L4" s="1" t="s">
        <v>280</v>
      </c>
    </row>
    <row r="5" spans="1:12" ht="19">
      <c r="A5">
        <v>4</v>
      </c>
      <c r="B5" s="1" t="s">
        <v>278</v>
      </c>
      <c r="C5" t="s">
        <v>271</v>
      </c>
      <c r="E5" t="s">
        <v>390</v>
      </c>
      <c r="F5" t="s">
        <v>201</v>
      </c>
      <c r="G5" t="s">
        <v>1769</v>
      </c>
      <c r="H5" t="s">
        <v>201</v>
      </c>
      <c r="I5" t="s">
        <v>1811</v>
      </c>
      <c r="J5" t="str">
        <f t="shared" si="0"/>
        <v>segmented videos list</v>
      </c>
      <c r="K5" s="1"/>
      <c r="L5" s="1" t="s">
        <v>286</v>
      </c>
    </row>
    <row r="6" spans="1:12" ht="19">
      <c r="A6">
        <v>5</v>
      </c>
      <c r="B6" s="1" t="s">
        <v>279</v>
      </c>
      <c r="C6" t="s">
        <v>271</v>
      </c>
      <c r="E6" t="s">
        <v>390</v>
      </c>
      <c r="F6" t="s">
        <v>201</v>
      </c>
      <c r="G6" t="s">
        <v>1762</v>
      </c>
      <c r="H6" t="s">
        <v>201</v>
      </c>
      <c r="I6" t="s">
        <v>1804</v>
      </c>
      <c r="J6" t="str">
        <f t="shared" si="0"/>
        <v>segmented videos list</v>
      </c>
      <c r="K6" s="1"/>
      <c r="L6" s="1" t="s">
        <v>275</v>
      </c>
    </row>
    <row r="7" spans="1:12" ht="19" hidden="1">
      <c r="A7">
        <v>6</v>
      </c>
      <c r="B7" s="1" t="s">
        <v>280</v>
      </c>
      <c r="C7" t="s">
        <v>297</v>
      </c>
      <c r="E7" t="s">
        <v>391</v>
      </c>
      <c r="F7" t="s">
        <v>192</v>
      </c>
      <c r="G7" t="s">
        <v>1760</v>
      </c>
      <c r="H7" t="s">
        <v>192</v>
      </c>
      <c r="I7" t="s">
        <v>1802</v>
      </c>
      <c r="J7" t="str">
        <f t="shared" si="0"/>
        <v>segmented videos list</v>
      </c>
      <c r="K7" s="1"/>
      <c r="L7" s="1" t="s">
        <v>281</v>
      </c>
    </row>
    <row r="8" spans="1:12" ht="19" hidden="1">
      <c r="A8">
        <v>7</v>
      </c>
      <c r="B8" s="1" t="s">
        <v>281</v>
      </c>
      <c r="C8" t="s">
        <v>298</v>
      </c>
      <c r="E8" t="s">
        <v>391</v>
      </c>
      <c r="F8" t="s">
        <v>201</v>
      </c>
      <c r="G8" t="s">
        <v>1766</v>
      </c>
      <c r="H8" t="s">
        <v>201</v>
      </c>
      <c r="I8" t="s">
        <v>1808</v>
      </c>
      <c r="J8" t="str">
        <f t="shared" si="0"/>
        <v>segmented videos list</v>
      </c>
      <c r="K8" s="1"/>
      <c r="L8" s="1" t="s">
        <v>290</v>
      </c>
    </row>
    <row r="9" spans="1:12" ht="19" hidden="1">
      <c r="A9">
        <v>8</v>
      </c>
      <c r="B9" s="1" t="s">
        <v>282</v>
      </c>
      <c r="C9" t="s">
        <v>298</v>
      </c>
      <c r="E9" t="s">
        <v>391</v>
      </c>
      <c r="F9" t="s">
        <v>192</v>
      </c>
      <c r="G9" t="s">
        <v>1774</v>
      </c>
      <c r="H9" t="s">
        <v>192</v>
      </c>
      <c r="I9" t="s">
        <v>1816</v>
      </c>
      <c r="J9" t="str">
        <f t="shared" si="0"/>
        <v>segmented videos list</v>
      </c>
      <c r="K9" s="1"/>
      <c r="L9" s="1" t="s">
        <v>276</v>
      </c>
    </row>
    <row r="10" spans="1:12" ht="19">
      <c r="A10">
        <v>9</v>
      </c>
      <c r="B10" s="1" t="s">
        <v>283</v>
      </c>
      <c r="C10" t="s">
        <v>274</v>
      </c>
      <c r="E10" t="s">
        <v>390</v>
      </c>
      <c r="F10" t="s">
        <v>192</v>
      </c>
      <c r="G10" t="s">
        <v>1771</v>
      </c>
      <c r="H10" t="s">
        <v>192</v>
      </c>
      <c r="I10" t="s">
        <v>1813</v>
      </c>
      <c r="J10" t="str">
        <f t="shared" si="0"/>
        <v>segmented videos list</v>
      </c>
      <c r="K10" s="1"/>
      <c r="L10" s="1" t="s">
        <v>282</v>
      </c>
    </row>
    <row r="11" spans="1:12" ht="19" hidden="1">
      <c r="A11">
        <v>10</v>
      </c>
      <c r="B11" s="1" t="s">
        <v>284</v>
      </c>
      <c r="C11" t="s">
        <v>271</v>
      </c>
      <c r="E11" t="s">
        <v>390</v>
      </c>
      <c r="F11" t="s">
        <v>1717</v>
      </c>
      <c r="G11" t="e">
        <v>#N/A</v>
      </c>
      <c r="H11" t="s">
        <v>1717</v>
      </c>
      <c r="I11" t="e">
        <v>#N/A</v>
      </c>
      <c r="J11" t="str">
        <f t="shared" si="0"/>
        <v>no</v>
      </c>
      <c r="K11" s="1"/>
      <c r="L11" s="1" t="s">
        <v>291</v>
      </c>
    </row>
    <row r="12" spans="1:12" ht="19">
      <c r="A12">
        <v>11</v>
      </c>
      <c r="B12" s="1" t="s">
        <v>285</v>
      </c>
      <c r="C12" t="s">
        <v>274</v>
      </c>
      <c r="E12" t="s">
        <v>390</v>
      </c>
      <c r="F12" t="s">
        <v>192</v>
      </c>
      <c r="G12" t="s">
        <v>1773</v>
      </c>
      <c r="H12" t="s">
        <v>192</v>
      </c>
      <c r="I12" t="s">
        <v>1815</v>
      </c>
      <c r="J12" t="str">
        <f t="shared" si="0"/>
        <v>segmented videos list</v>
      </c>
      <c r="K12" s="1"/>
      <c r="L12" s="1" t="s">
        <v>277</v>
      </c>
    </row>
    <row r="13" spans="1:12" ht="19">
      <c r="A13">
        <v>12</v>
      </c>
      <c r="B13" s="1" t="s">
        <v>286</v>
      </c>
      <c r="C13" t="s">
        <v>271</v>
      </c>
      <c r="E13" t="s">
        <v>390</v>
      </c>
      <c r="F13" t="s">
        <v>201</v>
      </c>
      <c r="G13" t="s">
        <v>1767</v>
      </c>
      <c r="H13" t="s">
        <v>201</v>
      </c>
      <c r="I13" t="s">
        <v>1809</v>
      </c>
      <c r="J13" t="str">
        <f t="shared" si="0"/>
        <v>segmented videos list</v>
      </c>
      <c r="K13" s="1"/>
      <c r="L13" s="1" t="s">
        <v>283</v>
      </c>
    </row>
    <row r="14" spans="1:12" ht="19" hidden="1">
      <c r="A14">
        <v>13</v>
      </c>
      <c r="B14" s="1" t="s">
        <v>287</v>
      </c>
      <c r="C14" t="s">
        <v>298</v>
      </c>
      <c r="E14" t="s">
        <v>391</v>
      </c>
      <c r="F14" t="s">
        <v>1717</v>
      </c>
      <c r="G14" t="e">
        <v>#N/A</v>
      </c>
      <c r="H14" t="s">
        <v>1717</v>
      </c>
      <c r="I14" t="e">
        <v>#N/A</v>
      </c>
      <c r="J14" t="str">
        <f t="shared" si="0"/>
        <v>no</v>
      </c>
      <c r="K14" s="1"/>
      <c r="L14" s="1" t="s">
        <v>292</v>
      </c>
    </row>
    <row r="15" spans="1:12" ht="19" hidden="1">
      <c r="A15">
        <v>14</v>
      </c>
      <c r="B15" s="1" t="s">
        <v>288</v>
      </c>
      <c r="C15" t="s">
        <v>274</v>
      </c>
      <c r="E15" t="s">
        <v>390</v>
      </c>
      <c r="F15" t="s">
        <v>1717</v>
      </c>
      <c r="G15" t="e">
        <v>#N/A</v>
      </c>
      <c r="H15" t="s">
        <v>1717</v>
      </c>
      <c r="I15" t="e">
        <v>#N/A</v>
      </c>
      <c r="J15" t="str">
        <f t="shared" si="0"/>
        <v>no</v>
      </c>
      <c r="K15" s="1"/>
      <c r="L15" s="1" t="s">
        <v>278</v>
      </c>
    </row>
    <row r="16" spans="1:12" ht="19" hidden="1">
      <c r="A16">
        <v>15</v>
      </c>
      <c r="B16" s="1" t="s">
        <v>289</v>
      </c>
      <c r="C16" t="s">
        <v>295</v>
      </c>
      <c r="E16" t="s">
        <v>391</v>
      </c>
      <c r="F16" t="s">
        <v>1717</v>
      </c>
      <c r="G16" t="e">
        <v>#N/A</v>
      </c>
      <c r="H16" t="s">
        <v>1717</v>
      </c>
      <c r="I16" t="e">
        <v>#N/A</v>
      </c>
      <c r="J16" t="str">
        <f t="shared" si="0"/>
        <v>no</v>
      </c>
      <c r="K16" s="1"/>
      <c r="L16" s="1" t="s">
        <v>293</v>
      </c>
    </row>
    <row r="17" spans="1:12" ht="19">
      <c r="A17">
        <v>16</v>
      </c>
      <c r="B17" s="1" t="s">
        <v>290</v>
      </c>
      <c r="C17" t="s">
        <v>271</v>
      </c>
      <c r="E17" t="s">
        <v>390</v>
      </c>
      <c r="F17" t="s">
        <v>201</v>
      </c>
      <c r="G17" t="s">
        <v>1772</v>
      </c>
      <c r="H17" t="s">
        <v>201</v>
      </c>
      <c r="I17" t="s">
        <v>1814</v>
      </c>
      <c r="J17" t="str">
        <f t="shared" si="0"/>
        <v>segmented videos list</v>
      </c>
      <c r="K17" s="1"/>
      <c r="L17" s="1" t="s">
        <v>279</v>
      </c>
    </row>
    <row r="18" spans="1:12" ht="19">
      <c r="A18">
        <v>17</v>
      </c>
      <c r="B18" s="1" t="s">
        <v>291</v>
      </c>
      <c r="C18" t="s">
        <v>271</v>
      </c>
      <c r="E18" t="s">
        <v>390</v>
      </c>
      <c r="F18" t="s">
        <v>192</v>
      </c>
      <c r="G18" t="s">
        <v>1761</v>
      </c>
      <c r="H18" t="s">
        <v>201</v>
      </c>
      <c r="I18" t="s">
        <v>1803</v>
      </c>
      <c r="J18" t="str">
        <f t="shared" si="0"/>
        <v>segmented videos list</v>
      </c>
      <c r="K18" s="1"/>
      <c r="L18" s="1"/>
    </row>
    <row r="19" spans="1:12" ht="19">
      <c r="A19">
        <v>18</v>
      </c>
      <c r="B19" s="1" t="s">
        <v>292</v>
      </c>
      <c r="C19" t="s">
        <v>267</v>
      </c>
      <c r="E19" t="s">
        <v>390</v>
      </c>
      <c r="F19" t="s">
        <v>192</v>
      </c>
      <c r="G19" t="s">
        <v>1763</v>
      </c>
      <c r="H19" t="s">
        <v>201</v>
      </c>
      <c r="I19" t="s">
        <v>1805</v>
      </c>
      <c r="J19" t="str">
        <f t="shared" si="0"/>
        <v>segmented videos list</v>
      </c>
      <c r="K19" s="1"/>
      <c r="L19" s="1"/>
    </row>
    <row r="20" spans="1:12" ht="19">
      <c r="A20">
        <v>19</v>
      </c>
      <c r="B20" s="1" t="s">
        <v>293</v>
      </c>
      <c r="C20" t="s">
        <v>271</v>
      </c>
      <c r="E20" t="s">
        <v>390</v>
      </c>
      <c r="F20" t="s">
        <v>201</v>
      </c>
      <c r="G20" t="s">
        <v>1775</v>
      </c>
      <c r="H20" t="s">
        <v>201</v>
      </c>
      <c r="I20" t="s">
        <v>1817</v>
      </c>
      <c r="J20" t="str">
        <f t="shared" si="0"/>
        <v>segmented videos list</v>
      </c>
      <c r="K20" s="1"/>
      <c r="L20" s="1"/>
    </row>
    <row r="21" spans="1:12" ht="19">
      <c r="A21">
        <v>20</v>
      </c>
      <c r="B21" s="1" t="s">
        <v>294</v>
      </c>
      <c r="C21" t="s">
        <v>271</v>
      </c>
      <c r="E21" t="s">
        <v>390</v>
      </c>
      <c r="F21" t="s">
        <v>201</v>
      </c>
      <c r="G21" t="s">
        <v>1770</v>
      </c>
      <c r="H21" t="s">
        <v>201</v>
      </c>
      <c r="I21" t="s">
        <v>1812</v>
      </c>
      <c r="J21" t="str">
        <f t="shared" si="0"/>
        <v>segmented videos list</v>
      </c>
      <c r="K21" s="1"/>
      <c r="L21" s="1"/>
    </row>
    <row r="22" spans="1:12" ht="19" hidden="1">
      <c r="J22" t="str">
        <f t="shared" si="0"/>
        <v>no</v>
      </c>
      <c r="K22" s="1"/>
      <c r="L22" s="1"/>
    </row>
    <row r="23" spans="1:12" ht="19" hidden="1">
      <c r="J23" t="str">
        <f t="shared" si="0"/>
        <v>no</v>
      </c>
      <c r="K23" s="1"/>
      <c r="L23" s="1"/>
    </row>
    <row r="24" spans="1:12" ht="19" hidden="1">
      <c r="J24" t="str">
        <f t="shared" si="0"/>
        <v>no</v>
      </c>
      <c r="K24" s="1"/>
      <c r="L24" s="1"/>
    </row>
    <row r="25" spans="1:12" ht="19" hidden="1">
      <c r="J25" t="str">
        <f t="shared" si="0"/>
        <v>no</v>
      </c>
      <c r="K25" s="1"/>
      <c r="L25" s="1"/>
    </row>
    <row r="26" spans="1:12" ht="19" hidden="1">
      <c r="J26" t="str">
        <f t="shared" si="0"/>
        <v>no</v>
      </c>
      <c r="K26" s="1"/>
      <c r="L26" s="1"/>
    </row>
    <row r="27" spans="1:12" ht="19" hidden="1">
      <c r="J27" t="str">
        <f t="shared" si="0"/>
        <v>no</v>
      </c>
      <c r="K27" s="1"/>
      <c r="L27" s="1"/>
    </row>
    <row r="28" spans="1:12" ht="19" hidden="1">
      <c r="J28" t="str">
        <f t="shared" si="0"/>
        <v>no</v>
      </c>
      <c r="K28" s="1"/>
      <c r="L28" s="1"/>
    </row>
    <row r="29" spans="1:12" ht="19" hidden="1">
      <c r="J29" t="str">
        <f t="shared" si="0"/>
        <v>no</v>
      </c>
      <c r="K29" s="1"/>
      <c r="L29" s="1"/>
    </row>
    <row r="30" spans="1:12" ht="19" hidden="1">
      <c r="J30" t="str">
        <f t="shared" si="0"/>
        <v>no</v>
      </c>
      <c r="K30" s="1"/>
      <c r="L30" s="1"/>
    </row>
    <row r="31" spans="1:12" ht="19" hidden="1">
      <c r="J31" t="str">
        <f t="shared" si="0"/>
        <v>no</v>
      </c>
      <c r="K31" s="1"/>
      <c r="L31" s="1"/>
    </row>
    <row r="32" spans="1:12" ht="19" hidden="1">
      <c r="J32" t="str">
        <f t="shared" si="0"/>
        <v>no</v>
      </c>
      <c r="K32" s="1"/>
      <c r="L32" s="1"/>
    </row>
    <row r="33" spans="10:12" ht="19" hidden="1">
      <c r="J33" t="str">
        <f t="shared" si="0"/>
        <v>no</v>
      </c>
      <c r="K33" s="1"/>
      <c r="L33" s="1"/>
    </row>
    <row r="34" spans="10:12" ht="19" hidden="1">
      <c r="J34" t="str">
        <f t="shared" si="0"/>
        <v>no</v>
      </c>
      <c r="K34" s="1"/>
      <c r="L34" s="1"/>
    </row>
    <row r="35" spans="10:12" ht="19" hidden="1">
      <c r="J35" t="str">
        <f t="shared" si="0"/>
        <v>no</v>
      </c>
      <c r="K35" s="1"/>
      <c r="L35" s="1"/>
    </row>
    <row r="36" spans="10:12" ht="19" hidden="1">
      <c r="J36" t="str">
        <f t="shared" si="0"/>
        <v>no</v>
      </c>
      <c r="K36" s="1"/>
      <c r="L36" s="1"/>
    </row>
    <row r="37" spans="10:12" ht="19" hidden="1">
      <c r="J37" t="str">
        <f t="shared" si="0"/>
        <v>no</v>
      </c>
      <c r="K37" s="1"/>
      <c r="L37" s="1"/>
    </row>
    <row r="38" spans="10:12" ht="19" hidden="1">
      <c r="J38" t="str">
        <f t="shared" si="0"/>
        <v>no</v>
      </c>
      <c r="K38" s="1"/>
      <c r="L38" s="1"/>
    </row>
    <row r="39" spans="10:12" ht="19" hidden="1">
      <c r="J39" t="str">
        <f t="shared" si="0"/>
        <v>no</v>
      </c>
      <c r="K39" s="1"/>
      <c r="L39" s="1"/>
    </row>
    <row r="40" spans="10:12" ht="19" hidden="1">
      <c r="J40" t="str">
        <f t="shared" si="0"/>
        <v>no</v>
      </c>
      <c r="K40" s="1"/>
      <c r="L40" s="1"/>
    </row>
    <row r="41" spans="10:12" ht="19" hidden="1">
      <c r="J41" t="str">
        <f t="shared" si="0"/>
        <v>no</v>
      </c>
      <c r="K41" s="1"/>
      <c r="L41" s="1"/>
    </row>
    <row r="42" spans="10:12" ht="19" hidden="1">
      <c r="J42" t="str">
        <f t="shared" si="0"/>
        <v>no</v>
      </c>
      <c r="K42" s="1"/>
      <c r="L42" s="1"/>
    </row>
    <row r="43" spans="10:12" ht="19" hidden="1">
      <c r="J43" t="str">
        <f t="shared" si="0"/>
        <v>no</v>
      </c>
      <c r="K43" s="1"/>
      <c r="L43" s="1"/>
    </row>
    <row r="44" spans="10:12" ht="19" hidden="1">
      <c r="J44" t="str">
        <f t="shared" si="0"/>
        <v>no</v>
      </c>
      <c r="K44" s="1"/>
      <c r="L44" s="1"/>
    </row>
    <row r="45" spans="10:12" ht="19" hidden="1">
      <c r="J45" t="str">
        <f t="shared" si="0"/>
        <v>no</v>
      </c>
      <c r="K45" s="1"/>
      <c r="L45" s="1"/>
    </row>
    <row r="46" spans="10:12" ht="19" hidden="1">
      <c r="J46" t="str">
        <f t="shared" si="0"/>
        <v>no</v>
      </c>
      <c r="K46" s="1"/>
      <c r="L46" s="1"/>
    </row>
    <row r="47" spans="10:12" ht="19" hidden="1">
      <c r="J47" t="str">
        <f t="shared" si="0"/>
        <v>no</v>
      </c>
      <c r="K47" s="1"/>
      <c r="L47" s="1"/>
    </row>
    <row r="48" spans="10:12" ht="19" hidden="1">
      <c r="J48" t="str">
        <f t="shared" si="0"/>
        <v>no</v>
      </c>
      <c r="K48" s="1"/>
      <c r="L48" s="1"/>
    </row>
    <row r="49" spans="10:12" ht="19" hidden="1">
      <c r="J49" t="str">
        <f t="shared" si="0"/>
        <v>no</v>
      </c>
      <c r="K49" s="1"/>
      <c r="L49" s="1"/>
    </row>
    <row r="50" spans="10:12" ht="19" hidden="1">
      <c r="J50" t="str">
        <f t="shared" si="0"/>
        <v>no</v>
      </c>
      <c r="K50" s="1"/>
      <c r="L50" s="1"/>
    </row>
    <row r="51" spans="10:12" ht="19" hidden="1">
      <c r="J51" t="str">
        <f t="shared" si="0"/>
        <v>no</v>
      </c>
      <c r="K51" s="1"/>
      <c r="L51" s="1"/>
    </row>
    <row r="52" spans="10:12" ht="19" hidden="1">
      <c r="J52" t="str">
        <f t="shared" si="0"/>
        <v>no</v>
      </c>
      <c r="K52" s="1"/>
      <c r="L52" s="1"/>
    </row>
    <row r="53" spans="10:12" ht="19" hidden="1">
      <c r="J53" t="str">
        <f t="shared" si="0"/>
        <v>no</v>
      </c>
      <c r="K53" s="1"/>
      <c r="L53" s="1"/>
    </row>
    <row r="54" spans="10:12" ht="19" hidden="1">
      <c r="J54" t="str">
        <f t="shared" si="0"/>
        <v>no</v>
      </c>
      <c r="K54" s="1"/>
      <c r="L54" s="1"/>
    </row>
    <row r="55" spans="10:12" ht="19" hidden="1">
      <c r="J55" t="str">
        <f t="shared" si="0"/>
        <v>no</v>
      </c>
      <c r="K55" s="1"/>
      <c r="L55" s="1"/>
    </row>
    <row r="56" spans="10:12" ht="19" hidden="1">
      <c r="J56" t="str">
        <f t="shared" si="0"/>
        <v>no</v>
      </c>
      <c r="K56" s="1"/>
      <c r="L56" s="1"/>
    </row>
    <row r="57" spans="10:12" ht="19" hidden="1">
      <c r="J57" t="str">
        <f t="shared" si="0"/>
        <v>no</v>
      </c>
      <c r="K57" s="1"/>
      <c r="L57" s="1"/>
    </row>
    <row r="58" spans="10:12" ht="19" hidden="1">
      <c r="J58" t="str">
        <f t="shared" si="0"/>
        <v>no</v>
      </c>
      <c r="K58" s="1"/>
      <c r="L58" s="1"/>
    </row>
    <row r="59" spans="10:12" ht="19" hidden="1">
      <c r="J59" t="str">
        <f t="shared" si="0"/>
        <v>no</v>
      </c>
      <c r="K59" s="1"/>
      <c r="L59" s="1"/>
    </row>
    <row r="60" spans="10:12" ht="19" hidden="1">
      <c r="J60" t="str">
        <f t="shared" si="0"/>
        <v>no</v>
      </c>
      <c r="K60" s="1"/>
      <c r="L60" s="1"/>
    </row>
    <row r="61" spans="10:12" ht="19" hidden="1">
      <c r="J61" t="str">
        <f t="shared" si="0"/>
        <v>no</v>
      </c>
      <c r="K61" s="1"/>
      <c r="L61" s="1"/>
    </row>
    <row r="62" spans="10:12" ht="19" hidden="1">
      <c r="J62" t="str">
        <f t="shared" si="0"/>
        <v>no</v>
      </c>
      <c r="K62" s="1"/>
      <c r="L62" s="1"/>
    </row>
    <row r="63" spans="10:12" ht="19" hidden="1">
      <c r="J63" t="str">
        <f t="shared" si="0"/>
        <v>no</v>
      </c>
      <c r="K63" s="1"/>
      <c r="L63" s="1"/>
    </row>
    <row r="64" spans="10:12" ht="19" hidden="1">
      <c r="J64" t="str">
        <f t="shared" si="0"/>
        <v>no</v>
      </c>
      <c r="K64" s="1"/>
      <c r="L64" s="1"/>
    </row>
    <row r="65" spans="10:12" ht="19" hidden="1">
      <c r="J65" t="str">
        <f t="shared" si="0"/>
        <v>no</v>
      </c>
      <c r="K65" s="1"/>
      <c r="L65" s="1"/>
    </row>
    <row r="66" spans="10:12" ht="19" hidden="1">
      <c r="J66" t="str">
        <f t="shared" si="0"/>
        <v>no</v>
      </c>
      <c r="K66" s="1"/>
      <c r="L66" s="1"/>
    </row>
    <row r="67" spans="10:12" ht="19" hidden="1">
      <c r="J67" t="str">
        <f t="shared" ref="J67:J130" si="1">IF(COUNTIF(K:K, B67)&gt;0,$K$1,IF(COUNTIF(L:L, B67)&gt;0,$L$1,"no"))</f>
        <v>no</v>
      </c>
      <c r="K67" s="1"/>
      <c r="L67" s="1"/>
    </row>
    <row r="68" spans="10:12" ht="19" hidden="1">
      <c r="J68" t="str">
        <f t="shared" si="1"/>
        <v>no</v>
      </c>
      <c r="K68" s="1"/>
      <c r="L68" s="1"/>
    </row>
    <row r="69" spans="10:12" ht="19" hidden="1">
      <c r="J69" t="str">
        <f t="shared" si="1"/>
        <v>no</v>
      </c>
      <c r="K69" s="1"/>
      <c r="L69" s="1"/>
    </row>
    <row r="70" spans="10:12" ht="19" hidden="1">
      <c r="J70" t="str">
        <f t="shared" si="1"/>
        <v>no</v>
      </c>
      <c r="K70" s="1"/>
      <c r="L70" s="1"/>
    </row>
    <row r="71" spans="10:12" ht="19" hidden="1">
      <c r="J71" t="str">
        <f t="shared" si="1"/>
        <v>no</v>
      </c>
      <c r="K71" s="1"/>
      <c r="L71" s="1"/>
    </row>
    <row r="72" spans="10:12" ht="19" hidden="1">
      <c r="J72" t="str">
        <f t="shared" si="1"/>
        <v>no</v>
      </c>
      <c r="K72" s="1"/>
      <c r="L72" s="1"/>
    </row>
    <row r="73" spans="10:12" ht="19" hidden="1">
      <c r="J73" t="str">
        <f t="shared" si="1"/>
        <v>no</v>
      </c>
      <c r="K73" s="1"/>
      <c r="L73" s="1"/>
    </row>
    <row r="74" spans="10:12" ht="19" hidden="1">
      <c r="J74" t="str">
        <f t="shared" si="1"/>
        <v>no</v>
      </c>
      <c r="K74" s="1"/>
      <c r="L74" s="1"/>
    </row>
    <row r="75" spans="10:12" ht="19" hidden="1">
      <c r="J75" t="str">
        <f t="shared" si="1"/>
        <v>no</v>
      </c>
      <c r="K75" s="1"/>
      <c r="L75" s="1"/>
    </row>
    <row r="76" spans="10:12" ht="19" hidden="1">
      <c r="J76" t="str">
        <f t="shared" si="1"/>
        <v>no</v>
      </c>
      <c r="K76" s="1"/>
      <c r="L76" s="1"/>
    </row>
    <row r="77" spans="10:12" ht="19" hidden="1">
      <c r="J77" t="str">
        <f t="shared" si="1"/>
        <v>no</v>
      </c>
      <c r="K77" s="1"/>
      <c r="L77" s="1"/>
    </row>
    <row r="78" spans="10:12" ht="19" hidden="1">
      <c r="J78" t="str">
        <f t="shared" si="1"/>
        <v>no</v>
      </c>
      <c r="K78" s="1"/>
      <c r="L78" s="1"/>
    </row>
    <row r="79" spans="10:12" ht="19" hidden="1">
      <c r="J79" t="str">
        <f t="shared" si="1"/>
        <v>no</v>
      </c>
      <c r="K79" s="1"/>
      <c r="L79" s="1"/>
    </row>
    <row r="80" spans="10:12" ht="19" hidden="1">
      <c r="J80" t="str">
        <f t="shared" si="1"/>
        <v>no</v>
      </c>
      <c r="K80" s="1"/>
      <c r="L80" s="1"/>
    </row>
    <row r="81" spans="10:10" hidden="1">
      <c r="J81" t="str">
        <f t="shared" si="1"/>
        <v>no</v>
      </c>
    </row>
    <row r="82" spans="10:10" hidden="1">
      <c r="J82" t="str">
        <f t="shared" si="1"/>
        <v>no</v>
      </c>
    </row>
    <row r="83" spans="10:10" hidden="1">
      <c r="J83" t="str">
        <f t="shared" si="1"/>
        <v>no</v>
      </c>
    </row>
    <row r="84" spans="10:10" hidden="1">
      <c r="J84" t="str">
        <f t="shared" si="1"/>
        <v>no</v>
      </c>
    </row>
    <row r="85" spans="10:10" hidden="1">
      <c r="J85" t="str">
        <f t="shared" si="1"/>
        <v>no</v>
      </c>
    </row>
    <row r="86" spans="10:10" hidden="1">
      <c r="J86" t="str">
        <f t="shared" si="1"/>
        <v>no</v>
      </c>
    </row>
    <row r="87" spans="10:10" hidden="1">
      <c r="J87" t="str">
        <f t="shared" si="1"/>
        <v>no</v>
      </c>
    </row>
    <row r="88" spans="10:10" hidden="1">
      <c r="J88" t="str">
        <f t="shared" si="1"/>
        <v>no</v>
      </c>
    </row>
    <row r="89" spans="10:10" hidden="1">
      <c r="J89" t="str">
        <f t="shared" si="1"/>
        <v>no</v>
      </c>
    </row>
    <row r="90" spans="10:10" hidden="1">
      <c r="J90" t="str">
        <f t="shared" si="1"/>
        <v>no</v>
      </c>
    </row>
    <row r="91" spans="10:10" hidden="1">
      <c r="J91" t="str">
        <f t="shared" si="1"/>
        <v>no</v>
      </c>
    </row>
    <row r="92" spans="10:10" hidden="1">
      <c r="J92" t="str">
        <f t="shared" si="1"/>
        <v>no</v>
      </c>
    </row>
    <row r="93" spans="10:10" hidden="1">
      <c r="J93" t="str">
        <f t="shared" si="1"/>
        <v>no</v>
      </c>
    </row>
    <row r="94" spans="10:10" hidden="1">
      <c r="J94" t="str">
        <f t="shared" si="1"/>
        <v>no</v>
      </c>
    </row>
    <row r="95" spans="10:10" hidden="1">
      <c r="J95" t="str">
        <f t="shared" si="1"/>
        <v>no</v>
      </c>
    </row>
    <row r="96" spans="10:10" hidden="1">
      <c r="J96" t="str">
        <f t="shared" si="1"/>
        <v>no</v>
      </c>
    </row>
    <row r="97" spans="10:10" hidden="1">
      <c r="J97" t="str">
        <f t="shared" si="1"/>
        <v>no</v>
      </c>
    </row>
    <row r="98" spans="10:10" hidden="1">
      <c r="J98" t="str">
        <f t="shared" si="1"/>
        <v>no</v>
      </c>
    </row>
    <row r="99" spans="10:10" hidden="1">
      <c r="J99" t="str">
        <f t="shared" si="1"/>
        <v>no</v>
      </c>
    </row>
    <row r="100" spans="10:10" hidden="1">
      <c r="J100" t="str">
        <f t="shared" si="1"/>
        <v>no</v>
      </c>
    </row>
    <row r="101" spans="10:10" hidden="1">
      <c r="J101" t="str">
        <f t="shared" si="1"/>
        <v>no</v>
      </c>
    </row>
    <row r="102" spans="10:10" hidden="1">
      <c r="J102" t="str">
        <f t="shared" si="1"/>
        <v>no</v>
      </c>
    </row>
    <row r="103" spans="10:10" hidden="1">
      <c r="J103" t="str">
        <f t="shared" si="1"/>
        <v>no</v>
      </c>
    </row>
    <row r="104" spans="10:10" hidden="1">
      <c r="J104" t="str">
        <f t="shared" si="1"/>
        <v>no</v>
      </c>
    </row>
    <row r="105" spans="10:10" hidden="1">
      <c r="J105" t="str">
        <f t="shared" si="1"/>
        <v>no</v>
      </c>
    </row>
    <row r="106" spans="10:10" hidden="1">
      <c r="J106" t="str">
        <f t="shared" si="1"/>
        <v>no</v>
      </c>
    </row>
    <row r="107" spans="10:10" hidden="1">
      <c r="J107" t="str">
        <f t="shared" si="1"/>
        <v>no</v>
      </c>
    </row>
    <row r="108" spans="10:10" hidden="1">
      <c r="J108" t="str">
        <f t="shared" si="1"/>
        <v>no</v>
      </c>
    </row>
    <row r="109" spans="10:10" hidden="1">
      <c r="J109" t="str">
        <f t="shared" si="1"/>
        <v>no</v>
      </c>
    </row>
    <row r="110" spans="10:10" hidden="1">
      <c r="J110" t="str">
        <f t="shared" si="1"/>
        <v>no</v>
      </c>
    </row>
    <row r="111" spans="10:10" hidden="1">
      <c r="J111" t="str">
        <f t="shared" si="1"/>
        <v>no</v>
      </c>
    </row>
    <row r="112" spans="10:10" hidden="1">
      <c r="J112" t="str">
        <f t="shared" si="1"/>
        <v>no</v>
      </c>
    </row>
    <row r="113" spans="10:10" hidden="1">
      <c r="J113" t="str">
        <f t="shared" si="1"/>
        <v>no</v>
      </c>
    </row>
    <row r="114" spans="10:10" hidden="1">
      <c r="J114" t="str">
        <f t="shared" si="1"/>
        <v>no</v>
      </c>
    </row>
    <row r="115" spans="10:10" hidden="1">
      <c r="J115" t="str">
        <f t="shared" si="1"/>
        <v>no</v>
      </c>
    </row>
    <row r="116" spans="10:10" hidden="1">
      <c r="J116" t="str">
        <f t="shared" si="1"/>
        <v>no</v>
      </c>
    </row>
    <row r="117" spans="10:10" hidden="1">
      <c r="J117" t="str">
        <f t="shared" si="1"/>
        <v>no</v>
      </c>
    </row>
    <row r="118" spans="10:10" hidden="1">
      <c r="J118" t="str">
        <f t="shared" si="1"/>
        <v>no</v>
      </c>
    </row>
    <row r="119" spans="10:10" hidden="1">
      <c r="J119" t="str">
        <f t="shared" si="1"/>
        <v>no</v>
      </c>
    </row>
    <row r="120" spans="10:10" hidden="1">
      <c r="J120" t="str">
        <f t="shared" si="1"/>
        <v>no</v>
      </c>
    </row>
    <row r="121" spans="10:10" hidden="1">
      <c r="J121" t="str">
        <f t="shared" si="1"/>
        <v>no</v>
      </c>
    </row>
    <row r="122" spans="10:10" hidden="1">
      <c r="J122" t="str">
        <f t="shared" si="1"/>
        <v>no</v>
      </c>
    </row>
    <row r="123" spans="10:10" hidden="1">
      <c r="J123" t="str">
        <f t="shared" si="1"/>
        <v>no</v>
      </c>
    </row>
    <row r="124" spans="10:10" hidden="1">
      <c r="J124" t="str">
        <f t="shared" si="1"/>
        <v>no</v>
      </c>
    </row>
    <row r="125" spans="10:10" hidden="1">
      <c r="J125" t="str">
        <f t="shared" si="1"/>
        <v>no</v>
      </c>
    </row>
    <row r="126" spans="10:10" hidden="1">
      <c r="J126" t="str">
        <f t="shared" si="1"/>
        <v>no</v>
      </c>
    </row>
    <row r="127" spans="10:10" hidden="1">
      <c r="J127" t="str">
        <f t="shared" si="1"/>
        <v>no</v>
      </c>
    </row>
    <row r="128" spans="10:10" hidden="1">
      <c r="J128" t="str">
        <f t="shared" si="1"/>
        <v>no</v>
      </c>
    </row>
    <row r="129" spans="10:10" hidden="1">
      <c r="J129" t="str">
        <f t="shared" si="1"/>
        <v>no</v>
      </c>
    </row>
    <row r="130" spans="10:10" hidden="1">
      <c r="J130" t="str">
        <f t="shared" si="1"/>
        <v>no</v>
      </c>
    </row>
    <row r="131" spans="10:10" hidden="1">
      <c r="J131" t="str">
        <f t="shared" ref="J131:J142" si="2">IF(COUNTIF(K:K, B131)&gt;0,$K$1,IF(COUNTIF(L:L, B131)&gt;0,$L$1,"no"))</f>
        <v>no</v>
      </c>
    </row>
    <row r="132" spans="10:10" hidden="1">
      <c r="J132" t="str">
        <f t="shared" si="2"/>
        <v>no</v>
      </c>
    </row>
    <row r="133" spans="10:10" hidden="1">
      <c r="J133" t="str">
        <f t="shared" si="2"/>
        <v>no</v>
      </c>
    </row>
    <row r="134" spans="10:10" hidden="1">
      <c r="J134" t="str">
        <f t="shared" si="2"/>
        <v>no</v>
      </c>
    </row>
    <row r="135" spans="10:10" hidden="1">
      <c r="J135" t="str">
        <f t="shared" si="2"/>
        <v>no</v>
      </c>
    </row>
    <row r="136" spans="10:10" hidden="1">
      <c r="J136" t="str">
        <f t="shared" si="2"/>
        <v>no</v>
      </c>
    </row>
    <row r="137" spans="10:10" hidden="1">
      <c r="J137" t="str">
        <f t="shared" si="2"/>
        <v>no</v>
      </c>
    </row>
    <row r="138" spans="10:10" hidden="1">
      <c r="J138" t="str">
        <f t="shared" si="2"/>
        <v>no</v>
      </c>
    </row>
    <row r="139" spans="10:10" hidden="1">
      <c r="J139" t="str">
        <f t="shared" si="2"/>
        <v>no</v>
      </c>
    </row>
    <row r="140" spans="10:10" hidden="1">
      <c r="J140" t="str">
        <f t="shared" si="2"/>
        <v>no</v>
      </c>
    </row>
    <row r="141" spans="10:10" hidden="1">
      <c r="J141" t="str">
        <f t="shared" si="2"/>
        <v>no</v>
      </c>
    </row>
    <row r="142" spans="10:10" hidden="1">
      <c r="J142" t="str">
        <f t="shared" si="2"/>
        <v>no</v>
      </c>
    </row>
  </sheetData>
  <autoFilter ref="A1:L142" xr:uid="{B26C63EB-E477-D94E-9C43-79FBA57479F8}">
    <filterColumn colId="4">
      <filters blank="1">
        <filter val="no"/>
      </filters>
    </filterColumn>
    <filterColumn colId="9">
      <filters>
        <filter val="segmented videos list"/>
      </filters>
    </filterColumn>
  </autoFilter>
  <phoneticPr fontId="1" type="noConversion"/>
  <conditionalFormatting sqref="E1:E1048576">
    <cfRule type="cellIs" dxfId="70" priority="3" operator="equal">
      <formula>"no"</formula>
    </cfRule>
    <cfRule type="cellIs" dxfId="69" priority="4" operator="equal">
      <formula>"yes"</formula>
    </cfRule>
  </conditionalFormatting>
  <conditionalFormatting sqref="F2:F142">
    <cfRule type="expression" dxfId="68" priority="2">
      <formula>F2&lt;&gt;E2</formula>
    </cfRule>
  </conditionalFormatting>
  <conditionalFormatting sqref="H2:H142">
    <cfRule type="expression" dxfId="67" priority="1" stopIfTrue="1">
      <formula>H2&lt;&gt;E2</formula>
    </cfRule>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FC69D-5595-5649-A1A5-FDBB1380E780}">
  <sheetPr filterMode="1"/>
  <dimension ref="A1:L142"/>
  <sheetViews>
    <sheetView workbookViewId="0">
      <selection activeCell="J145" sqref="J145"/>
    </sheetView>
  </sheetViews>
  <sheetFormatPr baseColWidth="10" defaultRowHeight="15"/>
  <cols>
    <col min="5" max="5" width="11.33203125" customWidth="1"/>
    <col min="10" max="10" width="14.33203125" customWidth="1"/>
  </cols>
  <sheetData>
    <row r="1" spans="1:12">
      <c r="A1" t="s">
        <v>88</v>
      </c>
      <c r="B1" t="s">
        <v>0</v>
      </c>
      <c r="C1" s="2" t="s">
        <v>202</v>
      </c>
      <c r="D1" t="s">
        <v>6</v>
      </c>
      <c r="E1" t="s">
        <v>1</v>
      </c>
      <c r="F1" t="s">
        <v>4</v>
      </c>
      <c r="G1" t="s">
        <v>1639</v>
      </c>
      <c r="H1" t="s">
        <v>1904</v>
      </c>
      <c r="I1" t="s">
        <v>1819</v>
      </c>
      <c r="J1" t="s">
        <v>1067</v>
      </c>
      <c r="K1" t="s">
        <v>1192</v>
      </c>
      <c r="L1" t="s">
        <v>1105</v>
      </c>
    </row>
    <row r="2" spans="1:12" ht="19">
      <c r="A2">
        <v>1</v>
      </c>
      <c r="B2" s="1" t="s">
        <v>356</v>
      </c>
      <c r="E2" t="s">
        <v>390</v>
      </c>
      <c r="F2" t="s">
        <v>192</v>
      </c>
      <c r="G2" t="s">
        <v>1782</v>
      </c>
      <c r="H2" t="s">
        <v>201</v>
      </c>
      <c r="I2" t="s">
        <v>2029</v>
      </c>
      <c r="J2" t="str">
        <f>IF(COUNTIF(K:K, B2)&gt;0,$K$1,IF(COUNTIF(L:L, B2)&gt;0,$L$1,"no"))</f>
        <v>segmented videos list</v>
      </c>
      <c r="K2" s="1"/>
      <c r="L2" s="1" t="s">
        <v>370</v>
      </c>
    </row>
    <row r="3" spans="1:12" ht="19">
      <c r="A3">
        <v>2</v>
      </c>
      <c r="B3" s="1" t="s">
        <v>357</v>
      </c>
      <c r="E3" t="s">
        <v>390</v>
      </c>
      <c r="F3" t="s">
        <v>192</v>
      </c>
      <c r="G3" t="s">
        <v>1787</v>
      </c>
      <c r="H3" t="s">
        <v>192</v>
      </c>
      <c r="I3" t="s">
        <v>2034</v>
      </c>
      <c r="J3" t="str">
        <f t="shared" ref="J3:J66" si="0">IF(COUNTIF(K:K, B3)&gt;0,$K$1,IF(COUNTIF(L:L, B3)&gt;0,$L$1,"no"))</f>
        <v>segmented videos list</v>
      </c>
      <c r="K3" s="1"/>
      <c r="L3" s="1" t="s">
        <v>385</v>
      </c>
    </row>
    <row r="4" spans="1:12" ht="19">
      <c r="A4">
        <v>3</v>
      </c>
      <c r="B4" s="1" t="s">
        <v>358</v>
      </c>
      <c r="E4" t="s">
        <v>390</v>
      </c>
      <c r="F4" t="s">
        <v>192</v>
      </c>
      <c r="G4" t="s">
        <v>1797</v>
      </c>
      <c r="H4" t="s">
        <v>192</v>
      </c>
      <c r="I4" t="s">
        <v>2043</v>
      </c>
      <c r="J4" t="str">
        <f t="shared" si="0"/>
        <v>segmented videos list</v>
      </c>
      <c r="K4" s="1"/>
      <c r="L4" s="1" t="s">
        <v>361</v>
      </c>
    </row>
    <row r="5" spans="1:12" ht="19" hidden="1">
      <c r="A5">
        <v>4</v>
      </c>
      <c r="B5" s="1" t="s">
        <v>359</v>
      </c>
      <c r="E5" t="s">
        <v>390</v>
      </c>
      <c r="F5" t="s">
        <v>1717</v>
      </c>
      <c r="G5" t="e">
        <v>#N/A</v>
      </c>
      <c r="H5" t="s">
        <v>1717</v>
      </c>
      <c r="I5" t="e">
        <v>#N/A</v>
      </c>
      <c r="J5" t="str">
        <f t="shared" si="0"/>
        <v>no</v>
      </c>
      <c r="K5" s="1"/>
      <c r="L5" s="1" t="s">
        <v>371</v>
      </c>
    </row>
    <row r="6" spans="1:12" ht="19">
      <c r="A6">
        <v>5</v>
      </c>
      <c r="B6" s="1" t="s">
        <v>360</v>
      </c>
      <c r="E6" t="s">
        <v>390</v>
      </c>
      <c r="F6" t="s">
        <v>201</v>
      </c>
      <c r="G6" t="s">
        <v>1786</v>
      </c>
      <c r="H6" t="s">
        <v>201</v>
      </c>
      <c r="I6" t="s">
        <v>2033</v>
      </c>
      <c r="J6" t="str">
        <f t="shared" si="0"/>
        <v>segmented videos list</v>
      </c>
      <c r="K6" s="1"/>
      <c r="L6" s="1" t="s">
        <v>386</v>
      </c>
    </row>
    <row r="7" spans="1:12" ht="19">
      <c r="A7">
        <v>6</v>
      </c>
      <c r="B7" s="1" t="s">
        <v>361</v>
      </c>
      <c r="E7" t="s">
        <v>390</v>
      </c>
      <c r="F7" t="s">
        <v>201</v>
      </c>
      <c r="G7" t="s">
        <v>1792</v>
      </c>
      <c r="H7" t="s">
        <v>201</v>
      </c>
      <c r="I7" t="s">
        <v>2039</v>
      </c>
      <c r="J7" t="str">
        <f t="shared" si="0"/>
        <v>segmented videos list</v>
      </c>
      <c r="K7" s="1"/>
      <c r="L7" s="1" t="s">
        <v>364</v>
      </c>
    </row>
    <row r="8" spans="1:12" ht="19" hidden="1">
      <c r="A8">
        <v>7</v>
      </c>
      <c r="B8" s="1" t="s">
        <v>362</v>
      </c>
      <c r="E8" t="s">
        <v>390</v>
      </c>
      <c r="F8" t="s">
        <v>1717</v>
      </c>
      <c r="G8" t="e">
        <v>#N/A</v>
      </c>
      <c r="H8" t="s">
        <v>1717</v>
      </c>
      <c r="I8" t="e">
        <v>#N/A</v>
      </c>
      <c r="J8" t="str">
        <f t="shared" si="0"/>
        <v>no</v>
      </c>
      <c r="K8" s="1"/>
      <c r="L8" s="1" t="s">
        <v>372</v>
      </c>
    </row>
    <row r="9" spans="1:12" ht="19" hidden="1">
      <c r="A9">
        <v>8</v>
      </c>
      <c r="B9" s="1" t="s">
        <v>363</v>
      </c>
      <c r="E9" t="s">
        <v>390</v>
      </c>
      <c r="F9" t="s">
        <v>1717</v>
      </c>
      <c r="G9" t="e">
        <v>#N/A</v>
      </c>
      <c r="H9" t="s">
        <v>1717</v>
      </c>
      <c r="I9" t="e">
        <v>#N/A</v>
      </c>
      <c r="J9" t="str">
        <f t="shared" si="0"/>
        <v>no</v>
      </c>
      <c r="K9" s="1"/>
      <c r="L9" s="1" t="s">
        <v>387</v>
      </c>
    </row>
    <row r="10" spans="1:12" ht="19">
      <c r="A10">
        <v>9</v>
      </c>
      <c r="B10" s="1" t="s">
        <v>364</v>
      </c>
      <c r="E10" t="s">
        <v>390</v>
      </c>
      <c r="F10" t="s">
        <v>192</v>
      </c>
      <c r="G10" t="s">
        <v>1794</v>
      </c>
      <c r="H10" t="s">
        <v>192</v>
      </c>
      <c r="I10" t="s">
        <v>2041</v>
      </c>
      <c r="J10" t="str">
        <f t="shared" si="0"/>
        <v>segmented videos list</v>
      </c>
      <c r="K10" s="1"/>
      <c r="L10" s="1" t="s">
        <v>365</v>
      </c>
    </row>
    <row r="11" spans="1:12" ht="19">
      <c r="A11">
        <v>10</v>
      </c>
      <c r="B11" s="1" t="s">
        <v>365</v>
      </c>
      <c r="E11" t="s">
        <v>390</v>
      </c>
      <c r="F11" t="s">
        <v>201</v>
      </c>
      <c r="G11" t="s">
        <v>1776</v>
      </c>
      <c r="H11" t="s">
        <v>192</v>
      </c>
      <c r="I11" t="s">
        <v>2023</v>
      </c>
      <c r="J11" t="str">
        <f t="shared" si="0"/>
        <v>segmented videos list</v>
      </c>
      <c r="K11" s="1"/>
      <c r="L11" s="1" t="s">
        <v>373</v>
      </c>
    </row>
    <row r="12" spans="1:12" ht="19">
      <c r="A12">
        <v>11</v>
      </c>
      <c r="B12" s="1" t="s">
        <v>366</v>
      </c>
      <c r="E12" t="s">
        <v>390</v>
      </c>
      <c r="F12" t="s">
        <v>201</v>
      </c>
      <c r="G12" t="s">
        <v>1791</v>
      </c>
      <c r="H12" t="s">
        <v>201</v>
      </c>
      <c r="I12" t="s">
        <v>2038</v>
      </c>
      <c r="J12" t="str">
        <f t="shared" si="0"/>
        <v>segmented videos list</v>
      </c>
      <c r="K12" s="1"/>
      <c r="L12" s="1" t="s">
        <v>388</v>
      </c>
    </row>
    <row r="13" spans="1:12" ht="19">
      <c r="A13">
        <v>12</v>
      </c>
      <c r="B13" s="1" t="s">
        <v>367</v>
      </c>
      <c r="E13" t="s">
        <v>390</v>
      </c>
      <c r="F13" t="s">
        <v>201</v>
      </c>
      <c r="G13" t="s">
        <v>1790</v>
      </c>
      <c r="H13" t="s">
        <v>192</v>
      </c>
      <c r="I13" t="s">
        <v>2037</v>
      </c>
      <c r="J13" t="str">
        <f t="shared" si="0"/>
        <v>segmented videos list</v>
      </c>
      <c r="K13" s="1"/>
      <c r="L13" s="1" t="s">
        <v>366</v>
      </c>
    </row>
    <row r="14" spans="1:12" ht="19" hidden="1">
      <c r="A14">
        <v>13</v>
      </c>
      <c r="B14" s="1" t="s">
        <v>368</v>
      </c>
      <c r="E14" t="s">
        <v>390</v>
      </c>
      <c r="F14" t="s">
        <v>1717</v>
      </c>
      <c r="G14" t="e">
        <v>#N/A</v>
      </c>
      <c r="H14" t="s">
        <v>1717</v>
      </c>
      <c r="I14" t="e">
        <v>#N/A</v>
      </c>
      <c r="J14" t="str">
        <f t="shared" si="0"/>
        <v>no</v>
      </c>
      <c r="K14" s="1"/>
      <c r="L14" s="1" t="s">
        <v>379</v>
      </c>
    </row>
    <row r="15" spans="1:12" ht="19">
      <c r="A15">
        <v>14</v>
      </c>
      <c r="B15" s="1" t="s">
        <v>369</v>
      </c>
      <c r="E15" t="s">
        <v>390</v>
      </c>
      <c r="F15" t="s">
        <v>192</v>
      </c>
      <c r="G15" t="s">
        <v>1778</v>
      </c>
      <c r="H15" t="s">
        <v>192</v>
      </c>
      <c r="I15" t="s">
        <v>2025</v>
      </c>
      <c r="J15" t="str">
        <f t="shared" si="0"/>
        <v>segmented videos list</v>
      </c>
      <c r="K15" s="1"/>
      <c r="L15" s="1" t="s">
        <v>389</v>
      </c>
    </row>
    <row r="16" spans="1:12" ht="19">
      <c r="A16">
        <v>15</v>
      </c>
      <c r="B16" s="1" t="s">
        <v>370</v>
      </c>
      <c r="E16" t="s">
        <v>390</v>
      </c>
      <c r="F16" t="s">
        <v>201</v>
      </c>
      <c r="G16" t="s">
        <v>1785</v>
      </c>
      <c r="H16" t="s">
        <v>201</v>
      </c>
      <c r="I16" t="s">
        <v>2032</v>
      </c>
      <c r="J16" t="str">
        <f t="shared" si="0"/>
        <v>segmented videos list</v>
      </c>
      <c r="K16" s="1"/>
      <c r="L16" s="1" t="s">
        <v>367</v>
      </c>
    </row>
    <row r="17" spans="1:12" ht="19">
      <c r="A17">
        <v>16</v>
      </c>
      <c r="B17" s="1" t="s">
        <v>371</v>
      </c>
      <c r="E17" t="s">
        <v>390</v>
      </c>
      <c r="F17" t="s">
        <v>192</v>
      </c>
      <c r="G17" t="s">
        <v>1798</v>
      </c>
      <c r="H17" t="s">
        <v>192</v>
      </c>
      <c r="I17" t="s">
        <v>2044</v>
      </c>
      <c r="J17" t="str">
        <f t="shared" si="0"/>
        <v>segmented videos list</v>
      </c>
      <c r="K17" s="1"/>
      <c r="L17" s="1" t="s">
        <v>380</v>
      </c>
    </row>
    <row r="18" spans="1:12" ht="19">
      <c r="A18">
        <v>17</v>
      </c>
      <c r="B18" s="1" t="s">
        <v>372</v>
      </c>
      <c r="E18" t="s">
        <v>390</v>
      </c>
      <c r="F18" t="s">
        <v>201</v>
      </c>
      <c r="G18" t="s">
        <v>1783</v>
      </c>
      <c r="H18" t="s">
        <v>192</v>
      </c>
      <c r="I18" t="s">
        <v>2030</v>
      </c>
      <c r="J18" t="str">
        <f t="shared" si="0"/>
        <v>segmented videos list</v>
      </c>
      <c r="K18" s="1"/>
      <c r="L18" s="1" t="s">
        <v>356</v>
      </c>
    </row>
    <row r="19" spans="1:12" ht="19">
      <c r="A19">
        <v>18</v>
      </c>
      <c r="B19" s="1" t="s">
        <v>373</v>
      </c>
      <c r="E19" t="s">
        <v>390</v>
      </c>
      <c r="F19" t="s">
        <v>192</v>
      </c>
      <c r="G19" t="s">
        <v>1799</v>
      </c>
      <c r="H19" t="s">
        <v>192</v>
      </c>
      <c r="I19" t="s">
        <v>2045</v>
      </c>
      <c r="J19" t="str">
        <f t="shared" si="0"/>
        <v>segmented videos list</v>
      </c>
      <c r="K19" s="1"/>
      <c r="L19" s="1" t="s">
        <v>369</v>
      </c>
    </row>
    <row r="20" spans="1:12" ht="19" hidden="1">
      <c r="A20">
        <v>19</v>
      </c>
      <c r="B20" s="1" t="s">
        <v>374</v>
      </c>
      <c r="E20" t="s">
        <v>390</v>
      </c>
      <c r="F20" t="s">
        <v>1717</v>
      </c>
      <c r="G20" t="e">
        <v>#N/A</v>
      </c>
      <c r="H20" t="s">
        <v>1717</v>
      </c>
      <c r="I20" t="e">
        <v>#N/A</v>
      </c>
      <c r="J20" t="str">
        <f t="shared" si="0"/>
        <v>no</v>
      </c>
      <c r="K20" s="1"/>
      <c r="L20" s="1" t="s">
        <v>381</v>
      </c>
    </row>
    <row r="21" spans="1:12" ht="19" hidden="1">
      <c r="A21">
        <v>20</v>
      </c>
      <c r="B21" s="1" t="s">
        <v>375</v>
      </c>
      <c r="E21" t="s">
        <v>390</v>
      </c>
      <c r="F21" t="s">
        <v>1717</v>
      </c>
      <c r="G21" t="e">
        <v>#N/A</v>
      </c>
      <c r="H21" t="s">
        <v>1717</v>
      </c>
      <c r="I21" t="e">
        <v>#N/A</v>
      </c>
      <c r="J21" t="str">
        <f t="shared" si="0"/>
        <v>no</v>
      </c>
      <c r="K21" s="1"/>
      <c r="L21" s="1" t="s">
        <v>357</v>
      </c>
    </row>
    <row r="22" spans="1:12" ht="19" hidden="1">
      <c r="A22">
        <v>21</v>
      </c>
      <c r="B22" s="1" t="s">
        <v>376</v>
      </c>
      <c r="E22" t="s">
        <v>390</v>
      </c>
      <c r="F22" t="s">
        <v>1717</v>
      </c>
      <c r="G22" t="e">
        <v>#N/A</v>
      </c>
      <c r="H22" t="s">
        <v>1717</v>
      </c>
      <c r="I22" t="e">
        <v>#N/A</v>
      </c>
      <c r="J22" t="str">
        <f t="shared" si="0"/>
        <v>no</v>
      </c>
      <c r="K22" s="1"/>
      <c r="L22" s="1" t="s">
        <v>1292</v>
      </c>
    </row>
    <row r="23" spans="1:12" ht="19" hidden="1">
      <c r="A23">
        <v>22</v>
      </c>
      <c r="B23" s="1" t="s">
        <v>377</v>
      </c>
      <c r="E23" t="s">
        <v>390</v>
      </c>
      <c r="F23" t="s">
        <v>1717</v>
      </c>
      <c r="G23" t="e">
        <v>#N/A</v>
      </c>
      <c r="H23" t="s">
        <v>1717</v>
      </c>
      <c r="I23" t="e">
        <v>#N/A</v>
      </c>
      <c r="J23" t="str">
        <f t="shared" si="0"/>
        <v>no</v>
      </c>
      <c r="K23" s="1"/>
      <c r="L23" s="1" t="s">
        <v>382</v>
      </c>
    </row>
    <row r="24" spans="1:12" ht="19" hidden="1">
      <c r="A24">
        <v>23</v>
      </c>
      <c r="B24" s="1" t="s">
        <v>378</v>
      </c>
      <c r="E24" t="s">
        <v>390</v>
      </c>
      <c r="F24" t="s">
        <v>1717</v>
      </c>
      <c r="G24" t="e">
        <v>#N/A</v>
      </c>
      <c r="H24" t="s">
        <v>1717</v>
      </c>
      <c r="I24" t="e">
        <v>#N/A</v>
      </c>
      <c r="J24" t="str">
        <f t="shared" si="0"/>
        <v>no</v>
      </c>
      <c r="K24" s="1"/>
      <c r="L24" s="1" t="s">
        <v>358</v>
      </c>
    </row>
    <row r="25" spans="1:12" ht="19">
      <c r="A25">
        <v>24</v>
      </c>
      <c r="B25" s="1" t="s">
        <v>379</v>
      </c>
      <c r="E25" t="s">
        <v>390</v>
      </c>
      <c r="F25" t="s">
        <v>201</v>
      </c>
      <c r="G25" t="s">
        <v>1795</v>
      </c>
      <c r="H25" t="s">
        <v>201</v>
      </c>
      <c r="I25" t="s">
        <v>2020</v>
      </c>
      <c r="J25" t="str">
        <f t="shared" si="0"/>
        <v>segmented videos list</v>
      </c>
      <c r="K25" s="1"/>
      <c r="L25" s="1" t="s">
        <v>384</v>
      </c>
    </row>
    <row r="26" spans="1:12" ht="19">
      <c r="A26">
        <v>25</v>
      </c>
      <c r="B26" s="1" t="s">
        <v>380</v>
      </c>
      <c r="E26" t="s">
        <v>390</v>
      </c>
      <c r="F26" t="s">
        <v>201</v>
      </c>
      <c r="G26" t="s">
        <v>1784</v>
      </c>
      <c r="H26" t="s">
        <v>201</v>
      </c>
      <c r="I26" t="s">
        <v>2031</v>
      </c>
      <c r="J26" t="str">
        <f t="shared" si="0"/>
        <v>segmented videos list</v>
      </c>
      <c r="K26" s="1"/>
      <c r="L26" s="1" t="s">
        <v>360</v>
      </c>
    </row>
    <row r="27" spans="1:12" ht="19">
      <c r="A27">
        <v>26</v>
      </c>
      <c r="B27" s="1" t="s">
        <v>381</v>
      </c>
      <c r="E27" t="s">
        <v>390</v>
      </c>
      <c r="F27" t="s">
        <v>201</v>
      </c>
      <c r="G27" t="s">
        <v>1781</v>
      </c>
      <c r="H27" t="s">
        <v>201</v>
      </c>
      <c r="I27" t="s">
        <v>2028</v>
      </c>
      <c r="J27" t="str">
        <f t="shared" si="0"/>
        <v>segmented videos list</v>
      </c>
      <c r="K27" s="1"/>
      <c r="L27" s="1"/>
    </row>
    <row r="28" spans="1:12" ht="19">
      <c r="A28">
        <v>27</v>
      </c>
      <c r="B28" s="1" t="s">
        <v>382</v>
      </c>
      <c r="E28" t="s">
        <v>390</v>
      </c>
      <c r="F28" t="s">
        <v>201</v>
      </c>
      <c r="G28" t="s">
        <v>1779</v>
      </c>
      <c r="H28" t="s">
        <v>192</v>
      </c>
      <c r="I28" t="s">
        <v>2026</v>
      </c>
      <c r="J28" t="str">
        <f t="shared" si="0"/>
        <v>segmented videos list</v>
      </c>
      <c r="K28" s="1"/>
      <c r="L28" s="1"/>
    </row>
    <row r="29" spans="1:12" ht="19" hidden="1">
      <c r="A29">
        <v>28</v>
      </c>
      <c r="B29" s="1" t="s">
        <v>383</v>
      </c>
      <c r="E29" t="s">
        <v>390</v>
      </c>
      <c r="F29" t="s">
        <v>1717</v>
      </c>
      <c r="G29" t="e">
        <v>#N/A</v>
      </c>
      <c r="H29" t="s">
        <v>1717</v>
      </c>
      <c r="I29" t="e">
        <v>#N/A</v>
      </c>
      <c r="J29" t="str">
        <f t="shared" si="0"/>
        <v>no</v>
      </c>
      <c r="K29" s="1"/>
      <c r="L29" s="1"/>
    </row>
    <row r="30" spans="1:12" ht="19">
      <c r="A30">
        <v>29</v>
      </c>
      <c r="B30" s="1" t="s">
        <v>384</v>
      </c>
      <c r="E30" t="s">
        <v>390</v>
      </c>
      <c r="F30" t="s">
        <v>192</v>
      </c>
      <c r="G30" t="s">
        <v>1796</v>
      </c>
      <c r="H30" t="s">
        <v>192</v>
      </c>
      <c r="I30" t="s">
        <v>2042</v>
      </c>
      <c r="J30" t="str">
        <f t="shared" si="0"/>
        <v>segmented videos list</v>
      </c>
      <c r="K30" s="1"/>
      <c r="L30" s="1"/>
    </row>
    <row r="31" spans="1:12" ht="19">
      <c r="A31">
        <v>30</v>
      </c>
      <c r="B31" s="1" t="s">
        <v>385</v>
      </c>
      <c r="E31" t="s">
        <v>390</v>
      </c>
      <c r="F31" t="s">
        <v>192</v>
      </c>
      <c r="G31" t="s">
        <v>1789</v>
      </c>
      <c r="H31" t="s">
        <v>192</v>
      </c>
      <c r="I31" t="s">
        <v>2036</v>
      </c>
      <c r="J31" t="str">
        <f t="shared" si="0"/>
        <v>segmented videos list</v>
      </c>
      <c r="K31" s="1"/>
      <c r="L31" s="1"/>
    </row>
    <row r="32" spans="1:12" ht="19">
      <c r="A32">
        <v>31</v>
      </c>
      <c r="B32" s="1" t="s">
        <v>386</v>
      </c>
      <c r="E32" t="s">
        <v>390</v>
      </c>
      <c r="F32" t="s">
        <v>192</v>
      </c>
      <c r="G32" t="s">
        <v>1777</v>
      </c>
      <c r="H32" t="s">
        <v>192</v>
      </c>
      <c r="I32" t="s">
        <v>2024</v>
      </c>
      <c r="J32" t="str">
        <f t="shared" si="0"/>
        <v>segmented videos list</v>
      </c>
      <c r="K32" s="1"/>
      <c r="L32" s="1"/>
    </row>
    <row r="33" spans="1:12" ht="19">
      <c r="A33">
        <v>32</v>
      </c>
      <c r="B33" s="1" t="s">
        <v>387</v>
      </c>
      <c r="E33" t="s">
        <v>390</v>
      </c>
      <c r="F33" t="s">
        <v>201</v>
      </c>
      <c r="G33" t="s">
        <v>1793</v>
      </c>
      <c r="H33" t="s">
        <v>201</v>
      </c>
      <c r="I33" t="s">
        <v>2040</v>
      </c>
      <c r="J33" t="str">
        <f t="shared" si="0"/>
        <v>segmented videos list</v>
      </c>
      <c r="K33" s="1"/>
      <c r="L33" s="1"/>
    </row>
    <row r="34" spans="1:12" ht="19">
      <c r="A34">
        <v>33</v>
      </c>
      <c r="B34" s="1" t="s">
        <v>388</v>
      </c>
      <c r="E34" t="s">
        <v>390</v>
      </c>
      <c r="F34" t="s">
        <v>192</v>
      </c>
      <c r="G34" t="s">
        <v>1780</v>
      </c>
      <c r="H34" t="s">
        <v>201</v>
      </c>
      <c r="I34" t="s">
        <v>2027</v>
      </c>
      <c r="J34" t="str">
        <f t="shared" si="0"/>
        <v>segmented videos list</v>
      </c>
      <c r="K34" s="1"/>
      <c r="L34" s="1"/>
    </row>
    <row r="35" spans="1:12" ht="19">
      <c r="A35">
        <v>34</v>
      </c>
      <c r="B35" s="1" t="s">
        <v>389</v>
      </c>
      <c r="E35" t="s">
        <v>390</v>
      </c>
      <c r="F35" t="s">
        <v>192</v>
      </c>
      <c r="G35" t="s">
        <v>1788</v>
      </c>
      <c r="H35" t="s">
        <v>192</v>
      </c>
      <c r="I35" t="s">
        <v>2035</v>
      </c>
      <c r="J35" t="str">
        <f t="shared" si="0"/>
        <v>segmented videos list</v>
      </c>
      <c r="K35" s="1"/>
      <c r="L35" s="1"/>
    </row>
    <row r="36" spans="1:12" ht="19" hidden="1">
      <c r="B36" s="1"/>
      <c r="J36" t="str">
        <f t="shared" si="0"/>
        <v>no</v>
      </c>
      <c r="K36" s="1"/>
      <c r="L36" s="1"/>
    </row>
    <row r="37" spans="1:12" ht="19" hidden="1">
      <c r="B37" s="1"/>
      <c r="J37" t="str">
        <f t="shared" si="0"/>
        <v>no</v>
      </c>
      <c r="K37" s="1"/>
      <c r="L37" s="1"/>
    </row>
    <row r="38" spans="1:12" ht="19" hidden="1">
      <c r="B38" s="1"/>
      <c r="J38" t="str">
        <f t="shared" si="0"/>
        <v>no</v>
      </c>
      <c r="K38" s="1"/>
      <c r="L38" s="1"/>
    </row>
    <row r="39" spans="1:12" ht="19" hidden="1">
      <c r="B39" s="1"/>
      <c r="J39" t="str">
        <f t="shared" si="0"/>
        <v>no</v>
      </c>
      <c r="K39" s="1"/>
      <c r="L39" s="1"/>
    </row>
    <row r="40" spans="1:12" ht="19" hidden="1">
      <c r="B40" s="1"/>
      <c r="J40" t="str">
        <f t="shared" si="0"/>
        <v>no</v>
      </c>
      <c r="K40" s="1"/>
      <c r="L40" s="1"/>
    </row>
    <row r="41" spans="1:12" ht="19" hidden="1">
      <c r="B41" s="1"/>
      <c r="J41" t="str">
        <f t="shared" si="0"/>
        <v>no</v>
      </c>
      <c r="K41" s="1"/>
      <c r="L41" s="1"/>
    </row>
    <row r="42" spans="1:12" ht="19" hidden="1">
      <c r="B42" s="1"/>
      <c r="J42" t="str">
        <f t="shared" si="0"/>
        <v>no</v>
      </c>
      <c r="K42" s="1"/>
      <c r="L42" s="1"/>
    </row>
    <row r="43" spans="1:12" ht="19" hidden="1">
      <c r="B43" s="1"/>
      <c r="J43" t="str">
        <f t="shared" si="0"/>
        <v>no</v>
      </c>
      <c r="K43" s="1"/>
      <c r="L43" s="1"/>
    </row>
    <row r="44" spans="1:12" ht="19" hidden="1">
      <c r="B44" s="1"/>
      <c r="J44" t="str">
        <f t="shared" si="0"/>
        <v>no</v>
      </c>
      <c r="K44" s="1"/>
      <c r="L44" s="1"/>
    </row>
    <row r="45" spans="1:12" ht="19" hidden="1">
      <c r="B45" s="1"/>
      <c r="J45" t="str">
        <f t="shared" si="0"/>
        <v>no</v>
      </c>
      <c r="K45" s="1"/>
      <c r="L45" s="1"/>
    </row>
    <row r="46" spans="1:12" ht="19" hidden="1">
      <c r="B46" s="1"/>
      <c r="J46" t="str">
        <f t="shared" si="0"/>
        <v>no</v>
      </c>
      <c r="K46" s="1"/>
      <c r="L46" s="1"/>
    </row>
    <row r="47" spans="1:12" ht="19" hidden="1">
      <c r="B47" s="1"/>
      <c r="J47" t="str">
        <f t="shared" si="0"/>
        <v>no</v>
      </c>
      <c r="K47" s="1"/>
      <c r="L47" s="1"/>
    </row>
    <row r="48" spans="1:12" ht="19" hidden="1">
      <c r="B48" s="1"/>
      <c r="J48" t="str">
        <f t="shared" si="0"/>
        <v>no</v>
      </c>
      <c r="K48" s="1"/>
      <c r="L48" s="1"/>
    </row>
    <row r="49" spans="2:12" ht="19" hidden="1">
      <c r="B49" s="1"/>
      <c r="J49" t="str">
        <f t="shared" si="0"/>
        <v>no</v>
      </c>
      <c r="K49" s="1"/>
      <c r="L49" s="1"/>
    </row>
    <row r="50" spans="2:12" ht="19" hidden="1">
      <c r="B50" s="1"/>
      <c r="J50" t="str">
        <f t="shared" si="0"/>
        <v>no</v>
      </c>
      <c r="K50" s="1"/>
      <c r="L50" s="1"/>
    </row>
    <row r="51" spans="2:12" ht="19" hidden="1">
      <c r="B51" s="1"/>
      <c r="J51" t="str">
        <f t="shared" si="0"/>
        <v>no</v>
      </c>
      <c r="K51" s="1"/>
      <c r="L51" s="1"/>
    </row>
    <row r="52" spans="2:12" ht="19" hidden="1">
      <c r="B52" s="1"/>
      <c r="J52" t="str">
        <f t="shared" si="0"/>
        <v>no</v>
      </c>
      <c r="K52" s="1"/>
      <c r="L52" s="1"/>
    </row>
    <row r="53" spans="2:12" ht="19" hidden="1">
      <c r="B53" s="1"/>
      <c r="J53" t="str">
        <f t="shared" si="0"/>
        <v>no</v>
      </c>
      <c r="K53" s="1"/>
      <c r="L53" s="1"/>
    </row>
    <row r="54" spans="2:12" ht="19" hidden="1">
      <c r="B54" s="1"/>
      <c r="J54" t="str">
        <f t="shared" si="0"/>
        <v>no</v>
      </c>
      <c r="K54" s="1"/>
      <c r="L54" s="1"/>
    </row>
    <row r="55" spans="2:12" ht="19" hidden="1">
      <c r="B55" s="1"/>
      <c r="J55" t="str">
        <f t="shared" si="0"/>
        <v>no</v>
      </c>
      <c r="K55" s="1"/>
      <c r="L55" s="1"/>
    </row>
    <row r="56" spans="2:12" ht="19" hidden="1">
      <c r="B56" s="1"/>
      <c r="J56" t="str">
        <f t="shared" si="0"/>
        <v>no</v>
      </c>
      <c r="K56" s="1"/>
      <c r="L56" s="1"/>
    </row>
    <row r="57" spans="2:12" ht="19" hidden="1">
      <c r="J57" t="str">
        <f t="shared" si="0"/>
        <v>no</v>
      </c>
      <c r="K57" s="1"/>
      <c r="L57" s="1"/>
    </row>
    <row r="58" spans="2:12" ht="19" hidden="1">
      <c r="J58" t="str">
        <f t="shared" si="0"/>
        <v>no</v>
      </c>
      <c r="K58" s="1"/>
      <c r="L58" s="1"/>
    </row>
    <row r="59" spans="2:12" ht="19" hidden="1">
      <c r="J59" t="str">
        <f t="shared" si="0"/>
        <v>no</v>
      </c>
      <c r="K59" s="1"/>
      <c r="L59" s="1"/>
    </row>
    <row r="60" spans="2:12" ht="19" hidden="1">
      <c r="J60" t="str">
        <f t="shared" si="0"/>
        <v>no</v>
      </c>
      <c r="K60" s="1"/>
      <c r="L60" s="1"/>
    </row>
    <row r="61" spans="2:12" ht="19" hidden="1">
      <c r="J61" t="str">
        <f t="shared" si="0"/>
        <v>no</v>
      </c>
      <c r="K61" s="1"/>
      <c r="L61" s="1"/>
    </row>
    <row r="62" spans="2:12" ht="19" hidden="1">
      <c r="J62" t="str">
        <f t="shared" si="0"/>
        <v>no</v>
      </c>
      <c r="K62" s="1"/>
      <c r="L62" s="1"/>
    </row>
    <row r="63" spans="2:12" ht="19" hidden="1">
      <c r="J63" t="str">
        <f t="shared" si="0"/>
        <v>no</v>
      </c>
      <c r="K63" s="1"/>
      <c r="L63" s="1"/>
    </row>
    <row r="64" spans="2:12" ht="19" hidden="1">
      <c r="J64" t="str">
        <f t="shared" si="0"/>
        <v>no</v>
      </c>
      <c r="K64" s="1"/>
      <c r="L64" s="1"/>
    </row>
    <row r="65" spans="10:12" ht="19" hidden="1">
      <c r="J65" t="str">
        <f t="shared" si="0"/>
        <v>no</v>
      </c>
      <c r="K65" s="1"/>
      <c r="L65" s="1"/>
    </row>
    <row r="66" spans="10:12" ht="19" hidden="1">
      <c r="J66" t="str">
        <f t="shared" si="0"/>
        <v>no</v>
      </c>
      <c r="K66" s="1"/>
      <c r="L66" s="1"/>
    </row>
    <row r="67" spans="10:12" ht="19" hidden="1">
      <c r="J67" t="str">
        <f t="shared" ref="J67:J130" si="1">IF(COUNTIF(K:K, B67)&gt;0,$K$1,IF(COUNTIF(L:L, B67)&gt;0,$L$1,"no"))</f>
        <v>no</v>
      </c>
      <c r="K67" s="1"/>
      <c r="L67" s="1"/>
    </row>
    <row r="68" spans="10:12" ht="19" hidden="1">
      <c r="J68" t="str">
        <f t="shared" si="1"/>
        <v>no</v>
      </c>
      <c r="K68" s="1"/>
      <c r="L68" s="1"/>
    </row>
    <row r="69" spans="10:12" ht="19" hidden="1">
      <c r="J69" t="str">
        <f t="shared" si="1"/>
        <v>no</v>
      </c>
      <c r="K69" s="1"/>
      <c r="L69" s="1"/>
    </row>
    <row r="70" spans="10:12" ht="19" hidden="1">
      <c r="J70" t="str">
        <f t="shared" si="1"/>
        <v>no</v>
      </c>
      <c r="K70" s="1"/>
      <c r="L70" s="1"/>
    </row>
    <row r="71" spans="10:12" ht="19" hidden="1">
      <c r="J71" t="str">
        <f t="shared" si="1"/>
        <v>no</v>
      </c>
      <c r="K71" s="1"/>
      <c r="L71" s="1"/>
    </row>
    <row r="72" spans="10:12" ht="19" hidden="1">
      <c r="J72" t="str">
        <f t="shared" si="1"/>
        <v>no</v>
      </c>
      <c r="K72" s="1"/>
      <c r="L72" s="1"/>
    </row>
    <row r="73" spans="10:12" ht="19" hidden="1">
      <c r="J73" t="str">
        <f t="shared" si="1"/>
        <v>no</v>
      </c>
      <c r="K73" s="1"/>
      <c r="L73" s="1"/>
    </row>
    <row r="74" spans="10:12" ht="19" hidden="1">
      <c r="J74" t="str">
        <f t="shared" si="1"/>
        <v>no</v>
      </c>
      <c r="K74" s="1"/>
      <c r="L74" s="1"/>
    </row>
    <row r="75" spans="10:12" ht="19" hidden="1">
      <c r="J75" t="str">
        <f t="shared" si="1"/>
        <v>no</v>
      </c>
      <c r="K75" s="1"/>
      <c r="L75" s="1"/>
    </row>
    <row r="76" spans="10:12" ht="19" hidden="1">
      <c r="J76" t="str">
        <f t="shared" si="1"/>
        <v>no</v>
      </c>
      <c r="K76" s="1"/>
      <c r="L76" s="1"/>
    </row>
    <row r="77" spans="10:12" ht="19" hidden="1">
      <c r="J77" t="str">
        <f t="shared" si="1"/>
        <v>no</v>
      </c>
      <c r="K77" s="1"/>
      <c r="L77" s="1"/>
    </row>
    <row r="78" spans="10:12" ht="19" hidden="1">
      <c r="J78" t="str">
        <f t="shared" si="1"/>
        <v>no</v>
      </c>
      <c r="K78" s="1"/>
      <c r="L78" s="1"/>
    </row>
    <row r="79" spans="10:12" ht="19" hidden="1">
      <c r="J79" t="str">
        <f t="shared" si="1"/>
        <v>no</v>
      </c>
      <c r="K79" s="1"/>
      <c r="L79" s="1"/>
    </row>
    <row r="80" spans="10:12" ht="19" hidden="1">
      <c r="J80" t="str">
        <f t="shared" si="1"/>
        <v>no</v>
      </c>
      <c r="K80" s="1"/>
      <c r="L80" s="1"/>
    </row>
    <row r="81" spans="10:10" hidden="1">
      <c r="J81" t="str">
        <f t="shared" si="1"/>
        <v>no</v>
      </c>
    </row>
    <row r="82" spans="10:10" hidden="1">
      <c r="J82" t="str">
        <f t="shared" si="1"/>
        <v>no</v>
      </c>
    </row>
    <row r="83" spans="10:10" hidden="1">
      <c r="J83" t="str">
        <f t="shared" si="1"/>
        <v>no</v>
      </c>
    </row>
    <row r="84" spans="10:10" hidden="1">
      <c r="J84" t="str">
        <f t="shared" si="1"/>
        <v>no</v>
      </c>
    </row>
    <row r="85" spans="10:10" hidden="1">
      <c r="J85" t="str">
        <f t="shared" si="1"/>
        <v>no</v>
      </c>
    </row>
    <row r="86" spans="10:10" hidden="1">
      <c r="J86" t="str">
        <f t="shared" si="1"/>
        <v>no</v>
      </c>
    </row>
    <row r="87" spans="10:10" hidden="1">
      <c r="J87" t="str">
        <f t="shared" si="1"/>
        <v>no</v>
      </c>
    </row>
    <row r="88" spans="10:10" hidden="1">
      <c r="J88" t="str">
        <f t="shared" si="1"/>
        <v>no</v>
      </c>
    </row>
    <row r="89" spans="10:10" hidden="1">
      <c r="J89" t="str">
        <f t="shared" si="1"/>
        <v>no</v>
      </c>
    </row>
    <row r="90" spans="10:10" hidden="1">
      <c r="J90" t="str">
        <f t="shared" si="1"/>
        <v>no</v>
      </c>
    </row>
    <row r="91" spans="10:10" hidden="1">
      <c r="J91" t="str">
        <f t="shared" si="1"/>
        <v>no</v>
      </c>
    </row>
    <row r="92" spans="10:10" hidden="1">
      <c r="J92" t="str">
        <f t="shared" si="1"/>
        <v>no</v>
      </c>
    </row>
    <row r="93" spans="10:10" hidden="1">
      <c r="J93" t="str">
        <f t="shared" si="1"/>
        <v>no</v>
      </c>
    </row>
    <row r="94" spans="10:10" hidden="1">
      <c r="J94" t="str">
        <f t="shared" si="1"/>
        <v>no</v>
      </c>
    </row>
    <row r="95" spans="10:10" hidden="1">
      <c r="J95" t="str">
        <f t="shared" si="1"/>
        <v>no</v>
      </c>
    </row>
    <row r="96" spans="10:10" hidden="1">
      <c r="J96" t="str">
        <f t="shared" si="1"/>
        <v>no</v>
      </c>
    </row>
    <row r="97" spans="10:10" hidden="1">
      <c r="J97" t="str">
        <f t="shared" si="1"/>
        <v>no</v>
      </c>
    </row>
    <row r="98" spans="10:10" hidden="1">
      <c r="J98" t="str">
        <f t="shared" si="1"/>
        <v>no</v>
      </c>
    </row>
    <row r="99" spans="10:10" hidden="1">
      <c r="J99" t="str">
        <f t="shared" si="1"/>
        <v>no</v>
      </c>
    </row>
    <row r="100" spans="10:10" hidden="1">
      <c r="J100" t="str">
        <f t="shared" si="1"/>
        <v>no</v>
      </c>
    </row>
    <row r="101" spans="10:10" hidden="1">
      <c r="J101" t="str">
        <f t="shared" si="1"/>
        <v>no</v>
      </c>
    </row>
    <row r="102" spans="10:10" hidden="1">
      <c r="J102" t="str">
        <f t="shared" si="1"/>
        <v>no</v>
      </c>
    </row>
    <row r="103" spans="10:10" hidden="1">
      <c r="J103" t="str">
        <f t="shared" si="1"/>
        <v>no</v>
      </c>
    </row>
    <row r="104" spans="10:10" hidden="1">
      <c r="J104" t="str">
        <f t="shared" si="1"/>
        <v>no</v>
      </c>
    </row>
    <row r="105" spans="10:10" hidden="1">
      <c r="J105" t="str">
        <f t="shared" si="1"/>
        <v>no</v>
      </c>
    </row>
    <row r="106" spans="10:10" hidden="1">
      <c r="J106" t="str">
        <f t="shared" si="1"/>
        <v>no</v>
      </c>
    </row>
    <row r="107" spans="10:10" hidden="1">
      <c r="J107" t="str">
        <f t="shared" si="1"/>
        <v>no</v>
      </c>
    </row>
    <row r="108" spans="10:10" hidden="1">
      <c r="J108" t="str">
        <f t="shared" si="1"/>
        <v>no</v>
      </c>
    </row>
    <row r="109" spans="10:10" hidden="1">
      <c r="J109" t="str">
        <f t="shared" si="1"/>
        <v>no</v>
      </c>
    </row>
    <row r="110" spans="10:10" hidden="1">
      <c r="J110" t="str">
        <f t="shared" si="1"/>
        <v>no</v>
      </c>
    </row>
    <row r="111" spans="10:10" hidden="1">
      <c r="J111" t="str">
        <f t="shared" si="1"/>
        <v>no</v>
      </c>
    </row>
    <row r="112" spans="10:10" hidden="1">
      <c r="J112" t="str">
        <f t="shared" si="1"/>
        <v>no</v>
      </c>
    </row>
    <row r="113" spans="10:10" hidden="1">
      <c r="J113" t="str">
        <f t="shared" si="1"/>
        <v>no</v>
      </c>
    </row>
    <row r="114" spans="10:10" hidden="1">
      <c r="J114" t="str">
        <f t="shared" si="1"/>
        <v>no</v>
      </c>
    </row>
    <row r="115" spans="10:10" hidden="1">
      <c r="J115" t="str">
        <f t="shared" si="1"/>
        <v>no</v>
      </c>
    </row>
    <row r="116" spans="10:10" hidden="1">
      <c r="J116" t="str">
        <f t="shared" si="1"/>
        <v>no</v>
      </c>
    </row>
    <row r="117" spans="10:10" hidden="1">
      <c r="J117" t="str">
        <f t="shared" si="1"/>
        <v>no</v>
      </c>
    </row>
    <row r="118" spans="10:10" hidden="1">
      <c r="J118" t="str">
        <f t="shared" si="1"/>
        <v>no</v>
      </c>
    </row>
    <row r="119" spans="10:10" hidden="1">
      <c r="J119" t="str">
        <f t="shared" si="1"/>
        <v>no</v>
      </c>
    </row>
    <row r="120" spans="10:10" hidden="1">
      <c r="J120" t="str">
        <f t="shared" si="1"/>
        <v>no</v>
      </c>
    </row>
    <row r="121" spans="10:10" hidden="1">
      <c r="J121" t="str">
        <f t="shared" si="1"/>
        <v>no</v>
      </c>
    </row>
    <row r="122" spans="10:10" hidden="1">
      <c r="J122" t="str">
        <f t="shared" si="1"/>
        <v>no</v>
      </c>
    </row>
    <row r="123" spans="10:10" hidden="1">
      <c r="J123" t="str">
        <f t="shared" si="1"/>
        <v>no</v>
      </c>
    </row>
    <row r="124" spans="10:10" hidden="1">
      <c r="J124" t="str">
        <f t="shared" si="1"/>
        <v>no</v>
      </c>
    </row>
    <row r="125" spans="10:10" hidden="1">
      <c r="J125" t="str">
        <f t="shared" si="1"/>
        <v>no</v>
      </c>
    </row>
    <row r="126" spans="10:10" hidden="1">
      <c r="J126" t="str">
        <f t="shared" si="1"/>
        <v>no</v>
      </c>
    </row>
    <row r="127" spans="10:10" hidden="1">
      <c r="J127" t="str">
        <f t="shared" si="1"/>
        <v>no</v>
      </c>
    </row>
    <row r="128" spans="10:10" hidden="1">
      <c r="J128" t="str">
        <f t="shared" si="1"/>
        <v>no</v>
      </c>
    </row>
    <row r="129" spans="10:10" hidden="1">
      <c r="J129" t="str">
        <f t="shared" si="1"/>
        <v>no</v>
      </c>
    </row>
    <row r="130" spans="10:10" hidden="1">
      <c r="J130" t="str">
        <f t="shared" si="1"/>
        <v>no</v>
      </c>
    </row>
    <row r="131" spans="10:10" hidden="1">
      <c r="J131" t="str">
        <f t="shared" ref="J131:J142" si="2">IF(COUNTIF(K:K, B131)&gt;0,$K$1,IF(COUNTIF(L:L, B131)&gt;0,$L$1,"no"))</f>
        <v>no</v>
      </c>
    </row>
    <row r="132" spans="10:10" hidden="1">
      <c r="J132" t="str">
        <f t="shared" si="2"/>
        <v>no</v>
      </c>
    </row>
    <row r="133" spans="10:10" hidden="1">
      <c r="J133" t="str">
        <f t="shared" si="2"/>
        <v>no</v>
      </c>
    </row>
    <row r="134" spans="10:10" hidden="1">
      <c r="J134" t="str">
        <f t="shared" si="2"/>
        <v>no</v>
      </c>
    </row>
    <row r="135" spans="10:10" hidden="1">
      <c r="J135" t="str">
        <f t="shared" si="2"/>
        <v>no</v>
      </c>
    </row>
    <row r="136" spans="10:10" hidden="1">
      <c r="J136" t="str">
        <f t="shared" si="2"/>
        <v>no</v>
      </c>
    </row>
    <row r="137" spans="10:10" hidden="1">
      <c r="J137" t="str">
        <f t="shared" si="2"/>
        <v>no</v>
      </c>
    </row>
    <row r="138" spans="10:10" hidden="1">
      <c r="J138" t="str">
        <f t="shared" si="2"/>
        <v>no</v>
      </c>
    </row>
    <row r="139" spans="10:10" hidden="1">
      <c r="J139" t="str">
        <f t="shared" si="2"/>
        <v>no</v>
      </c>
    </row>
    <row r="140" spans="10:10" hidden="1">
      <c r="J140" t="str">
        <f t="shared" si="2"/>
        <v>no</v>
      </c>
    </row>
    <row r="141" spans="10:10" hidden="1">
      <c r="J141" t="str">
        <f t="shared" si="2"/>
        <v>no</v>
      </c>
    </row>
    <row r="142" spans="10:10" hidden="1">
      <c r="J142" t="str">
        <f t="shared" si="2"/>
        <v>no</v>
      </c>
    </row>
  </sheetData>
  <autoFilter ref="A1:L142" xr:uid="{47E7133F-8753-5C4B-B48E-B4D41716EAE9}">
    <filterColumn colId="9">
      <filters>
        <filter val="segmented videos list"/>
      </filters>
    </filterColumn>
  </autoFilter>
  <phoneticPr fontId="1" type="noConversion"/>
  <conditionalFormatting sqref="E1:E1048576">
    <cfRule type="cellIs" dxfId="66" priority="3" operator="equal">
      <formula>"no"</formula>
    </cfRule>
    <cfRule type="cellIs" dxfId="65" priority="4" operator="equal">
      <formula>"yes"</formula>
    </cfRule>
  </conditionalFormatting>
  <conditionalFormatting sqref="F2:F142">
    <cfRule type="expression" dxfId="64" priority="2">
      <formula>F2&lt;&gt;E2</formula>
    </cfRule>
  </conditionalFormatting>
  <conditionalFormatting sqref="H2:H142">
    <cfRule type="expression" dxfId="63" priority="1" stopIfTrue="1">
      <formula>H2&lt;&gt;E2</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B83E7-17B5-2248-ABAA-290D8ACD3B19}">
  <dimension ref="A1:M144"/>
  <sheetViews>
    <sheetView zoomScale="91" zoomScaleNormal="100" workbookViewId="0">
      <pane ySplit="1" topLeftCell="A2" activePane="bottomLeft" state="frozen"/>
      <selection pane="bottomLeft" activeCell="I1" sqref="I1:I1048576"/>
    </sheetView>
  </sheetViews>
  <sheetFormatPr baseColWidth="10" defaultRowHeight="15"/>
  <cols>
    <col min="2" max="2" width="12.5" customWidth="1"/>
    <col min="3" max="3" width="4.83203125" style="2" customWidth="1"/>
    <col min="5" max="5" width="11.33203125" customWidth="1"/>
    <col min="6" max="9" width="13.1640625" customWidth="1"/>
    <col min="10" max="10" width="63.1640625" customWidth="1"/>
    <col min="11" max="11" width="14.33203125" customWidth="1"/>
  </cols>
  <sheetData>
    <row r="1" spans="1:13">
      <c r="A1" t="s">
        <v>88</v>
      </c>
      <c r="B1" t="s">
        <v>0</v>
      </c>
      <c r="C1" s="2" t="s">
        <v>202</v>
      </c>
      <c r="D1" t="s">
        <v>6</v>
      </c>
      <c r="E1" t="s">
        <v>1</v>
      </c>
      <c r="F1" t="s">
        <v>4</v>
      </c>
      <c r="G1" t="s">
        <v>1390</v>
      </c>
      <c r="H1" t="s">
        <v>2</v>
      </c>
      <c r="I1" t="s">
        <v>5</v>
      </c>
      <c r="J1" t="s">
        <v>3</v>
      </c>
      <c r="K1" t="s">
        <v>1067</v>
      </c>
      <c r="L1" t="s">
        <v>1192</v>
      </c>
      <c r="M1" t="s">
        <v>1105</v>
      </c>
    </row>
    <row r="2" spans="1:13" ht="19">
      <c r="A2">
        <v>1</v>
      </c>
      <c r="B2" s="1" t="s">
        <v>7</v>
      </c>
      <c r="C2" s="2" t="s">
        <v>271</v>
      </c>
      <c r="D2" t="s">
        <v>84</v>
      </c>
      <c r="E2" t="s">
        <v>391</v>
      </c>
      <c r="K2" t="str">
        <f>IF(COUNTIF(L:L, B2)&gt;0,$L$1,IF(COUNTIF(M:M, B2)&gt;0,$M$1,"no"))</f>
        <v>segmented videos list</v>
      </c>
      <c r="L2" s="1" t="s">
        <v>8</v>
      </c>
      <c r="M2" s="1" t="s">
        <v>7</v>
      </c>
    </row>
    <row r="3" spans="1:13" ht="19">
      <c r="A3">
        <v>2</v>
      </c>
      <c r="B3" s="1" t="s">
        <v>8</v>
      </c>
      <c r="C3" s="2" t="s">
        <v>271</v>
      </c>
      <c r="D3" t="s">
        <v>1204</v>
      </c>
      <c r="E3" t="s">
        <v>391</v>
      </c>
      <c r="F3" t="s">
        <v>192</v>
      </c>
      <c r="H3" t="s">
        <v>1378</v>
      </c>
      <c r="K3" t="str">
        <f t="shared" ref="K3:K66" si="0">IF(COUNTIF(L:L, B3)&gt;0,$L$1,IF(COUNTIF(M:M, B3)&gt;0,$M$1,"no"))</f>
        <v>to dignose</v>
      </c>
      <c r="L3" s="1" t="s">
        <v>9</v>
      </c>
      <c r="M3" s="1" t="s">
        <v>8</v>
      </c>
    </row>
    <row r="4" spans="1:13" ht="19">
      <c r="A4">
        <v>3</v>
      </c>
      <c r="B4" s="1" t="s">
        <v>9</v>
      </c>
      <c r="C4" s="2" t="s">
        <v>271</v>
      </c>
      <c r="D4" t="s">
        <v>1202</v>
      </c>
      <c r="E4" t="s">
        <v>391</v>
      </c>
      <c r="F4" s="17" t="s">
        <v>192</v>
      </c>
      <c r="G4" s="17"/>
      <c r="H4" s="17" t="s">
        <v>1362</v>
      </c>
      <c r="K4" t="str">
        <f t="shared" si="0"/>
        <v>to dignose</v>
      </c>
      <c r="L4" s="1" t="s">
        <v>10</v>
      </c>
      <c r="M4" s="1" t="s">
        <v>9</v>
      </c>
    </row>
    <row r="5" spans="1:13" ht="19">
      <c r="A5">
        <v>4</v>
      </c>
      <c r="B5" s="1" t="s">
        <v>10</v>
      </c>
      <c r="C5" s="2" t="s">
        <v>271</v>
      </c>
      <c r="D5" t="s">
        <v>1204</v>
      </c>
      <c r="E5" t="s">
        <v>391</v>
      </c>
      <c r="F5" t="s">
        <v>201</v>
      </c>
      <c r="H5" t="s">
        <v>1379</v>
      </c>
      <c r="K5" t="str">
        <f t="shared" si="0"/>
        <v>to dignose</v>
      </c>
      <c r="L5" s="1" t="s">
        <v>203</v>
      </c>
      <c r="M5" s="1" t="s">
        <v>10</v>
      </c>
    </row>
    <row r="6" spans="1:13" ht="19">
      <c r="A6">
        <v>5</v>
      </c>
      <c r="B6" s="1" t="s">
        <v>203</v>
      </c>
      <c r="C6" s="2" t="s">
        <v>267</v>
      </c>
      <c r="D6" t="s">
        <v>1203</v>
      </c>
      <c r="E6" t="s">
        <v>391</v>
      </c>
      <c r="F6" t="s">
        <v>201</v>
      </c>
      <c r="H6" t="s">
        <v>1371</v>
      </c>
      <c r="K6" t="str">
        <f t="shared" si="0"/>
        <v>to dignose</v>
      </c>
      <c r="L6" s="1" t="s">
        <v>11</v>
      </c>
      <c r="M6" s="1" t="s">
        <v>203</v>
      </c>
    </row>
    <row r="7" spans="1:13" ht="19">
      <c r="A7">
        <v>6</v>
      </c>
      <c r="B7" s="1" t="s">
        <v>11</v>
      </c>
      <c r="C7" s="2" t="s">
        <v>271</v>
      </c>
      <c r="D7" t="s">
        <v>1203</v>
      </c>
      <c r="E7" t="s">
        <v>391</v>
      </c>
      <c r="F7" t="s">
        <v>201</v>
      </c>
      <c r="H7" t="s">
        <v>1372</v>
      </c>
      <c r="K7" t="str">
        <f t="shared" si="0"/>
        <v>to dignose</v>
      </c>
      <c r="L7" s="1" t="s">
        <v>204</v>
      </c>
      <c r="M7" s="1" t="s">
        <v>11</v>
      </c>
    </row>
    <row r="8" spans="1:13" ht="19">
      <c r="A8">
        <v>7</v>
      </c>
      <c r="B8" s="1" t="s">
        <v>12</v>
      </c>
      <c r="C8" s="2" t="s">
        <v>271</v>
      </c>
      <c r="D8" t="s">
        <v>86</v>
      </c>
      <c r="E8" t="s">
        <v>391</v>
      </c>
      <c r="K8" t="str">
        <f t="shared" si="0"/>
        <v>no</v>
      </c>
      <c r="L8" s="1" t="s">
        <v>13</v>
      </c>
      <c r="M8" s="1" t="s">
        <v>204</v>
      </c>
    </row>
    <row r="9" spans="1:13" ht="19">
      <c r="A9">
        <v>8</v>
      </c>
      <c r="B9" s="1" t="s">
        <v>204</v>
      </c>
      <c r="C9" s="2" t="s">
        <v>271</v>
      </c>
      <c r="D9" t="s">
        <v>1223</v>
      </c>
      <c r="E9" t="s">
        <v>391</v>
      </c>
      <c r="F9" t="s">
        <v>192</v>
      </c>
      <c r="H9" t="s">
        <v>1387</v>
      </c>
      <c r="K9" t="str">
        <f t="shared" si="0"/>
        <v>to dignose</v>
      </c>
      <c r="L9" s="1" t="s">
        <v>14</v>
      </c>
      <c r="M9" s="1" t="s">
        <v>13</v>
      </c>
    </row>
    <row r="10" spans="1:13" ht="19">
      <c r="A10">
        <v>9</v>
      </c>
      <c r="B10" s="1" t="s">
        <v>13</v>
      </c>
      <c r="C10" s="2" t="s">
        <v>271</v>
      </c>
      <c r="D10" t="s">
        <v>1203</v>
      </c>
      <c r="E10" t="s">
        <v>391</v>
      </c>
      <c r="F10" t="s">
        <v>201</v>
      </c>
      <c r="H10" t="s">
        <v>1373</v>
      </c>
      <c r="K10" t="str">
        <f t="shared" si="0"/>
        <v>to dignose</v>
      </c>
      <c r="L10" s="1" t="s">
        <v>211</v>
      </c>
      <c r="M10" s="1" t="s">
        <v>14</v>
      </c>
    </row>
    <row r="11" spans="1:13" ht="19">
      <c r="A11">
        <v>10</v>
      </c>
      <c r="B11" s="1" t="s">
        <v>14</v>
      </c>
      <c r="C11" s="2" t="s">
        <v>271</v>
      </c>
      <c r="D11" t="s">
        <v>1201</v>
      </c>
      <c r="E11" t="s">
        <v>391</v>
      </c>
      <c r="F11" s="17" t="s">
        <v>201</v>
      </c>
      <c r="G11" s="17"/>
      <c r="H11" s="17" t="s">
        <v>1363</v>
      </c>
      <c r="K11" t="str">
        <f t="shared" si="0"/>
        <v>to dignose</v>
      </c>
      <c r="L11" s="1" t="s">
        <v>21</v>
      </c>
      <c r="M11" s="1" t="s">
        <v>208</v>
      </c>
    </row>
    <row r="12" spans="1:13" ht="19">
      <c r="A12">
        <v>11</v>
      </c>
      <c r="B12" s="1" t="s">
        <v>205</v>
      </c>
      <c r="C12" s="2" t="s">
        <v>269</v>
      </c>
      <c r="D12" t="s">
        <v>84</v>
      </c>
      <c r="E12" t="s">
        <v>391</v>
      </c>
      <c r="K12" t="str">
        <f t="shared" si="0"/>
        <v>no</v>
      </c>
      <c r="L12" s="1" t="s">
        <v>22</v>
      </c>
      <c r="M12" s="1" t="s">
        <v>19</v>
      </c>
    </row>
    <row r="13" spans="1:13" ht="19">
      <c r="A13">
        <v>12</v>
      </c>
      <c r="B13" s="1" t="s">
        <v>206</v>
      </c>
      <c r="C13" s="2" t="s">
        <v>267</v>
      </c>
      <c r="D13" t="s">
        <v>84</v>
      </c>
      <c r="E13" t="s">
        <v>391</v>
      </c>
      <c r="K13" t="str">
        <f t="shared" si="0"/>
        <v>no</v>
      </c>
      <c r="L13" s="1" t="s">
        <v>238</v>
      </c>
      <c r="M13" s="1" t="s">
        <v>20</v>
      </c>
    </row>
    <row r="14" spans="1:13" ht="19">
      <c r="A14">
        <v>13</v>
      </c>
      <c r="B14" s="1" t="s">
        <v>15</v>
      </c>
      <c r="C14" s="2" t="s">
        <v>271</v>
      </c>
      <c r="D14" t="s">
        <v>85</v>
      </c>
      <c r="E14" t="s">
        <v>391</v>
      </c>
      <c r="K14" t="str">
        <f t="shared" si="0"/>
        <v>no</v>
      </c>
      <c r="L14" s="1" t="s">
        <v>28</v>
      </c>
      <c r="M14" s="1" t="s">
        <v>209</v>
      </c>
    </row>
    <row r="15" spans="1:13" ht="19">
      <c r="A15">
        <v>14</v>
      </c>
      <c r="B15" s="1" t="s">
        <v>207</v>
      </c>
      <c r="C15" s="2" t="s">
        <v>267</v>
      </c>
      <c r="D15" t="s">
        <v>84</v>
      </c>
      <c r="E15" t="s">
        <v>391</v>
      </c>
      <c r="K15" t="str">
        <f t="shared" si="0"/>
        <v>no</v>
      </c>
      <c r="L15" s="1" t="s">
        <v>29</v>
      </c>
      <c r="M15" s="1" t="s">
        <v>210</v>
      </c>
    </row>
    <row r="16" spans="1:13" ht="19">
      <c r="A16">
        <v>15</v>
      </c>
      <c r="B16" s="1" t="s">
        <v>16</v>
      </c>
      <c r="C16" s="2" t="s">
        <v>271</v>
      </c>
      <c r="D16" t="s">
        <v>84</v>
      </c>
      <c r="E16" t="s">
        <v>391</v>
      </c>
      <c r="K16" t="str">
        <f t="shared" si="0"/>
        <v>no</v>
      </c>
      <c r="L16" s="1" t="s">
        <v>30</v>
      </c>
      <c r="M16" s="1" t="s">
        <v>211</v>
      </c>
    </row>
    <row r="17" spans="1:13" ht="19">
      <c r="A17">
        <v>16</v>
      </c>
      <c r="B17" s="1" t="s">
        <v>17</v>
      </c>
      <c r="C17" s="2" t="s">
        <v>271</v>
      </c>
      <c r="D17" t="s">
        <v>84</v>
      </c>
      <c r="E17" t="s">
        <v>391</v>
      </c>
      <c r="K17" t="str">
        <f t="shared" si="0"/>
        <v>no</v>
      </c>
      <c r="L17" s="1" t="s">
        <v>31</v>
      </c>
      <c r="M17" s="1" t="s">
        <v>212</v>
      </c>
    </row>
    <row r="18" spans="1:13" ht="19">
      <c r="A18">
        <v>17</v>
      </c>
      <c r="B18" s="1" t="s">
        <v>18</v>
      </c>
      <c r="C18" s="2" t="s">
        <v>271</v>
      </c>
      <c r="D18" t="s">
        <v>85</v>
      </c>
      <c r="E18" t="s">
        <v>391</v>
      </c>
      <c r="K18" t="str">
        <f t="shared" si="0"/>
        <v>no</v>
      </c>
      <c r="L18" s="1" t="s">
        <v>33</v>
      </c>
      <c r="M18" s="1" t="s">
        <v>213</v>
      </c>
    </row>
    <row r="19" spans="1:13" ht="19">
      <c r="A19">
        <v>18</v>
      </c>
      <c r="B19" s="1" t="s">
        <v>208</v>
      </c>
      <c r="C19" s="2" t="s">
        <v>267</v>
      </c>
      <c r="D19" t="s">
        <v>84</v>
      </c>
      <c r="E19" t="s">
        <v>391</v>
      </c>
      <c r="K19" t="str">
        <f t="shared" si="0"/>
        <v>segmented videos list</v>
      </c>
      <c r="L19" s="1" t="s">
        <v>34</v>
      </c>
      <c r="M19" s="1" t="s">
        <v>21</v>
      </c>
    </row>
    <row r="20" spans="1:13" ht="19">
      <c r="A20">
        <v>19</v>
      </c>
      <c r="B20" s="1" t="s">
        <v>19</v>
      </c>
      <c r="C20" s="2" t="s">
        <v>271</v>
      </c>
      <c r="D20" t="s">
        <v>84</v>
      </c>
      <c r="E20" t="s">
        <v>391</v>
      </c>
      <c r="K20" t="str">
        <f t="shared" si="0"/>
        <v>segmented videos list</v>
      </c>
      <c r="L20" s="1" t="s">
        <v>37</v>
      </c>
      <c r="M20" s="1" t="s">
        <v>22</v>
      </c>
    </row>
    <row r="21" spans="1:13" ht="19">
      <c r="A21">
        <v>20</v>
      </c>
      <c r="B21" s="1" t="s">
        <v>20</v>
      </c>
      <c r="C21" s="2" t="s">
        <v>271</v>
      </c>
      <c r="D21" t="s">
        <v>84</v>
      </c>
      <c r="E21" t="s">
        <v>391</v>
      </c>
      <c r="K21" t="str">
        <f t="shared" si="0"/>
        <v>segmented videos list</v>
      </c>
      <c r="L21" s="1" t="s">
        <v>38</v>
      </c>
      <c r="M21" s="1" t="s">
        <v>217</v>
      </c>
    </row>
    <row r="22" spans="1:13" ht="19">
      <c r="A22">
        <v>21</v>
      </c>
      <c r="B22" s="1" t="s">
        <v>209</v>
      </c>
      <c r="C22" s="2" t="s">
        <v>272</v>
      </c>
      <c r="D22" t="s">
        <v>84</v>
      </c>
      <c r="E22" t="s">
        <v>391</v>
      </c>
      <c r="K22" t="str">
        <f t="shared" si="0"/>
        <v>segmented videos list</v>
      </c>
      <c r="L22" s="1" t="s">
        <v>40</v>
      </c>
      <c r="M22" s="1" t="s">
        <v>218</v>
      </c>
    </row>
    <row r="23" spans="1:13" ht="19">
      <c r="A23">
        <v>22</v>
      </c>
      <c r="B23" s="1" t="s">
        <v>210</v>
      </c>
      <c r="C23" s="2" t="s">
        <v>267</v>
      </c>
      <c r="D23" t="s">
        <v>84</v>
      </c>
      <c r="E23" t="s">
        <v>391</v>
      </c>
      <c r="K23" t="str">
        <f t="shared" si="0"/>
        <v>segmented videos list</v>
      </c>
      <c r="L23" s="1" t="s">
        <v>55</v>
      </c>
      <c r="M23" s="1" t="s">
        <v>220</v>
      </c>
    </row>
    <row r="24" spans="1:13" ht="19">
      <c r="A24">
        <v>23</v>
      </c>
      <c r="B24" s="1" t="s">
        <v>211</v>
      </c>
      <c r="C24" s="2" t="s">
        <v>271</v>
      </c>
      <c r="D24" t="s">
        <v>1204</v>
      </c>
      <c r="E24" t="s">
        <v>391</v>
      </c>
      <c r="F24" t="s">
        <v>192</v>
      </c>
      <c r="H24" t="s">
        <v>1380</v>
      </c>
      <c r="K24" t="str">
        <f t="shared" si="0"/>
        <v>to dignose</v>
      </c>
      <c r="L24" s="1" t="s">
        <v>58</v>
      </c>
      <c r="M24" s="1" t="s">
        <v>221</v>
      </c>
    </row>
    <row r="25" spans="1:13" ht="19">
      <c r="A25">
        <v>24</v>
      </c>
      <c r="B25" s="1" t="s">
        <v>212</v>
      </c>
      <c r="C25" s="2" t="s">
        <v>273</v>
      </c>
      <c r="D25" t="s">
        <v>84</v>
      </c>
      <c r="E25" t="s">
        <v>391</v>
      </c>
      <c r="K25" t="str">
        <f t="shared" si="0"/>
        <v>segmented videos list</v>
      </c>
      <c r="L25" s="1" t="s">
        <v>255</v>
      </c>
      <c r="M25" s="1" t="s">
        <v>222</v>
      </c>
    </row>
    <row r="26" spans="1:13" ht="19">
      <c r="A26">
        <v>25</v>
      </c>
      <c r="B26" s="1" t="s">
        <v>213</v>
      </c>
      <c r="C26" s="2" t="s">
        <v>273</v>
      </c>
      <c r="D26" t="s">
        <v>84</v>
      </c>
      <c r="E26" t="s">
        <v>391</v>
      </c>
      <c r="K26" t="str">
        <f t="shared" si="0"/>
        <v>segmented videos list</v>
      </c>
      <c r="L26" s="1" t="s">
        <v>59</v>
      </c>
      <c r="M26" s="1" t="s">
        <v>223</v>
      </c>
    </row>
    <row r="27" spans="1:13" ht="19">
      <c r="A27">
        <v>26</v>
      </c>
      <c r="B27" s="1" t="s">
        <v>21</v>
      </c>
      <c r="C27" s="2" t="s">
        <v>271</v>
      </c>
      <c r="D27" t="s">
        <v>1230</v>
      </c>
      <c r="E27" t="s">
        <v>391</v>
      </c>
      <c r="F27" t="s">
        <v>201</v>
      </c>
      <c r="H27" t="s">
        <v>1374</v>
      </c>
      <c r="K27" t="str">
        <f t="shared" si="0"/>
        <v>to dignose</v>
      </c>
      <c r="L27" s="1" t="s">
        <v>61</v>
      </c>
      <c r="M27" s="1" t="s">
        <v>27</v>
      </c>
    </row>
    <row r="28" spans="1:13" ht="19">
      <c r="A28">
        <v>27</v>
      </c>
      <c r="B28" s="1" t="s">
        <v>22</v>
      </c>
      <c r="C28" s="2" t="s">
        <v>271</v>
      </c>
      <c r="D28" t="s">
        <v>1231</v>
      </c>
      <c r="E28" t="s">
        <v>391</v>
      </c>
      <c r="F28" t="s">
        <v>201</v>
      </c>
      <c r="H28" t="s">
        <v>1381</v>
      </c>
      <c r="K28" t="str">
        <f t="shared" si="0"/>
        <v>to dignose</v>
      </c>
      <c r="L28" s="1"/>
      <c r="M28" s="1" t="s">
        <v>224</v>
      </c>
    </row>
    <row r="29" spans="1:13" ht="19">
      <c r="A29">
        <v>28</v>
      </c>
      <c r="B29" s="1" t="s">
        <v>214</v>
      </c>
      <c r="C29" s="2" t="s">
        <v>269</v>
      </c>
      <c r="D29" t="s">
        <v>84</v>
      </c>
      <c r="E29" t="s">
        <v>391</v>
      </c>
      <c r="K29" t="str">
        <f t="shared" si="0"/>
        <v>no</v>
      </c>
      <c r="L29" s="1"/>
      <c r="M29" s="1" t="s">
        <v>225</v>
      </c>
    </row>
    <row r="30" spans="1:13" ht="19">
      <c r="A30">
        <v>29</v>
      </c>
      <c r="B30" s="1" t="s">
        <v>23</v>
      </c>
      <c r="C30" s="2" t="s">
        <v>271</v>
      </c>
      <c r="D30" t="s">
        <v>87</v>
      </c>
      <c r="E30" t="s">
        <v>391</v>
      </c>
      <c r="K30" t="str">
        <f t="shared" si="0"/>
        <v>no</v>
      </c>
      <c r="L30" s="1"/>
      <c r="M30" s="1" t="s">
        <v>226</v>
      </c>
    </row>
    <row r="31" spans="1:13" ht="19">
      <c r="A31">
        <v>30</v>
      </c>
      <c r="B31" s="1" t="s">
        <v>215</v>
      </c>
      <c r="C31" s="2" t="s">
        <v>269</v>
      </c>
      <c r="D31" t="s">
        <v>84</v>
      </c>
      <c r="E31" t="s">
        <v>391</v>
      </c>
      <c r="K31" t="str">
        <f t="shared" si="0"/>
        <v>no</v>
      </c>
      <c r="L31" s="1"/>
      <c r="M31" s="1" t="s">
        <v>227</v>
      </c>
    </row>
    <row r="32" spans="1:13" ht="19">
      <c r="A32">
        <v>31</v>
      </c>
      <c r="B32" s="1" t="s">
        <v>216</v>
      </c>
      <c r="C32" s="2" t="s">
        <v>269</v>
      </c>
      <c r="D32" t="s">
        <v>84</v>
      </c>
      <c r="E32" t="s">
        <v>391</v>
      </c>
      <c r="K32" t="str">
        <f t="shared" si="0"/>
        <v>no</v>
      </c>
      <c r="L32" s="1"/>
      <c r="M32" s="1" t="s">
        <v>228</v>
      </c>
    </row>
    <row r="33" spans="1:13" ht="19">
      <c r="A33">
        <v>32</v>
      </c>
      <c r="B33" s="1" t="s">
        <v>24</v>
      </c>
      <c r="C33" s="2" t="s">
        <v>271</v>
      </c>
      <c r="D33" t="s">
        <v>84</v>
      </c>
      <c r="E33" t="s">
        <v>391</v>
      </c>
      <c r="K33" t="str">
        <f t="shared" si="0"/>
        <v>no</v>
      </c>
      <c r="L33" s="1"/>
      <c r="M33" s="1" t="s">
        <v>229</v>
      </c>
    </row>
    <row r="34" spans="1:13" ht="19">
      <c r="A34">
        <v>33</v>
      </c>
      <c r="B34" s="1" t="s">
        <v>25</v>
      </c>
      <c r="C34" s="2" t="s">
        <v>271</v>
      </c>
      <c r="D34" t="s">
        <v>84</v>
      </c>
      <c r="E34" t="s">
        <v>391</v>
      </c>
      <c r="K34" t="str">
        <f t="shared" si="0"/>
        <v>no</v>
      </c>
      <c r="L34" s="1"/>
      <c r="M34" s="1" t="s">
        <v>230</v>
      </c>
    </row>
    <row r="35" spans="1:13" ht="19">
      <c r="A35">
        <v>34</v>
      </c>
      <c r="B35" s="1" t="s">
        <v>217</v>
      </c>
      <c r="C35" s="2" t="s">
        <v>267</v>
      </c>
      <c r="D35" t="s">
        <v>84</v>
      </c>
      <c r="E35" t="s">
        <v>391</v>
      </c>
      <c r="K35" t="str">
        <f t="shared" si="0"/>
        <v>segmented videos list</v>
      </c>
      <c r="L35" s="1"/>
      <c r="M35" s="1" t="s">
        <v>231</v>
      </c>
    </row>
    <row r="36" spans="1:13" ht="19">
      <c r="A36">
        <v>35</v>
      </c>
      <c r="B36" s="1" t="s">
        <v>218</v>
      </c>
      <c r="C36" s="2" t="s">
        <v>269</v>
      </c>
      <c r="D36" t="s">
        <v>84</v>
      </c>
      <c r="E36" t="s">
        <v>391</v>
      </c>
      <c r="K36" t="str">
        <f t="shared" si="0"/>
        <v>segmented videos list</v>
      </c>
      <c r="L36" s="1"/>
      <c r="M36" s="1" t="s">
        <v>232</v>
      </c>
    </row>
    <row r="37" spans="1:13" ht="19">
      <c r="A37">
        <v>36</v>
      </c>
      <c r="B37" s="1" t="s">
        <v>219</v>
      </c>
      <c r="C37" s="2" t="s">
        <v>269</v>
      </c>
      <c r="D37" t="s">
        <v>84</v>
      </c>
      <c r="E37" t="s">
        <v>391</v>
      </c>
      <c r="K37" t="str">
        <f t="shared" si="0"/>
        <v>no</v>
      </c>
      <c r="L37" s="1"/>
      <c r="M37" s="1" t="s">
        <v>233</v>
      </c>
    </row>
    <row r="38" spans="1:13" ht="19">
      <c r="A38">
        <v>37</v>
      </c>
      <c r="B38" s="1" t="s">
        <v>220</v>
      </c>
      <c r="C38" s="2" t="s">
        <v>269</v>
      </c>
      <c r="D38" t="s">
        <v>84</v>
      </c>
      <c r="E38" t="s">
        <v>391</v>
      </c>
      <c r="K38" t="str">
        <f t="shared" si="0"/>
        <v>segmented videos list</v>
      </c>
      <c r="L38" s="1"/>
      <c r="M38" s="1" t="s">
        <v>234</v>
      </c>
    </row>
    <row r="39" spans="1:13" ht="19">
      <c r="A39">
        <v>38</v>
      </c>
      <c r="B39" s="1" t="s">
        <v>221</v>
      </c>
      <c r="C39" s="2" t="s">
        <v>269</v>
      </c>
      <c r="D39" t="s">
        <v>84</v>
      </c>
      <c r="E39" t="s">
        <v>391</v>
      </c>
      <c r="K39" t="str">
        <f t="shared" si="0"/>
        <v>segmented videos list</v>
      </c>
      <c r="L39" s="1"/>
      <c r="M39" s="1" t="s">
        <v>235</v>
      </c>
    </row>
    <row r="40" spans="1:13" ht="19">
      <c r="A40">
        <v>39</v>
      </c>
      <c r="B40" s="1" t="s">
        <v>222</v>
      </c>
      <c r="C40" s="2" t="s">
        <v>267</v>
      </c>
      <c r="D40" t="s">
        <v>84</v>
      </c>
      <c r="E40" t="s">
        <v>391</v>
      </c>
      <c r="K40" t="str">
        <f t="shared" si="0"/>
        <v>segmented videos list</v>
      </c>
      <c r="L40" s="1"/>
      <c r="M40" s="1" t="s">
        <v>236</v>
      </c>
    </row>
    <row r="41" spans="1:13" ht="19">
      <c r="A41">
        <v>40</v>
      </c>
      <c r="B41" s="1" t="s">
        <v>26</v>
      </c>
      <c r="C41" s="2" t="s">
        <v>271</v>
      </c>
      <c r="D41" t="s">
        <v>84</v>
      </c>
      <c r="E41" t="s">
        <v>391</v>
      </c>
      <c r="K41" t="str">
        <f t="shared" si="0"/>
        <v>no</v>
      </c>
      <c r="L41" s="1"/>
      <c r="M41" s="1" t="s">
        <v>237</v>
      </c>
    </row>
    <row r="42" spans="1:13" ht="19">
      <c r="A42">
        <v>41</v>
      </c>
      <c r="B42" s="1" t="s">
        <v>223</v>
      </c>
      <c r="C42" s="2" t="s">
        <v>269</v>
      </c>
      <c r="D42" t="s">
        <v>84</v>
      </c>
      <c r="E42" t="s">
        <v>391</v>
      </c>
      <c r="K42" t="str">
        <f t="shared" si="0"/>
        <v>segmented videos list</v>
      </c>
      <c r="L42" s="1"/>
      <c r="M42" s="1" t="s">
        <v>238</v>
      </c>
    </row>
    <row r="43" spans="1:13" ht="19">
      <c r="A43">
        <v>42</v>
      </c>
      <c r="B43" s="1" t="s">
        <v>27</v>
      </c>
      <c r="C43" s="2" t="s">
        <v>271</v>
      </c>
      <c r="D43" t="s">
        <v>84</v>
      </c>
      <c r="E43" t="s">
        <v>391</v>
      </c>
      <c r="K43" t="str">
        <f t="shared" si="0"/>
        <v>segmented videos list</v>
      </c>
      <c r="L43" s="1"/>
      <c r="M43" s="1" t="s">
        <v>28</v>
      </c>
    </row>
    <row r="44" spans="1:13" ht="19">
      <c r="A44">
        <v>43</v>
      </c>
      <c r="B44" s="1" t="s">
        <v>224</v>
      </c>
      <c r="C44" s="2" t="s">
        <v>267</v>
      </c>
      <c r="D44" t="s">
        <v>84</v>
      </c>
      <c r="E44" t="s">
        <v>391</v>
      </c>
      <c r="K44" t="str">
        <f t="shared" si="0"/>
        <v>segmented videos list</v>
      </c>
      <c r="L44" s="1"/>
      <c r="M44" s="1" t="s">
        <v>29</v>
      </c>
    </row>
    <row r="45" spans="1:13" ht="19">
      <c r="A45">
        <v>44</v>
      </c>
      <c r="B45" s="1" t="s">
        <v>225</v>
      </c>
      <c r="C45" s="2" t="s">
        <v>274</v>
      </c>
      <c r="D45" t="s">
        <v>84</v>
      </c>
      <c r="E45" t="s">
        <v>391</v>
      </c>
      <c r="K45" t="str">
        <f t="shared" si="0"/>
        <v>segmented videos list</v>
      </c>
      <c r="L45" s="1"/>
      <c r="M45" s="1" t="s">
        <v>239</v>
      </c>
    </row>
    <row r="46" spans="1:13" ht="19">
      <c r="A46">
        <v>45</v>
      </c>
      <c r="B46" s="1" t="s">
        <v>226</v>
      </c>
      <c r="C46" s="2" t="s">
        <v>274</v>
      </c>
      <c r="D46" t="s">
        <v>84</v>
      </c>
      <c r="E46" t="s">
        <v>391</v>
      </c>
      <c r="K46" t="str">
        <f t="shared" si="0"/>
        <v>segmented videos list</v>
      </c>
      <c r="L46" s="1"/>
      <c r="M46" s="1" t="s">
        <v>30</v>
      </c>
    </row>
    <row r="47" spans="1:13" ht="19">
      <c r="A47">
        <v>46</v>
      </c>
      <c r="B47" s="1" t="s">
        <v>227</v>
      </c>
      <c r="C47" s="2" t="s">
        <v>269</v>
      </c>
      <c r="D47" t="s">
        <v>84</v>
      </c>
      <c r="E47" t="s">
        <v>391</v>
      </c>
      <c r="K47" t="str">
        <f t="shared" si="0"/>
        <v>segmented videos list</v>
      </c>
      <c r="L47" s="1"/>
      <c r="M47" s="1" t="s">
        <v>240</v>
      </c>
    </row>
    <row r="48" spans="1:13" ht="19">
      <c r="A48">
        <v>47</v>
      </c>
      <c r="B48" s="1" t="s">
        <v>228</v>
      </c>
      <c r="C48" s="2" t="s">
        <v>269</v>
      </c>
      <c r="D48" t="s">
        <v>84</v>
      </c>
      <c r="E48" t="s">
        <v>391</v>
      </c>
      <c r="K48" t="str">
        <f t="shared" si="0"/>
        <v>segmented videos list</v>
      </c>
      <c r="L48" s="1"/>
      <c r="M48" s="1" t="s">
        <v>31</v>
      </c>
    </row>
    <row r="49" spans="1:13" ht="19">
      <c r="A49">
        <v>48</v>
      </c>
      <c r="B49" s="1" t="s">
        <v>229</v>
      </c>
      <c r="C49" s="2" t="s">
        <v>269</v>
      </c>
      <c r="D49" t="s">
        <v>84</v>
      </c>
      <c r="E49" t="s">
        <v>391</v>
      </c>
      <c r="K49" t="str">
        <f t="shared" si="0"/>
        <v>segmented videos list</v>
      </c>
      <c r="L49" s="1"/>
      <c r="M49" s="1" t="s">
        <v>241</v>
      </c>
    </row>
    <row r="50" spans="1:13" ht="19">
      <c r="A50">
        <v>49</v>
      </c>
      <c r="B50" s="1" t="s">
        <v>230</v>
      </c>
      <c r="C50" s="2" t="s">
        <v>269</v>
      </c>
      <c r="D50" t="s">
        <v>84</v>
      </c>
      <c r="E50" t="s">
        <v>391</v>
      </c>
      <c r="K50" t="str">
        <f t="shared" si="0"/>
        <v>segmented videos list</v>
      </c>
      <c r="L50" s="1"/>
      <c r="M50" s="1" t="s">
        <v>32</v>
      </c>
    </row>
    <row r="51" spans="1:13" ht="19">
      <c r="A51">
        <v>50</v>
      </c>
      <c r="B51" s="1" t="s">
        <v>231</v>
      </c>
      <c r="C51" s="2" t="s">
        <v>269</v>
      </c>
      <c r="D51" t="s">
        <v>84</v>
      </c>
      <c r="E51" t="s">
        <v>391</v>
      </c>
      <c r="K51" t="str">
        <f t="shared" si="0"/>
        <v>segmented videos list</v>
      </c>
      <c r="L51" s="1"/>
      <c r="M51" s="1" t="s">
        <v>33</v>
      </c>
    </row>
    <row r="52" spans="1:13" ht="19">
      <c r="A52">
        <v>51</v>
      </c>
      <c r="B52" s="1" t="s">
        <v>232</v>
      </c>
      <c r="C52" s="2" t="s">
        <v>274</v>
      </c>
      <c r="D52" t="s">
        <v>84</v>
      </c>
      <c r="E52" t="s">
        <v>391</v>
      </c>
      <c r="K52" t="str">
        <f t="shared" si="0"/>
        <v>segmented videos list</v>
      </c>
      <c r="L52" s="1"/>
      <c r="M52" s="1" t="s">
        <v>34</v>
      </c>
    </row>
    <row r="53" spans="1:13" ht="19">
      <c r="A53">
        <v>52</v>
      </c>
      <c r="B53" s="1" t="s">
        <v>233</v>
      </c>
      <c r="C53" s="2" t="s">
        <v>274</v>
      </c>
      <c r="D53" t="s">
        <v>84</v>
      </c>
      <c r="E53" t="s">
        <v>391</v>
      </c>
      <c r="K53" t="str">
        <f t="shared" si="0"/>
        <v>segmented videos list</v>
      </c>
      <c r="L53" s="1"/>
      <c r="M53" s="1" t="s">
        <v>35</v>
      </c>
    </row>
    <row r="54" spans="1:13" ht="19">
      <c r="A54">
        <v>53</v>
      </c>
      <c r="B54" s="1" t="s">
        <v>234</v>
      </c>
      <c r="C54" s="2" t="s">
        <v>274</v>
      </c>
      <c r="D54" t="s">
        <v>84</v>
      </c>
      <c r="E54" t="s">
        <v>391</v>
      </c>
      <c r="K54" t="str">
        <f t="shared" si="0"/>
        <v>segmented videos list</v>
      </c>
      <c r="L54" s="1"/>
      <c r="M54" s="1" t="s">
        <v>36</v>
      </c>
    </row>
    <row r="55" spans="1:13" ht="19">
      <c r="A55">
        <v>54</v>
      </c>
      <c r="B55" s="1" t="s">
        <v>235</v>
      </c>
      <c r="C55" s="2" t="s">
        <v>274</v>
      </c>
      <c r="D55" t="s">
        <v>84</v>
      </c>
      <c r="E55" t="s">
        <v>391</v>
      </c>
      <c r="K55" t="str">
        <f t="shared" si="0"/>
        <v>segmented videos list</v>
      </c>
      <c r="L55" s="1"/>
      <c r="M55" s="1" t="s">
        <v>37</v>
      </c>
    </row>
    <row r="56" spans="1:13" ht="19">
      <c r="A56">
        <v>55</v>
      </c>
      <c r="B56" s="1" t="s">
        <v>236</v>
      </c>
      <c r="C56" s="2" t="s">
        <v>269</v>
      </c>
      <c r="D56" t="s">
        <v>84</v>
      </c>
      <c r="E56" t="s">
        <v>391</v>
      </c>
      <c r="K56" t="str">
        <f t="shared" si="0"/>
        <v>segmented videos list</v>
      </c>
      <c r="L56" s="1"/>
      <c r="M56" s="1" t="s">
        <v>38</v>
      </c>
    </row>
    <row r="57" spans="1:13" ht="19">
      <c r="A57">
        <v>56</v>
      </c>
      <c r="B57" s="1" t="s">
        <v>237</v>
      </c>
      <c r="C57" s="2" t="s">
        <v>269</v>
      </c>
      <c r="D57" t="s">
        <v>84</v>
      </c>
      <c r="E57" t="s">
        <v>391</v>
      </c>
      <c r="K57" t="str">
        <f t="shared" si="0"/>
        <v>segmented videos list</v>
      </c>
      <c r="L57" s="1"/>
      <c r="M57" s="1" t="s">
        <v>39</v>
      </c>
    </row>
    <row r="58" spans="1:13" ht="19">
      <c r="A58">
        <v>57</v>
      </c>
      <c r="B58" s="1" t="s">
        <v>238</v>
      </c>
      <c r="C58" s="2" t="s">
        <v>269</v>
      </c>
      <c r="D58" t="s">
        <v>1201</v>
      </c>
      <c r="E58" t="s">
        <v>391</v>
      </c>
      <c r="F58" s="17" t="s">
        <v>192</v>
      </c>
      <c r="G58" s="17"/>
      <c r="H58" s="17" t="s">
        <v>1364</v>
      </c>
      <c r="K58" t="str">
        <f t="shared" si="0"/>
        <v>to dignose</v>
      </c>
      <c r="L58" s="1"/>
      <c r="M58" s="1" t="s">
        <v>242</v>
      </c>
    </row>
    <row r="59" spans="1:13" ht="19">
      <c r="A59">
        <v>58</v>
      </c>
      <c r="B59" s="1" t="s">
        <v>28</v>
      </c>
      <c r="C59" s="2" t="s">
        <v>271</v>
      </c>
      <c r="D59" t="s">
        <v>1201</v>
      </c>
      <c r="E59" t="s">
        <v>391</v>
      </c>
      <c r="F59" s="17" t="s">
        <v>192</v>
      </c>
      <c r="G59" s="17"/>
      <c r="H59" s="17" t="s">
        <v>1365</v>
      </c>
      <c r="K59" t="str">
        <f t="shared" si="0"/>
        <v>to dignose</v>
      </c>
      <c r="L59" s="1"/>
      <c r="M59" s="1" t="s">
        <v>40</v>
      </c>
    </row>
    <row r="60" spans="1:13" ht="19">
      <c r="A60">
        <v>59</v>
      </c>
      <c r="B60" s="1" t="s">
        <v>29</v>
      </c>
      <c r="C60" s="2" t="s">
        <v>271</v>
      </c>
      <c r="D60" t="s">
        <v>1204</v>
      </c>
      <c r="E60" t="s">
        <v>391</v>
      </c>
      <c r="F60" t="s">
        <v>192</v>
      </c>
      <c r="H60" t="s">
        <v>1382</v>
      </c>
      <c r="K60" t="str">
        <f t="shared" si="0"/>
        <v>to dignose</v>
      </c>
      <c r="L60" s="1"/>
      <c r="M60" s="1" t="s">
        <v>251</v>
      </c>
    </row>
    <row r="61" spans="1:13" ht="19">
      <c r="A61">
        <v>60</v>
      </c>
      <c r="B61" s="1" t="s">
        <v>239</v>
      </c>
      <c r="C61" s="2" t="s">
        <v>269</v>
      </c>
      <c r="D61" t="s">
        <v>84</v>
      </c>
      <c r="E61" t="s">
        <v>391</v>
      </c>
      <c r="K61" t="str">
        <f t="shared" si="0"/>
        <v>segmented videos list</v>
      </c>
      <c r="L61" s="1"/>
      <c r="M61" s="1" t="s">
        <v>54</v>
      </c>
    </row>
    <row r="62" spans="1:13" ht="19">
      <c r="A62">
        <v>61</v>
      </c>
      <c r="B62" s="1" t="s">
        <v>30</v>
      </c>
      <c r="C62" s="2" t="s">
        <v>271</v>
      </c>
      <c r="D62" t="s">
        <v>1201</v>
      </c>
      <c r="E62" t="s">
        <v>391</v>
      </c>
      <c r="F62" t="s">
        <v>201</v>
      </c>
      <c r="H62" t="s">
        <v>1366</v>
      </c>
      <c r="K62" t="str">
        <f t="shared" si="0"/>
        <v>to dignose</v>
      </c>
      <c r="L62" s="1"/>
      <c r="M62" s="1" t="s">
        <v>55</v>
      </c>
    </row>
    <row r="63" spans="1:13" ht="19">
      <c r="A63">
        <v>62</v>
      </c>
      <c r="B63" s="1" t="s">
        <v>240</v>
      </c>
      <c r="C63" s="2" t="s">
        <v>269</v>
      </c>
      <c r="D63" t="s">
        <v>84</v>
      </c>
      <c r="E63" t="s">
        <v>391</v>
      </c>
      <c r="K63" t="str">
        <f t="shared" si="0"/>
        <v>segmented videos list</v>
      </c>
      <c r="L63" s="1"/>
      <c r="M63" s="1" t="s">
        <v>252</v>
      </c>
    </row>
    <row r="64" spans="1:13" ht="19">
      <c r="A64">
        <v>63</v>
      </c>
      <c r="B64" s="1" t="s">
        <v>31</v>
      </c>
      <c r="C64" s="2" t="s">
        <v>271</v>
      </c>
      <c r="D64" t="s">
        <v>1201</v>
      </c>
      <c r="E64" t="s">
        <v>391</v>
      </c>
      <c r="F64" t="s">
        <v>201</v>
      </c>
      <c r="H64" t="s">
        <v>1367</v>
      </c>
      <c r="K64" t="str">
        <f t="shared" si="0"/>
        <v>to dignose</v>
      </c>
      <c r="L64" s="1"/>
      <c r="M64" s="1" t="s">
        <v>56</v>
      </c>
    </row>
    <row r="65" spans="1:13" ht="19">
      <c r="A65">
        <v>64</v>
      </c>
      <c r="B65" s="1" t="s">
        <v>241</v>
      </c>
      <c r="C65" s="2" t="s">
        <v>269</v>
      </c>
      <c r="D65" t="s">
        <v>84</v>
      </c>
      <c r="E65" t="s">
        <v>391</v>
      </c>
      <c r="K65" t="str">
        <f t="shared" si="0"/>
        <v>segmented videos list</v>
      </c>
      <c r="L65" s="1"/>
      <c r="M65" s="1" t="s">
        <v>253</v>
      </c>
    </row>
    <row r="66" spans="1:13" ht="19">
      <c r="A66">
        <v>65</v>
      </c>
      <c r="B66" s="1" t="s">
        <v>32</v>
      </c>
      <c r="C66" s="2" t="s">
        <v>271</v>
      </c>
      <c r="D66" t="s">
        <v>84</v>
      </c>
      <c r="E66" t="s">
        <v>391</v>
      </c>
      <c r="K66" t="str">
        <f t="shared" si="0"/>
        <v>segmented videos list</v>
      </c>
      <c r="L66" s="1"/>
      <c r="M66" s="1" t="s">
        <v>57</v>
      </c>
    </row>
    <row r="67" spans="1:13" ht="19">
      <c r="A67">
        <v>66</v>
      </c>
      <c r="B67" s="1" t="s">
        <v>33</v>
      </c>
      <c r="C67" s="2" t="s">
        <v>271</v>
      </c>
      <c r="D67" t="s">
        <v>1204</v>
      </c>
      <c r="E67" t="s">
        <v>391</v>
      </c>
      <c r="F67" t="s">
        <v>201</v>
      </c>
      <c r="H67" t="s">
        <v>1383</v>
      </c>
      <c r="K67" t="str">
        <f t="shared" ref="K67:K130" si="1">IF(COUNTIF(L:L, B67)&gt;0,$L$1,IF(COUNTIF(M:M, B67)&gt;0,$M$1,"no"))</f>
        <v>to dignose</v>
      </c>
      <c r="L67" s="1"/>
      <c r="M67" s="1" t="s">
        <v>58</v>
      </c>
    </row>
    <row r="68" spans="1:13" ht="19">
      <c r="A68">
        <v>67</v>
      </c>
      <c r="B68" s="1" t="s">
        <v>34</v>
      </c>
      <c r="C68" s="2" t="s">
        <v>271</v>
      </c>
      <c r="D68" t="s">
        <v>1204</v>
      </c>
      <c r="E68" t="s">
        <v>391</v>
      </c>
      <c r="F68" t="s">
        <v>201</v>
      </c>
      <c r="H68" t="s">
        <v>1384</v>
      </c>
      <c r="K68" t="str">
        <f t="shared" si="1"/>
        <v>to dignose</v>
      </c>
      <c r="L68" s="1"/>
      <c r="M68" s="1" t="s">
        <v>254</v>
      </c>
    </row>
    <row r="69" spans="1:13" ht="19">
      <c r="A69">
        <v>68</v>
      </c>
      <c r="B69" s="1" t="s">
        <v>35</v>
      </c>
      <c r="C69" s="2" t="s">
        <v>271</v>
      </c>
      <c r="D69" t="s">
        <v>85</v>
      </c>
      <c r="E69" t="s">
        <v>391</v>
      </c>
      <c r="K69" t="str">
        <f t="shared" si="1"/>
        <v>segmented videos list</v>
      </c>
      <c r="L69" s="1"/>
      <c r="M69" s="1" t="s">
        <v>255</v>
      </c>
    </row>
    <row r="70" spans="1:13" ht="19">
      <c r="A70">
        <v>69</v>
      </c>
      <c r="B70" s="1" t="s">
        <v>36</v>
      </c>
      <c r="C70" s="2" t="s">
        <v>271</v>
      </c>
      <c r="D70" t="s">
        <v>85</v>
      </c>
      <c r="E70" t="s">
        <v>391</v>
      </c>
      <c r="K70" t="str">
        <f t="shared" si="1"/>
        <v>segmented videos list</v>
      </c>
      <c r="L70" s="1"/>
      <c r="M70" s="1" t="s">
        <v>257</v>
      </c>
    </row>
    <row r="71" spans="1:13" ht="19">
      <c r="A71">
        <v>70</v>
      </c>
      <c r="B71" s="1" t="s">
        <v>37</v>
      </c>
      <c r="C71" s="2" t="s">
        <v>271</v>
      </c>
      <c r="D71" t="s">
        <v>1204</v>
      </c>
      <c r="E71" t="s">
        <v>391</v>
      </c>
      <c r="F71" t="s">
        <v>201</v>
      </c>
      <c r="H71" t="s">
        <v>1385</v>
      </c>
      <c r="K71" t="str">
        <f t="shared" si="1"/>
        <v>to dignose</v>
      </c>
      <c r="L71" s="1"/>
      <c r="M71" s="1" t="s">
        <v>264</v>
      </c>
    </row>
    <row r="72" spans="1:13" ht="19">
      <c r="A72">
        <v>71</v>
      </c>
      <c r="B72" s="1" t="s">
        <v>38</v>
      </c>
      <c r="C72" s="2" t="s">
        <v>271</v>
      </c>
      <c r="D72" t="s">
        <v>1201</v>
      </c>
      <c r="E72" t="s">
        <v>391</v>
      </c>
      <c r="F72" t="s">
        <v>192</v>
      </c>
      <c r="H72" t="s">
        <v>1368</v>
      </c>
      <c r="K72" t="str">
        <f t="shared" si="1"/>
        <v>to dignose</v>
      </c>
      <c r="L72" s="1"/>
      <c r="M72" s="1" t="s">
        <v>59</v>
      </c>
    </row>
    <row r="73" spans="1:13" ht="19">
      <c r="A73">
        <v>72</v>
      </c>
      <c r="B73" s="1" t="s">
        <v>39</v>
      </c>
      <c r="C73" s="2" t="s">
        <v>271</v>
      </c>
      <c r="D73" t="s">
        <v>84</v>
      </c>
      <c r="E73" t="s">
        <v>391</v>
      </c>
      <c r="K73" t="str">
        <f t="shared" si="1"/>
        <v>segmented videos list</v>
      </c>
      <c r="L73" s="1"/>
      <c r="M73" s="1" t="s">
        <v>60</v>
      </c>
    </row>
    <row r="74" spans="1:13" ht="19">
      <c r="A74">
        <v>73</v>
      </c>
      <c r="B74" s="1" t="s">
        <v>242</v>
      </c>
      <c r="C74" s="2" t="s">
        <v>267</v>
      </c>
      <c r="D74" t="s">
        <v>84</v>
      </c>
      <c r="E74" t="s">
        <v>391</v>
      </c>
      <c r="K74" t="str">
        <f t="shared" si="1"/>
        <v>segmented videos list</v>
      </c>
      <c r="L74" s="1"/>
      <c r="M74" s="1" t="s">
        <v>265</v>
      </c>
    </row>
    <row r="75" spans="1:13" ht="19">
      <c r="A75">
        <v>74</v>
      </c>
      <c r="B75" s="1" t="s">
        <v>40</v>
      </c>
      <c r="C75" s="2" t="s">
        <v>271</v>
      </c>
      <c r="D75" t="s">
        <v>1203</v>
      </c>
      <c r="E75" t="s">
        <v>391</v>
      </c>
      <c r="F75" t="s">
        <v>192</v>
      </c>
      <c r="H75" t="s">
        <v>1375</v>
      </c>
      <c r="K75" t="str">
        <f t="shared" si="1"/>
        <v>to dignose</v>
      </c>
      <c r="L75" s="1"/>
      <c r="M75" s="1" t="s">
        <v>61</v>
      </c>
    </row>
    <row r="76" spans="1:13" ht="19">
      <c r="A76">
        <v>75</v>
      </c>
      <c r="B76" s="1" t="s">
        <v>243</v>
      </c>
      <c r="C76" s="2" t="s">
        <v>269</v>
      </c>
      <c r="D76" t="s">
        <v>84</v>
      </c>
      <c r="E76" t="s">
        <v>391</v>
      </c>
      <c r="K76" t="str">
        <f t="shared" si="1"/>
        <v>no</v>
      </c>
      <c r="L76" s="1"/>
      <c r="M76" s="1" t="s">
        <v>266</v>
      </c>
    </row>
    <row r="77" spans="1:13" ht="19">
      <c r="A77">
        <v>76</v>
      </c>
      <c r="B77" s="1" t="s">
        <v>41</v>
      </c>
      <c r="C77" s="2" t="s">
        <v>271</v>
      </c>
      <c r="D77" t="s">
        <v>84</v>
      </c>
      <c r="E77" t="s">
        <v>391</v>
      </c>
      <c r="K77" t="str">
        <f t="shared" si="1"/>
        <v>no</v>
      </c>
      <c r="L77" s="1"/>
      <c r="M77" s="1" t="s">
        <v>62</v>
      </c>
    </row>
    <row r="78" spans="1:13" ht="19">
      <c r="A78">
        <v>77</v>
      </c>
      <c r="B78" s="1" t="s">
        <v>244</v>
      </c>
      <c r="C78" s="2" t="s">
        <v>274</v>
      </c>
      <c r="D78" t="s">
        <v>84</v>
      </c>
      <c r="E78" t="s">
        <v>391</v>
      </c>
      <c r="K78" t="str">
        <f t="shared" si="1"/>
        <v>no</v>
      </c>
      <c r="L78" s="1"/>
      <c r="M78" s="1" t="s">
        <v>63</v>
      </c>
    </row>
    <row r="79" spans="1:13" ht="19">
      <c r="A79">
        <v>78</v>
      </c>
      <c r="B79" s="1" t="s">
        <v>245</v>
      </c>
      <c r="C79" s="2" t="s">
        <v>269</v>
      </c>
      <c r="D79" t="s">
        <v>84</v>
      </c>
      <c r="E79" t="s">
        <v>391</v>
      </c>
      <c r="K79" t="str">
        <f t="shared" si="1"/>
        <v>no</v>
      </c>
      <c r="L79" s="1"/>
      <c r="M79" s="1"/>
    </row>
    <row r="80" spans="1:13" ht="19">
      <c r="A80">
        <v>79</v>
      </c>
      <c r="B80" s="1" t="s">
        <v>42</v>
      </c>
      <c r="C80" s="2" t="s">
        <v>271</v>
      </c>
      <c r="D80" t="s">
        <v>87</v>
      </c>
      <c r="E80" t="s">
        <v>391</v>
      </c>
      <c r="K80" t="str">
        <f t="shared" si="1"/>
        <v>no</v>
      </c>
      <c r="L80" s="1"/>
      <c r="M80" s="1"/>
    </row>
    <row r="81" spans="1:11" ht="19">
      <c r="A81">
        <v>80</v>
      </c>
      <c r="B81" s="1" t="s">
        <v>43</v>
      </c>
      <c r="C81" s="2" t="s">
        <v>271</v>
      </c>
      <c r="D81" t="s">
        <v>87</v>
      </c>
      <c r="E81" t="s">
        <v>391</v>
      </c>
      <c r="K81" t="str">
        <f t="shared" si="1"/>
        <v>no</v>
      </c>
    </row>
    <row r="82" spans="1:11" ht="19">
      <c r="A82">
        <v>81</v>
      </c>
      <c r="B82" s="1" t="s">
        <v>246</v>
      </c>
      <c r="C82" s="2" t="s">
        <v>273</v>
      </c>
      <c r="D82" t="s">
        <v>84</v>
      </c>
      <c r="E82" t="s">
        <v>391</v>
      </c>
      <c r="K82" t="str">
        <f t="shared" si="1"/>
        <v>no</v>
      </c>
    </row>
    <row r="83" spans="1:11" ht="19">
      <c r="A83">
        <v>82</v>
      </c>
      <c r="B83" s="1" t="s">
        <v>247</v>
      </c>
      <c r="C83" s="2" t="s">
        <v>269</v>
      </c>
      <c r="D83" t="s">
        <v>84</v>
      </c>
      <c r="E83" t="s">
        <v>391</v>
      </c>
      <c r="K83" t="str">
        <f t="shared" si="1"/>
        <v>no</v>
      </c>
    </row>
    <row r="84" spans="1:11" ht="19">
      <c r="A84">
        <v>83</v>
      </c>
      <c r="B84" s="1" t="s">
        <v>248</v>
      </c>
      <c r="C84" s="2" t="s">
        <v>269</v>
      </c>
      <c r="D84" t="s">
        <v>84</v>
      </c>
      <c r="E84" t="s">
        <v>391</v>
      </c>
      <c r="K84" t="str">
        <f t="shared" si="1"/>
        <v>no</v>
      </c>
    </row>
    <row r="85" spans="1:11" ht="19">
      <c r="A85">
        <v>84</v>
      </c>
      <c r="B85" s="1" t="s">
        <v>44</v>
      </c>
      <c r="C85" s="2" t="s">
        <v>271</v>
      </c>
      <c r="D85" t="s">
        <v>87</v>
      </c>
      <c r="E85" t="s">
        <v>391</v>
      </c>
      <c r="K85" t="str">
        <f t="shared" si="1"/>
        <v>no</v>
      </c>
    </row>
    <row r="86" spans="1:11" ht="19">
      <c r="A86">
        <v>85</v>
      </c>
      <c r="B86" s="1" t="s">
        <v>249</v>
      </c>
      <c r="C86" s="2" t="s">
        <v>274</v>
      </c>
      <c r="D86" t="s">
        <v>84</v>
      </c>
      <c r="E86" t="s">
        <v>391</v>
      </c>
      <c r="K86" t="str">
        <f t="shared" si="1"/>
        <v>no</v>
      </c>
    </row>
    <row r="87" spans="1:11" ht="19">
      <c r="A87">
        <v>86</v>
      </c>
      <c r="B87" s="1" t="s">
        <v>45</v>
      </c>
      <c r="C87" s="2" t="s">
        <v>271</v>
      </c>
      <c r="D87" t="s">
        <v>84</v>
      </c>
      <c r="E87" t="s">
        <v>391</v>
      </c>
      <c r="K87" t="str">
        <f t="shared" si="1"/>
        <v>no</v>
      </c>
    </row>
    <row r="88" spans="1:11" ht="19">
      <c r="A88">
        <v>87</v>
      </c>
      <c r="B88" s="1" t="s">
        <v>250</v>
      </c>
      <c r="C88" s="2" t="s">
        <v>268</v>
      </c>
      <c r="D88" t="s">
        <v>84</v>
      </c>
      <c r="E88" t="s">
        <v>391</v>
      </c>
      <c r="K88" t="str">
        <f t="shared" si="1"/>
        <v>no</v>
      </c>
    </row>
    <row r="89" spans="1:11" ht="19">
      <c r="A89">
        <v>88</v>
      </c>
      <c r="B89" s="1" t="s">
        <v>46</v>
      </c>
      <c r="C89" s="2" t="s">
        <v>271</v>
      </c>
      <c r="D89" t="s">
        <v>84</v>
      </c>
      <c r="E89" t="s">
        <v>391</v>
      </c>
      <c r="K89" t="str">
        <f t="shared" si="1"/>
        <v>no</v>
      </c>
    </row>
    <row r="90" spans="1:11" ht="19">
      <c r="A90">
        <v>89</v>
      </c>
      <c r="B90" s="1" t="s">
        <v>47</v>
      </c>
      <c r="C90" s="2" t="s">
        <v>271</v>
      </c>
      <c r="D90" t="s">
        <v>84</v>
      </c>
      <c r="E90" t="s">
        <v>391</v>
      </c>
      <c r="K90" t="str">
        <f t="shared" si="1"/>
        <v>no</v>
      </c>
    </row>
    <row r="91" spans="1:11" ht="19">
      <c r="A91">
        <v>90</v>
      </c>
      <c r="B91" s="1" t="s">
        <v>48</v>
      </c>
      <c r="C91" s="2" t="s">
        <v>271</v>
      </c>
      <c r="D91" t="s">
        <v>84</v>
      </c>
      <c r="E91" t="s">
        <v>391</v>
      </c>
      <c r="K91" t="str">
        <f t="shared" si="1"/>
        <v>no</v>
      </c>
    </row>
    <row r="92" spans="1:11" ht="19">
      <c r="A92">
        <v>91</v>
      </c>
      <c r="B92" s="1" t="s">
        <v>49</v>
      </c>
      <c r="C92" s="2" t="s">
        <v>271</v>
      </c>
      <c r="D92" t="s">
        <v>84</v>
      </c>
      <c r="E92" t="s">
        <v>391</v>
      </c>
      <c r="K92" t="str">
        <f t="shared" si="1"/>
        <v>no</v>
      </c>
    </row>
    <row r="93" spans="1:11" ht="19">
      <c r="A93">
        <v>92</v>
      </c>
      <c r="B93" s="1" t="s">
        <v>50</v>
      </c>
      <c r="C93" s="2" t="s">
        <v>271</v>
      </c>
      <c r="D93" t="s">
        <v>84</v>
      </c>
      <c r="E93" t="s">
        <v>391</v>
      </c>
      <c r="K93" t="str">
        <f t="shared" si="1"/>
        <v>no</v>
      </c>
    </row>
    <row r="94" spans="1:11" ht="19">
      <c r="A94">
        <v>93</v>
      </c>
      <c r="B94" s="1" t="s">
        <v>51</v>
      </c>
      <c r="C94" s="2" t="s">
        <v>271</v>
      </c>
      <c r="D94" t="s">
        <v>84</v>
      </c>
      <c r="E94" t="s">
        <v>391</v>
      </c>
      <c r="K94" t="str">
        <f t="shared" si="1"/>
        <v>no</v>
      </c>
    </row>
    <row r="95" spans="1:11" ht="19">
      <c r="A95">
        <v>94</v>
      </c>
      <c r="B95" s="1" t="s">
        <v>52</v>
      </c>
      <c r="C95" s="2" t="s">
        <v>271</v>
      </c>
      <c r="D95" t="s">
        <v>84</v>
      </c>
      <c r="E95" t="s">
        <v>391</v>
      </c>
      <c r="K95" t="str">
        <f t="shared" si="1"/>
        <v>no</v>
      </c>
    </row>
    <row r="96" spans="1:11" ht="19">
      <c r="A96">
        <v>95</v>
      </c>
      <c r="B96" s="1" t="s">
        <v>53</v>
      </c>
      <c r="C96" s="2" t="s">
        <v>271</v>
      </c>
      <c r="D96" t="s">
        <v>84</v>
      </c>
      <c r="E96" t="s">
        <v>391</v>
      </c>
      <c r="K96" t="str">
        <f t="shared" si="1"/>
        <v>no</v>
      </c>
    </row>
    <row r="97" spans="1:11" ht="19">
      <c r="A97">
        <v>96</v>
      </c>
      <c r="B97" s="1" t="s">
        <v>251</v>
      </c>
      <c r="C97" s="2" t="s">
        <v>267</v>
      </c>
      <c r="D97" t="s">
        <v>84</v>
      </c>
      <c r="E97" t="s">
        <v>391</v>
      </c>
      <c r="K97" t="str">
        <f t="shared" si="1"/>
        <v>segmented videos list</v>
      </c>
    </row>
    <row r="98" spans="1:11" ht="19">
      <c r="A98">
        <v>97</v>
      </c>
      <c r="B98" s="1" t="s">
        <v>54</v>
      </c>
      <c r="C98" s="2" t="s">
        <v>271</v>
      </c>
      <c r="D98" t="s">
        <v>84</v>
      </c>
      <c r="E98" t="s">
        <v>391</v>
      </c>
      <c r="K98" t="str">
        <f t="shared" si="1"/>
        <v>segmented videos list</v>
      </c>
    </row>
    <row r="99" spans="1:11" ht="19">
      <c r="A99">
        <v>98</v>
      </c>
      <c r="B99" s="1" t="s">
        <v>55</v>
      </c>
      <c r="C99" s="2" t="s">
        <v>271</v>
      </c>
      <c r="D99" t="s">
        <v>1201</v>
      </c>
      <c r="E99" t="s">
        <v>391</v>
      </c>
      <c r="F99" t="s">
        <v>192</v>
      </c>
      <c r="H99" t="s">
        <v>1369</v>
      </c>
      <c r="K99" t="str">
        <f t="shared" si="1"/>
        <v>to dignose</v>
      </c>
    </row>
    <row r="100" spans="1:11" ht="19">
      <c r="A100">
        <v>99</v>
      </c>
      <c r="B100" s="1" t="s">
        <v>252</v>
      </c>
      <c r="C100" s="2" t="s">
        <v>274</v>
      </c>
      <c r="D100" t="s">
        <v>84</v>
      </c>
      <c r="E100" t="s">
        <v>391</v>
      </c>
      <c r="K100" t="str">
        <f t="shared" si="1"/>
        <v>segmented videos list</v>
      </c>
    </row>
    <row r="101" spans="1:11" ht="19">
      <c r="A101">
        <v>100</v>
      </c>
      <c r="B101" s="1" t="s">
        <v>56</v>
      </c>
      <c r="C101" s="2" t="s">
        <v>271</v>
      </c>
      <c r="D101" t="s">
        <v>84</v>
      </c>
      <c r="E101" t="s">
        <v>391</v>
      </c>
      <c r="K101" t="str">
        <f t="shared" si="1"/>
        <v>segmented videos list</v>
      </c>
    </row>
    <row r="102" spans="1:11" ht="19">
      <c r="A102">
        <v>101</v>
      </c>
      <c r="B102" s="1" t="s">
        <v>253</v>
      </c>
      <c r="C102" s="2" t="s">
        <v>267</v>
      </c>
      <c r="D102" t="s">
        <v>84</v>
      </c>
      <c r="E102" t="s">
        <v>391</v>
      </c>
      <c r="K102" t="str">
        <f t="shared" si="1"/>
        <v>segmented videos list</v>
      </c>
    </row>
    <row r="103" spans="1:11" ht="19">
      <c r="A103">
        <v>102</v>
      </c>
      <c r="B103" s="1" t="s">
        <v>57</v>
      </c>
      <c r="C103" s="2" t="s">
        <v>271</v>
      </c>
      <c r="D103" t="s">
        <v>84</v>
      </c>
      <c r="E103" t="s">
        <v>391</v>
      </c>
      <c r="K103" t="str">
        <f t="shared" si="1"/>
        <v>segmented videos list</v>
      </c>
    </row>
    <row r="104" spans="1:11" ht="19">
      <c r="A104">
        <v>103</v>
      </c>
      <c r="B104" s="1" t="s">
        <v>58</v>
      </c>
      <c r="C104" s="2" t="s">
        <v>271</v>
      </c>
      <c r="D104" t="s">
        <v>1203</v>
      </c>
      <c r="E104" t="s">
        <v>391</v>
      </c>
      <c r="F104" t="s">
        <v>201</v>
      </c>
      <c r="H104" t="s">
        <v>1376</v>
      </c>
      <c r="K104" t="str">
        <f t="shared" si="1"/>
        <v>to dignose</v>
      </c>
    </row>
    <row r="105" spans="1:11" ht="19">
      <c r="A105">
        <v>104</v>
      </c>
      <c r="B105" s="1" t="s">
        <v>254</v>
      </c>
      <c r="C105" s="2" t="s">
        <v>269</v>
      </c>
      <c r="D105" t="s">
        <v>84</v>
      </c>
      <c r="E105" t="s">
        <v>391</v>
      </c>
      <c r="K105" t="str">
        <f t="shared" si="1"/>
        <v>segmented videos list</v>
      </c>
    </row>
    <row r="106" spans="1:11" ht="19">
      <c r="A106">
        <v>105</v>
      </c>
      <c r="B106" s="1" t="s">
        <v>255</v>
      </c>
      <c r="C106" s="2" t="s">
        <v>269</v>
      </c>
      <c r="D106" t="s">
        <v>1201</v>
      </c>
      <c r="E106" t="s">
        <v>391</v>
      </c>
      <c r="F106" t="s">
        <v>192</v>
      </c>
      <c r="H106" t="s">
        <v>1370</v>
      </c>
      <c r="K106" t="str">
        <f t="shared" si="1"/>
        <v>to dignose</v>
      </c>
    </row>
    <row r="107" spans="1:11" ht="19">
      <c r="A107">
        <v>106</v>
      </c>
      <c r="B107" s="1" t="s">
        <v>256</v>
      </c>
      <c r="C107" s="2" t="s">
        <v>269</v>
      </c>
      <c r="D107" t="s">
        <v>84</v>
      </c>
      <c r="E107" t="s">
        <v>391</v>
      </c>
      <c r="K107" t="str">
        <f t="shared" si="1"/>
        <v>no</v>
      </c>
    </row>
    <row r="108" spans="1:11" ht="19">
      <c r="A108">
        <v>107</v>
      </c>
      <c r="B108" s="1" t="s">
        <v>257</v>
      </c>
      <c r="C108" s="2" t="s">
        <v>274</v>
      </c>
      <c r="D108" t="s">
        <v>84</v>
      </c>
      <c r="E108" t="s">
        <v>391</v>
      </c>
      <c r="K108" t="str">
        <f t="shared" si="1"/>
        <v>segmented videos list</v>
      </c>
    </row>
    <row r="109" spans="1:11" ht="19">
      <c r="A109">
        <v>108</v>
      </c>
      <c r="B109" s="1" t="s">
        <v>258</v>
      </c>
      <c r="C109" s="2" t="s">
        <v>267</v>
      </c>
      <c r="D109" t="s">
        <v>84</v>
      </c>
      <c r="E109" t="s">
        <v>391</v>
      </c>
      <c r="K109" t="str">
        <f t="shared" si="1"/>
        <v>no</v>
      </c>
    </row>
    <row r="110" spans="1:11" ht="19">
      <c r="A110">
        <v>109</v>
      </c>
      <c r="B110" s="1" t="s">
        <v>259</v>
      </c>
      <c r="C110" s="2" t="s">
        <v>274</v>
      </c>
      <c r="D110" t="s">
        <v>84</v>
      </c>
      <c r="E110" t="s">
        <v>391</v>
      </c>
      <c r="K110" t="str">
        <f t="shared" si="1"/>
        <v>no</v>
      </c>
    </row>
    <row r="111" spans="1:11" ht="19">
      <c r="A111">
        <v>110</v>
      </c>
      <c r="B111" s="1" t="s">
        <v>260</v>
      </c>
      <c r="C111" s="2" t="s">
        <v>269</v>
      </c>
      <c r="D111" t="s">
        <v>84</v>
      </c>
      <c r="E111" t="s">
        <v>391</v>
      </c>
      <c r="K111" t="str">
        <f t="shared" si="1"/>
        <v>no</v>
      </c>
    </row>
    <row r="112" spans="1:11" ht="19">
      <c r="A112">
        <v>111</v>
      </c>
      <c r="B112" s="1" t="s">
        <v>261</v>
      </c>
      <c r="C112" s="2" t="s">
        <v>274</v>
      </c>
      <c r="D112" t="s">
        <v>84</v>
      </c>
      <c r="E112" t="s">
        <v>391</v>
      </c>
      <c r="K112" t="str">
        <f t="shared" si="1"/>
        <v>no</v>
      </c>
    </row>
    <row r="113" spans="1:11" ht="19">
      <c r="A113">
        <v>112</v>
      </c>
      <c r="B113" s="1" t="s">
        <v>262</v>
      </c>
      <c r="C113" s="2" t="s">
        <v>269</v>
      </c>
      <c r="D113" t="s">
        <v>84</v>
      </c>
      <c r="E113" t="s">
        <v>391</v>
      </c>
      <c r="K113" t="str">
        <f t="shared" si="1"/>
        <v>no</v>
      </c>
    </row>
    <row r="114" spans="1:11" ht="19">
      <c r="A114">
        <v>113</v>
      </c>
      <c r="B114" s="1" t="s">
        <v>263</v>
      </c>
      <c r="C114" s="2" t="s">
        <v>269</v>
      </c>
      <c r="D114" t="s">
        <v>84</v>
      </c>
      <c r="E114" t="s">
        <v>391</v>
      </c>
      <c r="K114" t="str">
        <f t="shared" si="1"/>
        <v>no</v>
      </c>
    </row>
    <row r="115" spans="1:11" ht="19">
      <c r="A115">
        <v>114</v>
      </c>
      <c r="B115" s="1" t="s">
        <v>264</v>
      </c>
      <c r="C115" s="2" t="s">
        <v>267</v>
      </c>
      <c r="D115" t="s">
        <v>85</v>
      </c>
      <c r="E115" t="s">
        <v>391</v>
      </c>
      <c r="K115" t="str">
        <f t="shared" si="1"/>
        <v>segmented videos list</v>
      </c>
    </row>
    <row r="116" spans="1:11" ht="19">
      <c r="A116">
        <v>115</v>
      </c>
      <c r="B116" s="1" t="s">
        <v>59</v>
      </c>
      <c r="C116" s="2" t="s">
        <v>271</v>
      </c>
      <c r="D116" t="s">
        <v>1204</v>
      </c>
      <c r="E116" t="s">
        <v>391</v>
      </c>
      <c r="F116" t="s">
        <v>201</v>
      </c>
      <c r="H116" t="s">
        <v>1386</v>
      </c>
      <c r="K116" t="str">
        <f t="shared" si="1"/>
        <v>to dignose</v>
      </c>
    </row>
    <row r="117" spans="1:11" ht="19">
      <c r="A117">
        <v>116</v>
      </c>
      <c r="B117" s="1" t="s">
        <v>60</v>
      </c>
      <c r="C117" s="2" t="s">
        <v>271</v>
      </c>
      <c r="D117" t="s">
        <v>84</v>
      </c>
      <c r="E117" t="s">
        <v>391</v>
      </c>
      <c r="K117" t="str">
        <f t="shared" si="1"/>
        <v>segmented videos list</v>
      </c>
    </row>
    <row r="118" spans="1:11" ht="19">
      <c r="A118">
        <v>117</v>
      </c>
      <c r="B118" s="1" t="s">
        <v>265</v>
      </c>
      <c r="C118" s="2" t="s">
        <v>267</v>
      </c>
      <c r="D118" t="s">
        <v>84</v>
      </c>
      <c r="E118" t="s">
        <v>391</v>
      </c>
      <c r="K118" t="str">
        <f t="shared" si="1"/>
        <v>segmented videos list</v>
      </c>
    </row>
    <row r="119" spans="1:11" ht="19">
      <c r="A119">
        <v>118</v>
      </c>
      <c r="B119" s="1" t="s">
        <v>61</v>
      </c>
      <c r="C119" s="2" t="s">
        <v>271</v>
      </c>
      <c r="D119" t="s">
        <v>1203</v>
      </c>
      <c r="E119" t="s">
        <v>391</v>
      </c>
      <c r="F119" t="s">
        <v>192</v>
      </c>
      <c r="H119" t="s">
        <v>1377</v>
      </c>
      <c r="K119" t="str">
        <f t="shared" si="1"/>
        <v>to dignose</v>
      </c>
    </row>
    <row r="120" spans="1:11" ht="19">
      <c r="A120">
        <v>119</v>
      </c>
      <c r="B120" s="1" t="s">
        <v>266</v>
      </c>
      <c r="C120" s="2" t="s">
        <v>269</v>
      </c>
      <c r="D120" t="s">
        <v>84</v>
      </c>
      <c r="E120" t="s">
        <v>391</v>
      </c>
      <c r="K120" t="str">
        <f t="shared" si="1"/>
        <v>segmented videos list</v>
      </c>
    </row>
    <row r="121" spans="1:11" ht="19">
      <c r="A121">
        <v>120</v>
      </c>
      <c r="B121" s="1" t="s">
        <v>62</v>
      </c>
      <c r="C121" s="2" t="s">
        <v>271</v>
      </c>
      <c r="D121" t="s">
        <v>84</v>
      </c>
      <c r="E121" t="s">
        <v>391</v>
      </c>
      <c r="K121" t="str">
        <f t="shared" si="1"/>
        <v>segmented videos list</v>
      </c>
    </row>
    <row r="122" spans="1:11" ht="19">
      <c r="A122">
        <v>121</v>
      </c>
      <c r="B122" s="1" t="s">
        <v>63</v>
      </c>
      <c r="C122" s="2" t="s">
        <v>271</v>
      </c>
      <c r="D122" t="s">
        <v>84</v>
      </c>
      <c r="E122" t="s">
        <v>391</v>
      </c>
      <c r="K122" t="str">
        <f t="shared" si="1"/>
        <v>segmented videos list</v>
      </c>
    </row>
    <row r="123" spans="1:11" ht="19">
      <c r="A123">
        <v>122</v>
      </c>
      <c r="B123" s="1" t="s">
        <v>64</v>
      </c>
      <c r="C123" s="2" t="s">
        <v>271</v>
      </c>
      <c r="D123" t="s">
        <v>84</v>
      </c>
      <c r="E123" t="s">
        <v>391</v>
      </c>
      <c r="K123" t="str">
        <f t="shared" si="1"/>
        <v>no</v>
      </c>
    </row>
    <row r="124" spans="1:11" ht="19">
      <c r="A124">
        <v>123</v>
      </c>
      <c r="B124" s="1" t="s">
        <v>65</v>
      </c>
      <c r="C124" s="2" t="s">
        <v>271</v>
      </c>
      <c r="D124" t="s">
        <v>84</v>
      </c>
      <c r="E124" t="s">
        <v>391</v>
      </c>
      <c r="K124" t="str">
        <f t="shared" si="1"/>
        <v>no</v>
      </c>
    </row>
    <row r="125" spans="1:11" ht="19">
      <c r="A125">
        <v>124</v>
      </c>
      <c r="B125" s="1" t="s">
        <v>66</v>
      </c>
      <c r="C125" s="2" t="s">
        <v>271</v>
      </c>
      <c r="D125" t="s">
        <v>84</v>
      </c>
      <c r="E125" t="s">
        <v>391</v>
      </c>
      <c r="K125" t="str">
        <f t="shared" si="1"/>
        <v>no</v>
      </c>
    </row>
    <row r="126" spans="1:11" ht="19">
      <c r="A126">
        <v>125</v>
      </c>
      <c r="B126" s="1" t="s">
        <v>67</v>
      </c>
      <c r="C126" s="2" t="s">
        <v>271</v>
      </c>
      <c r="D126" t="s">
        <v>84</v>
      </c>
      <c r="E126" t="s">
        <v>391</v>
      </c>
      <c r="K126" t="str">
        <f t="shared" si="1"/>
        <v>no</v>
      </c>
    </row>
    <row r="127" spans="1:11" ht="19">
      <c r="A127">
        <v>126</v>
      </c>
      <c r="B127" s="1" t="s">
        <v>68</v>
      </c>
      <c r="C127" s="2" t="s">
        <v>271</v>
      </c>
      <c r="D127" t="s">
        <v>84</v>
      </c>
      <c r="E127" t="s">
        <v>391</v>
      </c>
      <c r="K127" t="str">
        <f t="shared" si="1"/>
        <v>no</v>
      </c>
    </row>
    <row r="128" spans="1:11" ht="19">
      <c r="A128">
        <v>127</v>
      </c>
      <c r="B128" s="1" t="s">
        <v>69</v>
      </c>
      <c r="C128" s="2" t="s">
        <v>271</v>
      </c>
      <c r="D128" t="s">
        <v>84</v>
      </c>
      <c r="E128" t="s">
        <v>391</v>
      </c>
      <c r="K128" t="str">
        <f t="shared" si="1"/>
        <v>no</v>
      </c>
    </row>
    <row r="129" spans="1:11" ht="19">
      <c r="A129">
        <v>128</v>
      </c>
      <c r="B129" s="1" t="s">
        <v>70</v>
      </c>
      <c r="C129" s="2" t="s">
        <v>271</v>
      </c>
      <c r="D129" t="s">
        <v>84</v>
      </c>
      <c r="E129" t="s">
        <v>391</v>
      </c>
      <c r="K129" t="str">
        <f t="shared" si="1"/>
        <v>no</v>
      </c>
    </row>
    <row r="130" spans="1:11" ht="19">
      <c r="A130">
        <v>129</v>
      </c>
      <c r="B130" s="1" t="s">
        <v>71</v>
      </c>
      <c r="C130" s="2" t="s">
        <v>271</v>
      </c>
      <c r="D130" t="s">
        <v>84</v>
      </c>
      <c r="E130" t="s">
        <v>391</v>
      </c>
      <c r="K130" t="str">
        <f t="shared" si="1"/>
        <v>no</v>
      </c>
    </row>
    <row r="131" spans="1:11" ht="19">
      <c r="A131">
        <v>130</v>
      </c>
      <c r="B131" s="1" t="s">
        <v>72</v>
      </c>
      <c r="C131" s="2" t="s">
        <v>271</v>
      </c>
      <c r="D131" t="s">
        <v>84</v>
      </c>
      <c r="E131" t="s">
        <v>391</v>
      </c>
      <c r="K131" t="str">
        <f t="shared" ref="K131:K142" si="2">IF(COUNTIF(L:L, B131)&gt;0,$L$1,IF(COUNTIF(M:M, B131)&gt;0,$M$1,"no"))</f>
        <v>no</v>
      </c>
    </row>
    <row r="132" spans="1:11" ht="19">
      <c r="A132">
        <v>131</v>
      </c>
      <c r="B132" s="1" t="s">
        <v>73</v>
      </c>
      <c r="C132" s="2" t="s">
        <v>271</v>
      </c>
      <c r="D132" t="s">
        <v>84</v>
      </c>
      <c r="E132" t="s">
        <v>391</v>
      </c>
      <c r="K132" t="str">
        <f t="shared" si="2"/>
        <v>no</v>
      </c>
    </row>
    <row r="133" spans="1:11" ht="19">
      <c r="A133">
        <v>132</v>
      </c>
      <c r="B133" s="1" t="s">
        <v>74</v>
      </c>
      <c r="C133" s="2" t="s">
        <v>271</v>
      </c>
      <c r="D133" t="s">
        <v>84</v>
      </c>
      <c r="E133" t="s">
        <v>391</v>
      </c>
      <c r="K133" t="str">
        <f t="shared" si="2"/>
        <v>no</v>
      </c>
    </row>
    <row r="134" spans="1:11" ht="19">
      <c r="A134">
        <v>133</v>
      </c>
      <c r="B134" s="1" t="s">
        <v>75</v>
      </c>
      <c r="C134" s="2" t="s">
        <v>271</v>
      </c>
      <c r="D134" t="s">
        <v>84</v>
      </c>
      <c r="E134" t="s">
        <v>391</v>
      </c>
      <c r="K134" t="str">
        <f t="shared" si="2"/>
        <v>no</v>
      </c>
    </row>
    <row r="135" spans="1:11" ht="19">
      <c r="A135">
        <v>134</v>
      </c>
      <c r="B135" s="1" t="s">
        <v>76</v>
      </c>
      <c r="C135" s="2" t="s">
        <v>271</v>
      </c>
      <c r="D135" t="s">
        <v>84</v>
      </c>
      <c r="E135" t="s">
        <v>391</v>
      </c>
      <c r="K135" t="str">
        <f t="shared" si="2"/>
        <v>no</v>
      </c>
    </row>
    <row r="136" spans="1:11" ht="19">
      <c r="A136">
        <v>135</v>
      </c>
      <c r="B136" s="1" t="s">
        <v>77</v>
      </c>
      <c r="C136" s="2" t="s">
        <v>271</v>
      </c>
      <c r="D136" t="s">
        <v>84</v>
      </c>
      <c r="E136" t="s">
        <v>391</v>
      </c>
      <c r="K136" t="str">
        <f t="shared" si="2"/>
        <v>no</v>
      </c>
    </row>
    <row r="137" spans="1:11" ht="19">
      <c r="A137">
        <v>136</v>
      </c>
      <c r="B137" s="1" t="s">
        <v>78</v>
      </c>
      <c r="C137" s="2" t="s">
        <v>271</v>
      </c>
      <c r="D137" t="s">
        <v>84</v>
      </c>
      <c r="E137" t="s">
        <v>391</v>
      </c>
      <c r="K137" t="str">
        <f t="shared" si="2"/>
        <v>no</v>
      </c>
    </row>
    <row r="138" spans="1:11" ht="19">
      <c r="A138">
        <v>137</v>
      </c>
      <c r="B138" s="1" t="s">
        <v>79</v>
      </c>
      <c r="C138" s="2" t="s">
        <v>271</v>
      </c>
      <c r="D138" t="s">
        <v>84</v>
      </c>
      <c r="E138" t="s">
        <v>391</v>
      </c>
      <c r="K138" t="str">
        <f t="shared" si="2"/>
        <v>no</v>
      </c>
    </row>
    <row r="139" spans="1:11" ht="19">
      <c r="A139">
        <v>138</v>
      </c>
      <c r="B139" s="1" t="s">
        <v>80</v>
      </c>
      <c r="C139" s="2" t="s">
        <v>271</v>
      </c>
      <c r="D139" t="s">
        <v>84</v>
      </c>
      <c r="E139" t="s">
        <v>391</v>
      </c>
      <c r="K139" t="str">
        <f t="shared" si="2"/>
        <v>no</v>
      </c>
    </row>
    <row r="140" spans="1:11" ht="19">
      <c r="A140">
        <v>139</v>
      </c>
      <c r="B140" s="1" t="s">
        <v>81</v>
      </c>
      <c r="C140" s="2" t="s">
        <v>271</v>
      </c>
      <c r="D140" t="s">
        <v>84</v>
      </c>
      <c r="E140" t="s">
        <v>391</v>
      </c>
      <c r="K140" t="str">
        <f t="shared" si="2"/>
        <v>no</v>
      </c>
    </row>
    <row r="141" spans="1:11" ht="19">
      <c r="A141">
        <v>140</v>
      </c>
      <c r="B141" s="1" t="s">
        <v>82</v>
      </c>
      <c r="C141" s="2" t="s">
        <v>271</v>
      </c>
      <c r="D141" t="s">
        <v>84</v>
      </c>
      <c r="E141" t="s">
        <v>391</v>
      </c>
      <c r="K141" t="str">
        <f t="shared" si="2"/>
        <v>no</v>
      </c>
    </row>
    <row r="142" spans="1:11" ht="19">
      <c r="A142">
        <v>141</v>
      </c>
      <c r="B142" s="1" t="s">
        <v>83</v>
      </c>
      <c r="C142" s="2" t="s">
        <v>271</v>
      </c>
      <c r="D142" t="s">
        <v>84</v>
      </c>
      <c r="E142" t="s">
        <v>391</v>
      </c>
      <c r="K142" t="str">
        <f t="shared" si="2"/>
        <v>no</v>
      </c>
    </row>
    <row r="143" spans="1:11" ht="19">
      <c r="B143" s="1"/>
    </row>
    <row r="144" spans="1:11" ht="19">
      <c r="B144" s="1"/>
    </row>
  </sheetData>
  <autoFilter ref="A1:L142" xr:uid="{CDC925AE-7FF0-3244-95F6-37B0F343D4FE}"/>
  <phoneticPr fontId="1" type="noConversion"/>
  <conditionalFormatting sqref="E1:E1048576">
    <cfRule type="cellIs" dxfId="62" priority="2" operator="equal">
      <formula>"no"</formula>
    </cfRule>
    <cfRule type="cellIs" dxfId="61" priority="3" operator="equal">
      <formula>"yes"</formula>
    </cfRule>
  </conditionalFormatting>
  <conditionalFormatting sqref="F2:F142">
    <cfRule type="expression" dxfId="60" priority="1">
      <formula>F2&lt;&gt;E2</formula>
    </cfRule>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BD6A1-0697-3E49-8393-FF0BA6D615E8}">
  <sheetPr codeName="工作表1"/>
  <dimension ref="A1:L144"/>
  <sheetViews>
    <sheetView zoomScale="84" zoomScaleNormal="100" workbookViewId="0">
      <pane ySplit="1" topLeftCell="A2" activePane="bottomLeft" state="frozen"/>
      <selection pane="bottomLeft" activeCell="I11" sqref="I11"/>
    </sheetView>
  </sheetViews>
  <sheetFormatPr baseColWidth="10" defaultRowHeight="15"/>
  <cols>
    <col min="2" max="2" width="12.5" customWidth="1"/>
    <col min="3" max="3" width="4.83203125" style="2" customWidth="1"/>
    <col min="5" max="5" width="11.33203125" customWidth="1"/>
    <col min="6" max="8" width="13.1640625" customWidth="1"/>
    <col min="9" max="9" width="63.1640625" customWidth="1"/>
    <col min="10" max="10" width="14.33203125" customWidth="1"/>
  </cols>
  <sheetData>
    <row r="1" spans="1:12">
      <c r="A1" t="s">
        <v>88</v>
      </c>
      <c r="B1" t="s">
        <v>0</v>
      </c>
      <c r="C1" s="2" t="s">
        <v>202</v>
      </c>
      <c r="D1" t="s">
        <v>6</v>
      </c>
      <c r="E1" t="s">
        <v>1</v>
      </c>
      <c r="F1" t="s">
        <v>4</v>
      </c>
      <c r="G1" t="s">
        <v>2</v>
      </c>
      <c r="H1" t="s">
        <v>5</v>
      </c>
      <c r="I1" t="s">
        <v>3</v>
      </c>
      <c r="J1" t="s">
        <v>1067</v>
      </c>
      <c r="K1" t="s">
        <v>1192</v>
      </c>
      <c r="L1" t="s">
        <v>1105</v>
      </c>
    </row>
    <row r="2" spans="1:12" ht="19">
      <c r="A2">
        <v>1</v>
      </c>
      <c r="B2" s="1" t="s">
        <v>7</v>
      </c>
      <c r="C2" s="2" t="s">
        <v>271</v>
      </c>
      <c r="D2" t="s">
        <v>84</v>
      </c>
      <c r="E2" t="s">
        <v>391</v>
      </c>
      <c r="F2" t="s">
        <v>192</v>
      </c>
      <c r="G2" t="s">
        <v>1241</v>
      </c>
      <c r="J2" t="str">
        <f>IF(COUNTIF(K:K, B2)&gt;0,$K$1,IF(COUNTIF(L:L, B2)&gt;0,$L$1,"no"))</f>
        <v>segmented videos list</v>
      </c>
      <c r="K2" s="1" t="s">
        <v>8</v>
      </c>
      <c r="L2" s="1" t="s">
        <v>7</v>
      </c>
    </row>
    <row r="3" spans="1:12" ht="19">
      <c r="A3">
        <v>2</v>
      </c>
      <c r="B3" s="1" t="s">
        <v>8</v>
      </c>
      <c r="C3" s="2" t="s">
        <v>271</v>
      </c>
      <c r="D3" t="s">
        <v>1204</v>
      </c>
      <c r="E3" t="s">
        <v>391</v>
      </c>
      <c r="F3" t="s">
        <v>192</v>
      </c>
      <c r="G3" t="s">
        <v>1216</v>
      </c>
      <c r="J3" t="str">
        <f t="shared" ref="J3:J66" si="0">IF(COUNTIF(K:K, B3)&gt;0,$K$1,IF(COUNTIF(L:L, B3)&gt;0,$L$1,"no"))</f>
        <v>to dignose</v>
      </c>
      <c r="K3" s="1" t="s">
        <v>9</v>
      </c>
      <c r="L3" s="1" t="s">
        <v>8</v>
      </c>
    </row>
    <row r="4" spans="1:12" ht="19">
      <c r="A4">
        <v>3</v>
      </c>
      <c r="B4" s="1" t="s">
        <v>9</v>
      </c>
      <c r="C4" s="2" t="s">
        <v>271</v>
      </c>
      <c r="D4" t="s">
        <v>1202</v>
      </c>
      <c r="E4" t="s">
        <v>391</v>
      </c>
      <c r="F4" s="17" t="s">
        <v>192</v>
      </c>
      <c r="G4" s="17" t="s">
        <v>1197</v>
      </c>
      <c r="J4" t="str">
        <f t="shared" si="0"/>
        <v>to dignose</v>
      </c>
      <c r="K4" s="1" t="s">
        <v>10</v>
      </c>
      <c r="L4" s="1" t="s">
        <v>9</v>
      </c>
    </row>
    <row r="5" spans="1:12" ht="19">
      <c r="A5">
        <v>4</v>
      </c>
      <c r="B5" s="1" t="s">
        <v>10</v>
      </c>
      <c r="C5" s="2" t="s">
        <v>271</v>
      </c>
      <c r="D5" t="s">
        <v>1204</v>
      </c>
      <c r="E5" t="s">
        <v>391</v>
      </c>
      <c r="F5" t="s">
        <v>201</v>
      </c>
      <c r="G5" t="s">
        <v>1217</v>
      </c>
      <c r="J5" t="str">
        <f t="shared" si="0"/>
        <v>to dignose</v>
      </c>
      <c r="K5" s="1" t="s">
        <v>203</v>
      </c>
      <c r="L5" s="1" t="s">
        <v>10</v>
      </c>
    </row>
    <row r="6" spans="1:12" ht="19">
      <c r="A6">
        <v>5</v>
      </c>
      <c r="B6" s="1" t="s">
        <v>203</v>
      </c>
      <c r="C6" s="2" t="s">
        <v>267</v>
      </c>
      <c r="D6" t="s">
        <v>1203</v>
      </c>
      <c r="E6" t="s">
        <v>391</v>
      </c>
      <c r="F6" t="s">
        <v>201</v>
      </c>
      <c r="G6" t="s">
        <v>1210</v>
      </c>
      <c r="J6" t="str">
        <f t="shared" si="0"/>
        <v>to dignose</v>
      </c>
      <c r="K6" s="1" t="s">
        <v>11</v>
      </c>
      <c r="L6" s="1" t="s">
        <v>203</v>
      </c>
    </row>
    <row r="7" spans="1:12" ht="19">
      <c r="A7">
        <v>6</v>
      </c>
      <c r="B7" s="1" t="s">
        <v>11</v>
      </c>
      <c r="C7" s="2" t="s">
        <v>271</v>
      </c>
      <c r="D7" t="s">
        <v>1203</v>
      </c>
      <c r="E7" t="s">
        <v>391</v>
      </c>
      <c r="F7" t="s">
        <v>201</v>
      </c>
      <c r="G7" t="s">
        <v>1211</v>
      </c>
      <c r="J7" t="str">
        <f t="shared" si="0"/>
        <v>to dignose</v>
      </c>
      <c r="K7" s="1" t="s">
        <v>204</v>
      </c>
      <c r="L7" s="1" t="s">
        <v>11</v>
      </c>
    </row>
    <row r="8" spans="1:12" ht="19">
      <c r="A8">
        <v>7</v>
      </c>
      <c r="B8" s="1" t="s">
        <v>12</v>
      </c>
      <c r="C8" s="2" t="s">
        <v>271</v>
      </c>
      <c r="D8" t="s">
        <v>86</v>
      </c>
      <c r="E8" t="s">
        <v>391</v>
      </c>
      <c r="J8" t="str">
        <f t="shared" si="0"/>
        <v>no</v>
      </c>
      <c r="K8" s="1" t="s">
        <v>13</v>
      </c>
      <c r="L8" s="1" t="s">
        <v>204</v>
      </c>
    </row>
    <row r="9" spans="1:12" ht="19">
      <c r="A9">
        <v>8</v>
      </c>
      <c r="B9" s="1" t="s">
        <v>204</v>
      </c>
      <c r="C9" s="2" t="s">
        <v>271</v>
      </c>
      <c r="D9" t="s">
        <v>1223</v>
      </c>
      <c r="E9" t="s">
        <v>391</v>
      </c>
      <c r="F9" t="s">
        <v>201</v>
      </c>
      <c r="G9" t="s">
        <v>1224</v>
      </c>
      <c r="J9" t="str">
        <f t="shared" si="0"/>
        <v>to dignose</v>
      </c>
      <c r="K9" s="1" t="s">
        <v>14</v>
      </c>
      <c r="L9" s="1" t="s">
        <v>13</v>
      </c>
    </row>
    <row r="10" spans="1:12" ht="19">
      <c r="A10">
        <v>9</v>
      </c>
      <c r="B10" s="1" t="s">
        <v>13</v>
      </c>
      <c r="C10" s="2" t="s">
        <v>271</v>
      </c>
      <c r="D10" t="s">
        <v>1203</v>
      </c>
      <c r="E10" t="s">
        <v>391</v>
      </c>
      <c r="F10" t="s">
        <v>201</v>
      </c>
      <c r="G10" t="s">
        <v>1210</v>
      </c>
      <c r="J10" t="str">
        <f t="shared" si="0"/>
        <v>to dignose</v>
      </c>
      <c r="K10" s="1" t="s">
        <v>211</v>
      </c>
      <c r="L10" s="1" t="s">
        <v>14</v>
      </c>
    </row>
    <row r="11" spans="1:12" ht="19">
      <c r="A11">
        <v>10</v>
      </c>
      <c r="B11" s="1" t="s">
        <v>14</v>
      </c>
      <c r="C11" s="2" t="s">
        <v>271</v>
      </c>
      <c r="D11" t="s">
        <v>1201</v>
      </c>
      <c r="E11" t="s">
        <v>391</v>
      </c>
      <c r="F11" s="17" t="s">
        <v>192</v>
      </c>
      <c r="G11" s="17" t="s">
        <v>1198</v>
      </c>
      <c r="J11" t="str">
        <f t="shared" si="0"/>
        <v>to dignose</v>
      </c>
      <c r="K11" s="1" t="s">
        <v>21</v>
      </c>
      <c r="L11" s="1" t="s">
        <v>208</v>
      </c>
    </row>
    <row r="12" spans="1:12" ht="19">
      <c r="A12">
        <v>11</v>
      </c>
      <c r="B12" s="1" t="s">
        <v>205</v>
      </c>
      <c r="C12" s="2" t="s">
        <v>269</v>
      </c>
      <c r="D12" t="s">
        <v>84</v>
      </c>
      <c r="E12" t="s">
        <v>391</v>
      </c>
      <c r="J12" t="str">
        <f t="shared" si="0"/>
        <v>no</v>
      </c>
      <c r="K12" s="1" t="s">
        <v>22</v>
      </c>
      <c r="L12" s="1" t="s">
        <v>19</v>
      </c>
    </row>
    <row r="13" spans="1:12" ht="19">
      <c r="A13">
        <v>12</v>
      </c>
      <c r="B13" s="1" t="s">
        <v>206</v>
      </c>
      <c r="C13" s="2" t="s">
        <v>267</v>
      </c>
      <c r="D13" t="s">
        <v>84</v>
      </c>
      <c r="E13" t="s">
        <v>391</v>
      </c>
      <c r="J13" t="str">
        <f t="shared" si="0"/>
        <v>no</v>
      </c>
      <c r="K13" s="1" t="s">
        <v>238</v>
      </c>
      <c r="L13" s="1" t="s">
        <v>20</v>
      </c>
    </row>
    <row r="14" spans="1:12" ht="19">
      <c r="A14">
        <v>13</v>
      </c>
      <c r="B14" s="1" t="s">
        <v>15</v>
      </c>
      <c r="C14" s="2" t="s">
        <v>271</v>
      </c>
      <c r="D14" t="s">
        <v>85</v>
      </c>
      <c r="E14" t="s">
        <v>391</v>
      </c>
      <c r="J14" t="str">
        <f t="shared" si="0"/>
        <v>no</v>
      </c>
      <c r="K14" s="1" t="s">
        <v>28</v>
      </c>
      <c r="L14" s="1" t="s">
        <v>209</v>
      </c>
    </row>
    <row r="15" spans="1:12" ht="19">
      <c r="A15">
        <v>14</v>
      </c>
      <c r="B15" s="1" t="s">
        <v>207</v>
      </c>
      <c r="C15" s="2" t="s">
        <v>267</v>
      </c>
      <c r="D15" t="s">
        <v>84</v>
      </c>
      <c r="E15" t="s">
        <v>391</v>
      </c>
      <c r="J15" t="str">
        <f t="shared" si="0"/>
        <v>no</v>
      </c>
      <c r="K15" s="1" t="s">
        <v>29</v>
      </c>
      <c r="L15" s="1" t="s">
        <v>210</v>
      </c>
    </row>
    <row r="16" spans="1:12" ht="19">
      <c r="A16">
        <v>15</v>
      </c>
      <c r="B16" s="1" t="s">
        <v>16</v>
      </c>
      <c r="C16" s="2" t="s">
        <v>271</v>
      </c>
      <c r="D16" t="s">
        <v>84</v>
      </c>
      <c r="E16" t="s">
        <v>391</v>
      </c>
      <c r="J16" t="str">
        <f t="shared" si="0"/>
        <v>no</v>
      </c>
      <c r="K16" s="1" t="s">
        <v>30</v>
      </c>
      <c r="L16" s="1" t="s">
        <v>211</v>
      </c>
    </row>
    <row r="17" spans="1:12" ht="19">
      <c r="A17">
        <v>16</v>
      </c>
      <c r="B17" s="1" t="s">
        <v>17</v>
      </c>
      <c r="C17" s="2" t="s">
        <v>271</v>
      </c>
      <c r="D17" t="s">
        <v>84</v>
      </c>
      <c r="E17" t="s">
        <v>391</v>
      </c>
      <c r="J17" t="str">
        <f t="shared" si="0"/>
        <v>no</v>
      </c>
      <c r="K17" s="1" t="s">
        <v>31</v>
      </c>
      <c r="L17" s="1" t="s">
        <v>212</v>
      </c>
    </row>
    <row r="18" spans="1:12" ht="19">
      <c r="A18">
        <v>17</v>
      </c>
      <c r="B18" s="1" t="s">
        <v>18</v>
      </c>
      <c r="C18" s="2" t="s">
        <v>271</v>
      </c>
      <c r="D18" t="s">
        <v>85</v>
      </c>
      <c r="E18" t="s">
        <v>391</v>
      </c>
      <c r="J18" t="str">
        <f t="shared" si="0"/>
        <v>no</v>
      </c>
      <c r="K18" s="1" t="s">
        <v>33</v>
      </c>
      <c r="L18" s="1" t="s">
        <v>213</v>
      </c>
    </row>
    <row r="19" spans="1:12" ht="19">
      <c r="A19">
        <v>18</v>
      </c>
      <c r="B19" s="1" t="s">
        <v>208</v>
      </c>
      <c r="C19" s="2" t="s">
        <v>267</v>
      </c>
      <c r="D19" t="s">
        <v>84</v>
      </c>
      <c r="E19" t="s">
        <v>391</v>
      </c>
      <c r="F19" t="s">
        <v>192</v>
      </c>
      <c r="G19" t="s">
        <v>1242</v>
      </c>
      <c r="J19" t="str">
        <f t="shared" si="0"/>
        <v>segmented videos list</v>
      </c>
      <c r="K19" s="1" t="s">
        <v>34</v>
      </c>
      <c r="L19" s="1" t="s">
        <v>21</v>
      </c>
    </row>
    <row r="20" spans="1:12" ht="19">
      <c r="A20">
        <v>19</v>
      </c>
      <c r="B20" s="1" t="s">
        <v>19</v>
      </c>
      <c r="C20" s="2" t="s">
        <v>271</v>
      </c>
      <c r="D20" t="s">
        <v>84</v>
      </c>
      <c r="E20" t="s">
        <v>391</v>
      </c>
      <c r="F20" t="s">
        <v>192</v>
      </c>
      <c r="G20" t="s">
        <v>1243</v>
      </c>
      <c r="J20" t="str">
        <f t="shared" si="0"/>
        <v>segmented videos list</v>
      </c>
      <c r="K20" s="1" t="s">
        <v>37</v>
      </c>
      <c r="L20" s="1" t="s">
        <v>22</v>
      </c>
    </row>
    <row r="21" spans="1:12" ht="19">
      <c r="A21">
        <v>20</v>
      </c>
      <c r="B21" s="1" t="s">
        <v>20</v>
      </c>
      <c r="C21" s="2" t="s">
        <v>271</v>
      </c>
      <c r="D21" t="s">
        <v>84</v>
      </c>
      <c r="E21" t="s">
        <v>391</v>
      </c>
      <c r="F21" t="s">
        <v>192</v>
      </c>
      <c r="G21" t="s">
        <v>1244</v>
      </c>
      <c r="J21" t="str">
        <f t="shared" si="0"/>
        <v>segmented videos list</v>
      </c>
      <c r="K21" s="1" t="s">
        <v>38</v>
      </c>
      <c r="L21" s="1" t="s">
        <v>217</v>
      </c>
    </row>
    <row r="22" spans="1:12" ht="19">
      <c r="A22">
        <v>21</v>
      </c>
      <c r="B22" s="1" t="s">
        <v>209</v>
      </c>
      <c r="C22" s="2" t="s">
        <v>272</v>
      </c>
      <c r="D22" t="s">
        <v>84</v>
      </c>
      <c r="E22" t="s">
        <v>391</v>
      </c>
      <c r="F22" t="s">
        <v>192</v>
      </c>
      <c r="G22" t="s">
        <v>1245</v>
      </c>
      <c r="J22" t="str">
        <f t="shared" si="0"/>
        <v>segmented videos list</v>
      </c>
      <c r="K22" s="1" t="s">
        <v>40</v>
      </c>
      <c r="L22" s="1" t="s">
        <v>218</v>
      </c>
    </row>
    <row r="23" spans="1:12" ht="19">
      <c r="A23">
        <v>22</v>
      </c>
      <c r="B23" s="1" t="s">
        <v>210</v>
      </c>
      <c r="C23" s="2" t="s">
        <v>267</v>
      </c>
      <c r="D23" t="s">
        <v>84</v>
      </c>
      <c r="E23" t="s">
        <v>391</v>
      </c>
      <c r="F23" t="s">
        <v>192</v>
      </c>
      <c r="G23" t="s">
        <v>1246</v>
      </c>
      <c r="J23" t="str">
        <f t="shared" si="0"/>
        <v>segmented videos list</v>
      </c>
      <c r="K23" s="1" t="s">
        <v>55</v>
      </c>
      <c r="L23" s="1" t="s">
        <v>220</v>
      </c>
    </row>
    <row r="24" spans="1:12" ht="19">
      <c r="A24">
        <v>23</v>
      </c>
      <c r="B24" s="1" t="s">
        <v>211</v>
      </c>
      <c r="C24" s="2" t="s">
        <v>271</v>
      </c>
      <c r="D24" t="s">
        <v>1204</v>
      </c>
      <c r="E24" t="s">
        <v>391</v>
      </c>
      <c r="F24" t="s">
        <v>192</v>
      </c>
      <c r="G24" t="s">
        <v>1218</v>
      </c>
      <c r="J24" t="str">
        <f t="shared" si="0"/>
        <v>to dignose</v>
      </c>
      <c r="K24" s="1" t="s">
        <v>58</v>
      </c>
      <c r="L24" s="1" t="s">
        <v>221</v>
      </c>
    </row>
    <row r="25" spans="1:12" ht="19">
      <c r="A25">
        <v>24</v>
      </c>
      <c r="B25" s="1" t="s">
        <v>212</v>
      </c>
      <c r="C25" s="2" t="s">
        <v>273</v>
      </c>
      <c r="D25" t="s">
        <v>84</v>
      </c>
      <c r="E25" t="s">
        <v>391</v>
      </c>
      <c r="F25" t="s">
        <v>192</v>
      </c>
      <c r="G25" t="s">
        <v>1247</v>
      </c>
      <c r="J25" t="str">
        <f t="shared" si="0"/>
        <v>segmented videos list</v>
      </c>
      <c r="K25" s="1" t="s">
        <v>255</v>
      </c>
      <c r="L25" s="1" t="s">
        <v>222</v>
      </c>
    </row>
    <row r="26" spans="1:12" ht="19">
      <c r="A26">
        <v>25</v>
      </c>
      <c r="B26" s="1" t="s">
        <v>213</v>
      </c>
      <c r="C26" s="2" t="s">
        <v>273</v>
      </c>
      <c r="D26" t="s">
        <v>84</v>
      </c>
      <c r="E26" t="s">
        <v>391</v>
      </c>
      <c r="F26" t="s">
        <v>192</v>
      </c>
      <c r="G26" t="s">
        <v>1248</v>
      </c>
      <c r="J26" t="str">
        <f t="shared" si="0"/>
        <v>segmented videos list</v>
      </c>
      <c r="K26" s="1" t="s">
        <v>59</v>
      </c>
      <c r="L26" s="1" t="s">
        <v>223</v>
      </c>
    </row>
    <row r="27" spans="1:12" ht="19">
      <c r="A27">
        <v>26</v>
      </c>
      <c r="B27" s="1" t="s">
        <v>21</v>
      </c>
      <c r="C27" s="2" t="s">
        <v>271</v>
      </c>
      <c r="D27" t="s">
        <v>1230</v>
      </c>
      <c r="E27" t="s">
        <v>391</v>
      </c>
      <c r="F27" t="s">
        <v>201</v>
      </c>
      <c r="G27" t="s">
        <v>1212</v>
      </c>
      <c r="J27" t="str">
        <f t="shared" si="0"/>
        <v>to dignose</v>
      </c>
      <c r="K27" s="1" t="s">
        <v>61</v>
      </c>
      <c r="L27" s="1" t="s">
        <v>27</v>
      </c>
    </row>
    <row r="28" spans="1:12" ht="19">
      <c r="A28">
        <v>27</v>
      </c>
      <c r="B28" s="1" t="s">
        <v>22</v>
      </c>
      <c r="C28" s="2" t="s">
        <v>271</v>
      </c>
      <c r="D28" t="s">
        <v>1231</v>
      </c>
      <c r="E28" t="s">
        <v>391</v>
      </c>
      <c r="F28" t="s">
        <v>201</v>
      </c>
      <c r="G28" t="s">
        <v>1219</v>
      </c>
      <c r="J28" t="str">
        <f t="shared" si="0"/>
        <v>to dignose</v>
      </c>
      <c r="K28" s="1"/>
      <c r="L28" s="1" t="s">
        <v>224</v>
      </c>
    </row>
    <row r="29" spans="1:12" ht="19">
      <c r="A29">
        <v>28</v>
      </c>
      <c r="B29" s="1" t="s">
        <v>214</v>
      </c>
      <c r="C29" s="2" t="s">
        <v>269</v>
      </c>
      <c r="D29" t="s">
        <v>84</v>
      </c>
      <c r="E29" t="s">
        <v>391</v>
      </c>
      <c r="J29" t="str">
        <f t="shared" si="0"/>
        <v>no</v>
      </c>
      <c r="K29" s="1"/>
      <c r="L29" s="1" t="s">
        <v>225</v>
      </c>
    </row>
    <row r="30" spans="1:12" ht="19">
      <c r="A30">
        <v>29</v>
      </c>
      <c r="B30" s="1" t="s">
        <v>23</v>
      </c>
      <c r="C30" s="2" t="s">
        <v>271</v>
      </c>
      <c r="D30" t="s">
        <v>87</v>
      </c>
      <c r="E30" t="s">
        <v>391</v>
      </c>
      <c r="J30" t="str">
        <f t="shared" si="0"/>
        <v>no</v>
      </c>
      <c r="K30" s="1"/>
      <c r="L30" s="1" t="s">
        <v>226</v>
      </c>
    </row>
    <row r="31" spans="1:12" ht="19">
      <c r="A31">
        <v>30</v>
      </c>
      <c r="B31" s="1" t="s">
        <v>215</v>
      </c>
      <c r="C31" s="2" t="s">
        <v>269</v>
      </c>
      <c r="D31" t="s">
        <v>84</v>
      </c>
      <c r="E31" t="s">
        <v>391</v>
      </c>
      <c r="J31" t="str">
        <f t="shared" si="0"/>
        <v>no</v>
      </c>
      <c r="K31" s="1"/>
      <c r="L31" s="1" t="s">
        <v>227</v>
      </c>
    </row>
    <row r="32" spans="1:12" ht="19">
      <c r="A32">
        <v>31</v>
      </c>
      <c r="B32" s="1" t="s">
        <v>216</v>
      </c>
      <c r="C32" s="2" t="s">
        <v>269</v>
      </c>
      <c r="D32" t="s">
        <v>84</v>
      </c>
      <c r="E32" t="s">
        <v>391</v>
      </c>
      <c r="J32" t="str">
        <f t="shared" si="0"/>
        <v>no</v>
      </c>
      <c r="K32" s="1"/>
      <c r="L32" s="1" t="s">
        <v>228</v>
      </c>
    </row>
    <row r="33" spans="1:12" ht="19">
      <c r="A33">
        <v>32</v>
      </c>
      <c r="B33" s="1" t="s">
        <v>24</v>
      </c>
      <c r="C33" s="2" t="s">
        <v>271</v>
      </c>
      <c r="D33" t="s">
        <v>84</v>
      </c>
      <c r="E33" t="s">
        <v>391</v>
      </c>
      <c r="J33" t="str">
        <f t="shared" si="0"/>
        <v>no</v>
      </c>
      <c r="K33" s="1"/>
      <c r="L33" s="1" t="s">
        <v>229</v>
      </c>
    </row>
    <row r="34" spans="1:12" ht="19">
      <c r="A34">
        <v>33</v>
      </c>
      <c r="B34" s="1" t="s">
        <v>25</v>
      </c>
      <c r="C34" s="2" t="s">
        <v>271</v>
      </c>
      <c r="D34" t="s">
        <v>84</v>
      </c>
      <c r="E34" t="s">
        <v>391</v>
      </c>
      <c r="J34" t="str">
        <f t="shared" si="0"/>
        <v>no</v>
      </c>
      <c r="K34" s="1"/>
      <c r="L34" s="1" t="s">
        <v>230</v>
      </c>
    </row>
    <row r="35" spans="1:12" ht="19">
      <c r="A35">
        <v>34</v>
      </c>
      <c r="B35" s="1" t="s">
        <v>217</v>
      </c>
      <c r="C35" s="2" t="s">
        <v>267</v>
      </c>
      <c r="D35" t="s">
        <v>84</v>
      </c>
      <c r="E35" t="s">
        <v>391</v>
      </c>
      <c r="F35" t="s">
        <v>192</v>
      </c>
      <c r="G35" t="s">
        <v>1249</v>
      </c>
      <c r="J35" t="str">
        <f t="shared" si="0"/>
        <v>segmented videos list</v>
      </c>
      <c r="K35" s="1"/>
      <c r="L35" s="1" t="s">
        <v>231</v>
      </c>
    </row>
    <row r="36" spans="1:12" ht="19">
      <c r="A36">
        <v>35</v>
      </c>
      <c r="B36" s="1" t="s">
        <v>218</v>
      </c>
      <c r="C36" s="2" t="s">
        <v>269</v>
      </c>
      <c r="D36" t="s">
        <v>84</v>
      </c>
      <c r="E36" t="s">
        <v>391</v>
      </c>
      <c r="F36" t="s">
        <v>192</v>
      </c>
      <c r="G36" t="s">
        <v>1250</v>
      </c>
      <c r="J36" t="str">
        <f t="shared" si="0"/>
        <v>segmented videos list</v>
      </c>
      <c r="K36" s="1"/>
      <c r="L36" s="1" t="s">
        <v>232</v>
      </c>
    </row>
    <row r="37" spans="1:12" ht="19">
      <c r="A37">
        <v>36</v>
      </c>
      <c r="B37" s="1" t="s">
        <v>219</v>
      </c>
      <c r="C37" s="2" t="s">
        <v>269</v>
      </c>
      <c r="D37" t="s">
        <v>84</v>
      </c>
      <c r="E37" t="s">
        <v>391</v>
      </c>
      <c r="J37" t="str">
        <f t="shared" si="0"/>
        <v>no</v>
      </c>
      <c r="K37" s="1"/>
      <c r="L37" s="1" t="s">
        <v>233</v>
      </c>
    </row>
    <row r="38" spans="1:12" ht="19">
      <c r="A38">
        <v>37</v>
      </c>
      <c r="B38" s="1" t="s">
        <v>220</v>
      </c>
      <c r="C38" s="2" t="s">
        <v>269</v>
      </c>
      <c r="D38" t="s">
        <v>84</v>
      </c>
      <c r="E38" t="s">
        <v>391</v>
      </c>
      <c r="F38" t="s">
        <v>192</v>
      </c>
      <c r="G38" t="s">
        <v>1251</v>
      </c>
      <c r="J38" t="str">
        <f t="shared" si="0"/>
        <v>segmented videos list</v>
      </c>
      <c r="K38" s="1"/>
      <c r="L38" s="1" t="s">
        <v>234</v>
      </c>
    </row>
    <row r="39" spans="1:12" ht="19">
      <c r="A39">
        <v>38</v>
      </c>
      <c r="B39" s="1" t="s">
        <v>221</v>
      </c>
      <c r="C39" s="2" t="s">
        <v>269</v>
      </c>
      <c r="D39" t="s">
        <v>84</v>
      </c>
      <c r="E39" t="s">
        <v>391</v>
      </c>
      <c r="F39" t="s">
        <v>192</v>
      </c>
      <c r="G39" t="s">
        <v>1252</v>
      </c>
      <c r="J39" t="str">
        <f t="shared" si="0"/>
        <v>segmented videos list</v>
      </c>
      <c r="K39" s="1"/>
      <c r="L39" s="1" t="s">
        <v>235</v>
      </c>
    </row>
    <row r="40" spans="1:12" ht="19">
      <c r="A40">
        <v>39</v>
      </c>
      <c r="B40" s="1" t="s">
        <v>222</v>
      </c>
      <c r="C40" s="2" t="s">
        <v>267</v>
      </c>
      <c r="D40" t="s">
        <v>84</v>
      </c>
      <c r="E40" t="s">
        <v>391</v>
      </c>
      <c r="F40" t="s">
        <v>192</v>
      </c>
      <c r="G40" t="s">
        <v>1253</v>
      </c>
      <c r="J40" t="str">
        <f t="shared" si="0"/>
        <v>segmented videos list</v>
      </c>
      <c r="K40" s="1"/>
      <c r="L40" s="1" t="s">
        <v>236</v>
      </c>
    </row>
    <row r="41" spans="1:12" ht="19">
      <c r="A41">
        <v>40</v>
      </c>
      <c r="B41" s="1" t="s">
        <v>26</v>
      </c>
      <c r="C41" s="2" t="s">
        <v>271</v>
      </c>
      <c r="D41" t="s">
        <v>84</v>
      </c>
      <c r="E41" t="s">
        <v>391</v>
      </c>
      <c r="J41" t="str">
        <f t="shared" si="0"/>
        <v>no</v>
      </c>
      <c r="K41" s="1"/>
      <c r="L41" s="1" t="s">
        <v>237</v>
      </c>
    </row>
    <row r="42" spans="1:12" ht="19">
      <c r="A42">
        <v>41</v>
      </c>
      <c r="B42" s="1" t="s">
        <v>223</v>
      </c>
      <c r="C42" s="2" t="s">
        <v>269</v>
      </c>
      <c r="D42" t="s">
        <v>84</v>
      </c>
      <c r="E42" t="s">
        <v>391</v>
      </c>
      <c r="F42" t="s">
        <v>192</v>
      </c>
      <c r="G42" t="s">
        <v>1254</v>
      </c>
      <c r="J42" t="str">
        <f t="shared" si="0"/>
        <v>segmented videos list</v>
      </c>
      <c r="K42" s="1"/>
      <c r="L42" s="1" t="s">
        <v>238</v>
      </c>
    </row>
    <row r="43" spans="1:12" ht="19">
      <c r="A43">
        <v>42</v>
      </c>
      <c r="B43" s="1" t="s">
        <v>27</v>
      </c>
      <c r="C43" s="2" t="s">
        <v>271</v>
      </c>
      <c r="D43" t="s">
        <v>84</v>
      </c>
      <c r="E43" t="s">
        <v>391</v>
      </c>
      <c r="F43" t="s">
        <v>192</v>
      </c>
      <c r="G43" t="s">
        <v>1255</v>
      </c>
      <c r="J43" t="str">
        <f t="shared" si="0"/>
        <v>segmented videos list</v>
      </c>
      <c r="K43" s="1"/>
      <c r="L43" s="1" t="s">
        <v>28</v>
      </c>
    </row>
    <row r="44" spans="1:12" ht="19">
      <c r="A44">
        <v>43</v>
      </c>
      <c r="B44" s="1" t="s">
        <v>224</v>
      </c>
      <c r="C44" s="2" t="s">
        <v>267</v>
      </c>
      <c r="D44" t="s">
        <v>84</v>
      </c>
      <c r="E44" t="s">
        <v>391</v>
      </c>
      <c r="F44" t="s">
        <v>192</v>
      </c>
      <c r="G44" t="s">
        <v>1256</v>
      </c>
      <c r="J44" t="str">
        <f t="shared" si="0"/>
        <v>segmented videos list</v>
      </c>
      <c r="K44" s="1"/>
      <c r="L44" s="1" t="s">
        <v>29</v>
      </c>
    </row>
    <row r="45" spans="1:12" ht="19">
      <c r="A45">
        <v>44</v>
      </c>
      <c r="B45" s="1" t="s">
        <v>225</v>
      </c>
      <c r="C45" s="2" t="s">
        <v>274</v>
      </c>
      <c r="D45" t="s">
        <v>84</v>
      </c>
      <c r="E45" t="s">
        <v>391</v>
      </c>
      <c r="F45" t="s">
        <v>192</v>
      </c>
      <c r="G45" t="s">
        <v>1257</v>
      </c>
      <c r="J45" t="str">
        <f t="shared" si="0"/>
        <v>segmented videos list</v>
      </c>
      <c r="K45" s="1"/>
      <c r="L45" s="1" t="s">
        <v>239</v>
      </c>
    </row>
    <row r="46" spans="1:12" ht="19">
      <c r="A46">
        <v>45</v>
      </c>
      <c r="B46" s="1" t="s">
        <v>226</v>
      </c>
      <c r="C46" s="2" t="s">
        <v>274</v>
      </c>
      <c r="D46" t="s">
        <v>84</v>
      </c>
      <c r="E46" t="s">
        <v>391</v>
      </c>
      <c r="F46" t="s">
        <v>192</v>
      </c>
      <c r="G46" t="s">
        <v>1258</v>
      </c>
      <c r="J46" t="str">
        <f t="shared" si="0"/>
        <v>segmented videos list</v>
      </c>
      <c r="K46" s="1"/>
      <c r="L46" s="1" t="s">
        <v>30</v>
      </c>
    </row>
    <row r="47" spans="1:12" ht="19">
      <c r="A47">
        <v>46</v>
      </c>
      <c r="B47" s="1" t="s">
        <v>227</v>
      </c>
      <c r="C47" s="2" t="s">
        <v>269</v>
      </c>
      <c r="D47" t="s">
        <v>84</v>
      </c>
      <c r="E47" t="s">
        <v>391</v>
      </c>
      <c r="F47" t="s">
        <v>192</v>
      </c>
      <c r="G47" t="s">
        <v>1259</v>
      </c>
      <c r="J47" t="str">
        <f t="shared" si="0"/>
        <v>segmented videos list</v>
      </c>
      <c r="K47" s="1"/>
      <c r="L47" s="1" t="s">
        <v>240</v>
      </c>
    </row>
    <row r="48" spans="1:12" ht="19">
      <c r="A48">
        <v>47</v>
      </c>
      <c r="B48" s="1" t="s">
        <v>228</v>
      </c>
      <c r="C48" s="2" t="s">
        <v>269</v>
      </c>
      <c r="D48" t="s">
        <v>84</v>
      </c>
      <c r="E48" t="s">
        <v>391</v>
      </c>
      <c r="F48" t="s">
        <v>192</v>
      </c>
      <c r="G48" t="s">
        <v>1260</v>
      </c>
      <c r="J48" t="str">
        <f t="shared" si="0"/>
        <v>segmented videos list</v>
      </c>
      <c r="K48" s="1"/>
      <c r="L48" s="1" t="s">
        <v>31</v>
      </c>
    </row>
    <row r="49" spans="1:12" ht="19">
      <c r="A49">
        <v>48</v>
      </c>
      <c r="B49" s="1" t="s">
        <v>229</v>
      </c>
      <c r="C49" s="2" t="s">
        <v>269</v>
      </c>
      <c r="D49" t="s">
        <v>84</v>
      </c>
      <c r="E49" t="s">
        <v>391</v>
      </c>
      <c r="F49" t="s">
        <v>192</v>
      </c>
      <c r="G49" t="s">
        <v>1261</v>
      </c>
      <c r="J49" t="str">
        <f t="shared" si="0"/>
        <v>segmented videos list</v>
      </c>
      <c r="K49" s="1"/>
      <c r="L49" s="1" t="s">
        <v>241</v>
      </c>
    </row>
    <row r="50" spans="1:12" ht="19">
      <c r="A50">
        <v>49</v>
      </c>
      <c r="B50" s="1" t="s">
        <v>230</v>
      </c>
      <c r="C50" s="2" t="s">
        <v>269</v>
      </c>
      <c r="D50" t="s">
        <v>84</v>
      </c>
      <c r="E50" t="s">
        <v>391</v>
      </c>
      <c r="F50" t="s">
        <v>192</v>
      </c>
      <c r="G50" t="s">
        <v>1262</v>
      </c>
      <c r="J50" t="str">
        <f t="shared" si="0"/>
        <v>segmented videos list</v>
      </c>
      <c r="K50" s="1"/>
      <c r="L50" s="1" t="s">
        <v>32</v>
      </c>
    </row>
    <row r="51" spans="1:12" ht="19">
      <c r="A51">
        <v>50</v>
      </c>
      <c r="B51" s="1" t="s">
        <v>231</v>
      </c>
      <c r="C51" s="2" t="s">
        <v>269</v>
      </c>
      <c r="D51" t="s">
        <v>84</v>
      </c>
      <c r="E51" t="s">
        <v>391</v>
      </c>
      <c r="F51" t="s">
        <v>192</v>
      </c>
      <c r="G51" t="s">
        <v>1263</v>
      </c>
      <c r="J51" t="str">
        <f t="shared" si="0"/>
        <v>segmented videos list</v>
      </c>
      <c r="K51" s="1"/>
      <c r="L51" s="1" t="s">
        <v>33</v>
      </c>
    </row>
    <row r="52" spans="1:12" ht="19">
      <c r="A52">
        <v>51</v>
      </c>
      <c r="B52" s="1" t="s">
        <v>232</v>
      </c>
      <c r="C52" s="2" t="s">
        <v>274</v>
      </c>
      <c r="D52" t="s">
        <v>84</v>
      </c>
      <c r="E52" t="s">
        <v>391</v>
      </c>
      <c r="F52" t="s">
        <v>192</v>
      </c>
      <c r="G52" t="s">
        <v>1264</v>
      </c>
      <c r="J52" t="str">
        <f t="shared" si="0"/>
        <v>segmented videos list</v>
      </c>
      <c r="K52" s="1"/>
      <c r="L52" s="1" t="s">
        <v>34</v>
      </c>
    </row>
    <row r="53" spans="1:12" ht="19">
      <c r="A53">
        <v>52</v>
      </c>
      <c r="B53" s="1" t="s">
        <v>233</v>
      </c>
      <c r="C53" s="2" t="s">
        <v>274</v>
      </c>
      <c r="D53" t="s">
        <v>84</v>
      </c>
      <c r="E53" t="s">
        <v>391</v>
      </c>
      <c r="F53" t="s">
        <v>192</v>
      </c>
      <c r="G53" t="s">
        <v>1265</v>
      </c>
      <c r="J53" t="str">
        <f t="shared" si="0"/>
        <v>segmented videos list</v>
      </c>
      <c r="K53" s="1"/>
      <c r="L53" s="1" t="s">
        <v>35</v>
      </c>
    </row>
    <row r="54" spans="1:12" ht="19">
      <c r="A54">
        <v>53</v>
      </c>
      <c r="B54" s="1" t="s">
        <v>234</v>
      </c>
      <c r="C54" s="2" t="s">
        <v>274</v>
      </c>
      <c r="D54" t="s">
        <v>84</v>
      </c>
      <c r="E54" t="s">
        <v>391</v>
      </c>
      <c r="F54" t="s">
        <v>192</v>
      </c>
      <c r="G54" t="s">
        <v>1265</v>
      </c>
      <c r="J54" t="str">
        <f t="shared" si="0"/>
        <v>segmented videos list</v>
      </c>
      <c r="K54" s="1"/>
      <c r="L54" s="1" t="s">
        <v>36</v>
      </c>
    </row>
    <row r="55" spans="1:12" ht="19">
      <c r="A55">
        <v>54</v>
      </c>
      <c r="B55" s="1" t="s">
        <v>235</v>
      </c>
      <c r="C55" s="2" t="s">
        <v>274</v>
      </c>
      <c r="D55" t="s">
        <v>84</v>
      </c>
      <c r="E55" t="s">
        <v>391</v>
      </c>
      <c r="F55" t="s">
        <v>192</v>
      </c>
      <c r="G55" t="s">
        <v>1266</v>
      </c>
      <c r="J55" t="str">
        <f t="shared" si="0"/>
        <v>segmented videos list</v>
      </c>
      <c r="K55" s="1"/>
      <c r="L55" s="1" t="s">
        <v>37</v>
      </c>
    </row>
    <row r="56" spans="1:12" ht="19">
      <c r="A56">
        <v>55</v>
      </c>
      <c r="B56" s="1" t="s">
        <v>236</v>
      </c>
      <c r="C56" s="2" t="s">
        <v>269</v>
      </c>
      <c r="D56" t="s">
        <v>84</v>
      </c>
      <c r="E56" t="s">
        <v>391</v>
      </c>
      <c r="F56" t="s">
        <v>192</v>
      </c>
      <c r="G56" t="s">
        <v>1266</v>
      </c>
      <c r="J56" t="str">
        <f t="shared" si="0"/>
        <v>segmented videos list</v>
      </c>
      <c r="K56" s="1"/>
      <c r="L56" s="1" t="s">
        <v>38</v>
      </c>
    </row>
    <row r="57" spans="1:12" ht="19">
      <c r="A57">
        <v>56</v>
      </c>
      <c r="B57" s="1" t="s">
        <v>237</v>
      </c>
      <c r="C57" s="2" t="s">
        <v>269</v>
      </c>
      <c r="D57" t="s">
        <v>84</v>
      </c>
      <c r="E57" t="s">
        <v>391</v>
      </c>
      <c r="F57" t="s">
        <v>192</v>
      </c>
      <c r="G57" t="s">
        <v>1267</v>
      </c>
      <c r="J57" t="str">
        <f t="shared" si="0"/>
        <v>segmented videos list</v>
      </c>
      <c r="K57" s="1"/>
      <c r="L57" s="1" t="s">
        <v>39</v>
      </c>
    </row>
    <row r="58" spans="1:12" ht="19">
      <c r="A58">
        <v>57</v>
      </c>
      <c r="B58" s="1" t="s">
        <v>238</v>
      </c>
      <c r="C58" s="2" t="s">
        <v>269</v>
      </c>
      <c r="D58" t="s">
        <v>1201</v>
      </c>
      <c r="E58" t="s">
        <v>391</v>
      </c>
      <c r="F58" s="17" t="s">
        <v>192</v>
      </c>
      <c r="G58" s="17" t="s">
        <v>1199</v>
      </c>
      <c r="J58" t="str">
        <f t="shared" si="0"/>
        <v>to dignose</v>
      </c>
      <c r="K58" s="1"/>
      <c r="L58" s="1" t="s">
        <v>242</v>
      </c>
    </row>
    <row r="59" spans="1:12" ht="19">
      <c r="A59">
        <v>58</v>
      </c>
      <c r="B59" s="1" t="s">
        <v>28</v>
      </c>
      <c r="C59" s="2" t="s">
        <v>271</v>
      </c>
      <c r="D59" t="s">
        <v>1201</v>
      </c>
      <c r="E59" t="s">
        <v>391</v>
      </c>
      <c r="F59" s="17" t="s">
        <v>201</v>
      </c>
      <c r="G59" s="17" t="s">
        <v>1200</v>
      </c>
      <c r="J59" t="str">
        <f t="shared" si="0"/>
        <v>to dignose</v>
      </c>
      <c r="K59" s="1"/>
      <c r="L59" s="1" t="s">
        <v>40</v>
      </c>
    </row>
    <row r="60" spans="1:12" ht="19">
      <c r="A60">
        <v>59</v>
      </c>
      <c r="B60" s="1" t="s">
        <v>29</v>
      </c>
      <c r="C60" s="2" t="s">
        <v>271</v>
      </c>
      <c r="D60" t="s">
        <v>1204</v>
      </c>
      <c r="E60" t="s">
        <v>391</v>
      </c>
      <c r="F60" t="s">
        <v>192</v>
      </c>
      <c r="G60" t="s">
        <v>1220</v>
      </c>
      <c r="J60" t="str">
        <f t="shared" si="0"/>
        <v>to dignose</v>
      </c>
      <c r="K60" s="1"/>
      <c r="L60" s="1" t="s">
        <v>251</v>
      </c>
    </row>
    <row r="61" spans="1:12" ht="19">
      <c r="A61">
        <v>60</v>
      </c>
      <c r="B61" s="1" t="s">
        <v>239</v>
      </c>
      <c r="C61" s="2" t="s">
        <v>269</v>
      </c>
      <c r="D61" t="s">
        <v>84</v>
      </c>
      <c r="E61" t="s">
        <v>391</v>
      </c>
      <c r="F61" t="s">
        <v>192</v>
      </c>
      <c r="G61" t="s">
        <v>1268</v>
      </c>
      <c r="J61" t="str">
        <f t="shared" si="0"/>
        <v>segmented videos list</v>
      </c>
      <c r="K61" s="1"/>
      <c r="L61" s="1" t="s">
        <v>54</v>
      </c>
    </row>
    <row r="62" spans="1:12" ht="19">
      <c r="A62">
        <v>61</v>
      </c>
      <c r="B62" s="1" t="s">
        <v>30</v>
      </c>
      <c r="C62" s="2" t="s">
        <v>271</v>
      </c>
      <c r="D62" t="s">
        <v>1201</v>
      </c>
      <c r="E62" t="s">
        <v>391</v>
      </c>
      <c r="F62" t="s">
        <v>201</v>
      </c>
      <c r="G62" t="s">
        <v>1205</v>
      </c>
      <c r="J62" t="str">
        <f t="shared" si="0"/>
        <v>to dignose</v>
      </c>
      <c r="K62" s="1"/>
      <c r="L62" s="1" t="s">
        <v>55</v>
      </c>
    </row>
    <row r="63" spans="1:12" ht="19">
      <c r="A63">
        <v>62</v>
      </c>
      <c r="B63" s="1" t="s">
        <v>240</v>
      </c>
      <c r="C63" s="2" t="s">
        <v>269</v>
      </c>
      <c r="D63" t="s">
        <v>84</v>
      </c>
      <c r="E63" t="s">
        <v>391</v>
      </c>
      <c r="F63" t="s">
        <v>192</v>
      </c>
      <c r="G63" t="s">
        <v>1269</v>
      </c>
      <c r="J63" t="str">
        <f t="shared" si="0"/>
        <v>segmented videos list</v>
      </c>
      <c r="K63" s="1"/>
      <c r="L63" s="1" t="s">
        <v>252</v>
      </c>
    </row>
    <row r="64" spans="1:12" ht="19">
      <c r="A64">
        <v>63</v>
      </c>
      <c r="B64" s="1" t="s">
        <v>31</v>
      </c>
      <c r="C64" s="2" t="s">
        <v>271</v>
      </c>
      <c r="D64" t="s">
        <v>1201</v>
      </c>
      <c r="E64" t="s">
        <v>391</v>
      </c>
      <c r="F64" t="s">
        <v>201</v>
      </c>
      <c r="G64" t="s">
        <v>1206</v>
      </c>
      <c r="J64" t="str">
        <f t="shared" si="0"/>
        <v>to dignose</v>
      </c>
      <c r="K64" s="1"/>
      <c r="L64" s="1" t="s">
        <v>56</v>
      </c>
    </row>
    <row r="65" spans="1:12" ht="19">
      <c r="A65">
        <v>64</v>
      </c>
      <c r="B65" s="1" t="s">
        <v>241</v>
      </c>
      <c r="C65" s="2" t="s">
        <v>269</v>
      </c>
      <c r="D65" t="s">
        <v>84</v>
      </c>
      <c r="E65" t="s">
        <v>391</v>
      </c>
      <c r="F65" t="s">
        <v>192</v>
      </c>
      <c r="G65" t="s">
        <v>1270</v>
      </c>
      <c r="J65" t="str">
        <f t="shared" si="0"/>
        <v>segmented videos list</v>
      </c>
      <c r="K65" s="1"/>
      <c r="L65" s="1" t="s">
        <v>253</v>
      </c>
    </row>
    <row r="66" spans="1:12" ht="19">
      <c r="A66">
        <v>65</v>
      </c>
      <c r="B66" s="1" t="s">
        <v>32</v>
      </c>
      <c r="C66" s="2" t="s">
        <v>271</v>
      </c>
      <c r="D66" t="s">
        <v>84</v>
      </c>
      <c r="E66" t="s">
        <v>391</v>
      </c>
      <c r="F66" t="s">
        <v>192</v>
      </c>
      <c r="G66" t="s">
        <v>1271</v>
      </c>
      <c r="J66" t="str">
        <f t="shared" si="0"/>
        <v>segmented videos list</v>
      </c>
      <c r="K66" s="1"/>
      <c r="L66" s="1" t="s">
        <v>57</v>
      </c>
    </row>
    <row r="67" spans="1:12" ht="19">
      <c r="A67">
        <v>66</v>
      </c>
      <c r="B67" s="1" t="s">
        <v>33</v>
      </c>
      <c r="C67" s="2" t="s">
        <v>271</v>
      </c>
      <c r="D67" t="s">
        <v>1204</v>
      </c>
      <c r="E67" t="s">
        <v>391</v>
      </c>
      <c r="F67" t="s">
        <v>201</v>
      </c>
      <c r="G67" t="s">
        <v>1214</v>
      </c>
      <c r="J67" t="str">
        <f t="shared" ref="J67:J130" si="1">IF(COUNTIF(K:K, B67)&gt;0,$K$1,IF(COUNTIF(L:L, B67)&gt;0,$L$1,"no"))</f>
        <v>to dignose</v>
      </c>
      <c r="K67" s="1"/>
      <c r="L67" s="1" t="s">
        <v>58</v>
      </c>
    </row>
    <row r="68" spans="1:12" ht="19">
      <c r="A68">
        <v>67</v>
      </c>
      <c r="B68" s="1" t="s">
        <v>34</v>
      </c>
      <c r="C68" s="2" t="s">
        <v>271</v>
      </c>
      <c r="D68" t="s">
        <v>1204</v>
      </c>
      <c r="E68" t="s">
        <v>391</v>
      </c>
      <c r="F68" t="s">
        <v>201</v>
      </c>
      <c r="G68" t="s">
        <v>1214</v>
      </c>
      <c r="J68" t="str">
        <f t="shared" si="1"/>
        <v>to dignose</v>
      </c>
      <c r="K68" s="1"/>
      <c r="L68" s="1" t="s">
        <v>254</v>
      </c>
    </row>
    <row r="69" spans="1:12" ht="19">
      <c r="A69">
        <v>68</v>
      </c>
      <c r="B69" s="1" t="s">
        <v>35</v>
      </c>
      <c r="C69" s="2" t="s">
        <v>271</v>
      </c>
      <c r="D69" t="s">
        <v>85</v>
      </c>
      <c r="E69" t="s">
        <v>391</v>
      </c>
      <c r="F69" t="s">
        <v>192</v>
      </c>
      <c r="G69" t="s">
        <v>1272</v>
      </c>
      <c r="J69" t="str">
        <f t="shared" si="1"/>
        <v>segmented videos list</v>
      </c>
      <c r="K69" s="1"/>
      <c r="L69" s="1" t="s">
        <v>255</v>
      </c>
    </row>
    <row r="70" spans="1:12" ht="19">
      <c r="A70">
        <v>69</v>
      </c>
      <c r="B70" s="1" t="s">
        <v>36</v>
      </c>
      <c r="C70" s="2" t="s">
        <v>271</v>
      </c>
      <c r="D70" t="s">
        <v>85</v>
      </c>
      <c r="E70" t="s">
        <v>391</v>
      </c>
      <c r="F70" t="s">
        <v>192</v>
      </c>
      <c r="G70" t="s">
        <v>1273</v>
      </c>
      <c r="J70" t="str">
        <f t="shared" si="1"/>
        <v>segmented videos list</v>
      </c>
      <c r="K70" s="1"/>
      <c r="L70" s="1" t="s">
        <v>257</v>
      </c>
    </row>
    <row r="71" spans="1:12" ht="19">
      <c r="A71">
        <v>70</v>
      </c>
      <c r="B71" s="1" t="s">
        <v>37</v>
      </c>
      <c r="C71" s="2" t="s">
        <v>271</v>
      </c>
      <c r="D71" t="s">
        <v>1204</v>
      </c>
      <c r="E71" t="s">
        <v>391</v>
      </c>
      <c r="F71" t="s">
        <v>192</v>
      </c>
      <c r="G71" t="s">
        <v>1221</v>
      </c>
      <c r="J71" t="str">
        <f t="shared" si="1"/>
        <v>to dignose</v>
      </c>
      <c r="K71" s="1"/>
      <c r="L71" s="1" t="s">
        <v>264</v>
      </c>
    </row>
    <row r="72" spans="1:12" ht="19">
      <c r="A72">
        <v>71</v>
      </c>
      <c r="B72" s="1" t="s">
        <v>38</v>
      </c>
      <c r="C72" s="2" t="s">
        <v>271</v>
      </c>
      <c r="D72" t="s">
        <v>1201</v>
      </c>
      <c r="E72" t="s">
        <v>391</v>
      </c>
      <c r="F72" t="s">
        <v>192</v>
      </c>
      <c r="G72" t="s">
        <v>1207</v>
      </c>
      <c r="J72" t="str">
        <f t="shared" si="1"/>
        <v>to dignose</v>
      </c>
      <c r="K72" s="1"/>
      <c r="L72" s="1" t="s">
        <v>59</v>
      </c>
    </row>
    <row r="73" spans="1:12" ht="19">
      <c r="A73">
        <v>72</v>
      </c>
      <c r="B73" s="1" t="s">
        <v>39</v>
      </c>
      <c r="C73" s="2" t="s">
        <v>271</v>
      </c>
      <c r="D73" t="s">
        <v>84</v>
      </c>
      <c r="E73" t="s">
        <v>391</v>
      </c>
      <c r="F73" t="s">
        <v>192</v>
      </c>
      <c r="G73" t="s">
        <v>1274</v>
      </c>
      <c r="J73" t="str">
        <f t="shared" si="1"/>
        <v>segmented videos list</v>
      </c>
      <c r="K73" s="1"/>
      <c r="L73" s="1" t="s">
        <v>60</v>
      </c>
    </row>
    <row r="74" spans="1:12" ht="19">
      <c r="A74">
        <v>73</v>
      </c>
      <c r="B74" s="1" t="s">
        <v>242</v>
      </c>
      <c r="C74" s="2" t="s">
        <v>267</v>
      </c>
      <c r="D74" t="s">
        <v>84</v>
      </c>
      <c r="E74" t="s">
        <v>391</v>
      </c>
      <c r="F74" t="s">
        <v>192</v>
      </c>
      <c r="G74" t="s">
        <v>1275</v>
      </c>
      <c r="J74" t="str">
        <f t="shared" si="1"/>
        <v>segmented videos list</v>
      </c>
      <c r="K74" s="1"/>
      <c r="L74" s="1" t="s">
        <v>265</v>
      </c>
    </row>
    <row r="75" spans="1:12" ht="19">
      <c r="A75">
        <v>74</v>
      </c>
      <c r="B75" s="1" t="s">
        <v>40</v>
      </c>
      <c r="C75" s="2" t="s">
        <v>271</v>
      </c>
      <c r="D75" t="s">
        <v>1203</v>
      </c>
      <c r="E75" t="s">
        <v>391</v>
      </c>
      <c r="F75" t="s">
        <v>192</v>
      </c>
      <c r="G75" t="s">
        <v>1213</v>
      </c>
      <c r="J75" t="str">
        <f t="shared" si="1"/>
        <v>to dignose</v>
      </c>
      <c r="K75" s="1"/>
      <c r="L75" s="1" t="s">
        <v>61</v>
      </c>
    </row>
    <row r="76" spans="1:12" ht="19">
      <c r="A76">
        <v>75</v>
      </c>
      <c r="B76" s="1" t="s">
        <v>243</v>
      </c>
      <c r="C76" s="2" t="s">
        <v>269</v>
      </c>
      <c r="D76" t="s">
        <v>84</v>
      </c>
      <c r="E76" t="s">
        <v>391</v>
      </c>
      <c r="J76" t="str">
        <f t="shared" si="1"/>
        <v>no</v>
      </c>
      <c r="K76" s="1"/>
      <c r="L76" s="1" t="s">
        <v>266</v>
      </c>
    </row>
    <row r="77" spans="1:12" ht="19">
      <c r="A77">
        <v>76</v>
      </c>
      <c r="B77" s="1" t="s">
        <v>41</v>
      </c>
      <c r="C77" s="2" t="s">
        <v>271</v>
      </c>
      <c r="D77" t="s">
        <v>84</v>
      </c>
      <c r="E77" t="s">
        <v>391</v>
      </c>
      <c r="J77" t="str">
        <f t="shared" si="1"/>
        <v>no</v>
      </c>
      <c r="K77" s="1"/>
      <c r="L77" s="1" t="s">
        <v>62</v>
      </c>
    </row>
    <row r="78" spans="1:12" ht="19">
      <c r="A78">
        <v>77</v>
      </c>
      <c r="B78" s="1" t="s">
        <v>244</v>
      </c>
      <c r="C78" s="2" t="s">
        <v>274</v>
      </c>
      <c r="D78" t="s">
        <v>84</v>
      </c>
      <c r="E78" t="s">
        <v>391</v>
      </c>
      <c r="J78" t="str">
        <f t="shared" si="1"/>
        <v>no</v>
      </c>
      <c r="K78" s="1"/>
      <c r="L78" s="1" t="s">
        <v>63</v>
      </c>
    </row>
    <row r="79" spans="1:12" ht="19">
      <c r="A79">
        <v>78</v>
      </c>
      <c r="B79" s="1" t="s">
        <v>245</v>
      </c>
      <c r="C79" s="2" t="s">
        <v>269</v>
      </c>
      <c r="D79" t="s">
        <v>84</v>
      </c>
      <c r="E79" t="s">
        <v>391</v>
      </c>
      <c r="J79" t="str">
        <f t="shared" si="1"/>
        <v>no</v>
      </c>
      <c r="K79" s="1"/>
      <c r="L79" s="1"/>
    </row>
    <row r="80" spans="1:12" ht="19">
      <c r="A80">
        <v>79</v>
      </c>
      <c r="B80" s="1" t="s">
        <v>42</v>
      </c>
      <c r="C80" s="2" t="s">
        <v>271</v>
      </c>
      <c r="D80" t="s">
        <v>87</v>
      </c>
      <c r="E80" t="s">
        <v>391</v>
      </c>
      <c r="J80" t="str">
        <f t="shared" si="1"/>
        <v>no</v>
      </c>
      <c r="K80" s="1"/>
      <c r="L80" s="1"/>
    </row>
    <row r="81" spans="1:10" ht="19">
      <c r="A81">
        <v>80</v>
      </c>
      <c r="B81" s="1" t="s">
        <v>43</v>
      </c>
      <c r="C81" s="2" t="s">
        <v>271</v>
      </c>
      <c r="D81" t="s">
        <v>87</v>
      </c>
      <c r="E81" t="s">
        <v>391</v>
      </c>
      <c r="J81" t="str">
        <f t="shared" si="1"/>
        <v>no</v>
      </c>
    </row>
    <row r="82" spans="1:10" ht="19">
      <c r="A82">
        <v>81</v>
      </c>
      <c r="B82" s="1" t="s">
        <v>246</v>
      </c>
      <c r="C82" s="2" t="s">
        <v>273</v>
      </c>
      <c r="D82" t="s">
        <v>84</v>
      </c>
      <c r="E82" t="s">
        <v>391</v>
      </c>
      <c r="J82" t="str">
        <f t="shared" si="1"/>
        <v>no</v>
      </c>
    </row>
    <row r="83" spans="1:10" ht="19">
      <c r="A83">
        <v>82</v>
      </c>
      <c r="B83" s="1" t="s">
        <v>247</v>
      </c>
      <c r="C83" s="2" t="s">
        <v>269</v>
      </c>
      <c r="D83" t="s">
        <v>84</v>
      </c>
      <c r="E83" t="s">
        <v>391</v>
      </c>
      <c r="J83" t="str">
        <f t="shared" si="1"/>
        <v>no</v>
      </c>
    </row>
    <row r="84" spans="1:10" ht="19">
      <c r="A84">
        <v>83</v>
      </c>
      <c r="B84" s="1" t="s">
        <v>248</v>
      </c>
      <c r="C84" s="2" t="s">
        <v>269</v>
      </c>
      <c r="D84" t="s">
        <v>84</v>
      </c>
      <c r="E84" t="s">
        <v>391</v>
      </c>
      <c r="J84" t="str">
        <f t="shared" si="1"/>
        <v>no</v>
      </c>
    </row>
    <row r="85" spans="1:10" ht="19">
      <c r="A85">
        <v>84</v>
      </c>
      <c r="B85" s="1" t="s">
        <v>44</v>
      </c>
      <c r="C85" s="2" t="s">
        <v>271</v>
      </c>
      <c r="D85" t="s">
        <v>87</v>
      </c>
      <c r="E85" t="s">
        <v>391</v>
      </c>
      <c r="J85" t="str">
        <f t="shared" si="1"/>
        <v>no</v>
      </c>
    </row>
    <row r="86" spans="1:10" ht="19">
      <c r="A86">
        <v>85</v>
      </c>
      <c r="B86" s="1" t="s">
        <v>249</v>
      </c>
      <c r="C86" s="2" t="s">
        <v>274</v>
      </c>
      <c r="D86" t="s">
        <v>84</v>
      </c>
      <c r="E86" t="s">
        <v>391</v>
      </c>
      <c r="J86" t="str">
        <f t="shared" si="1"/>
        <v>no</v>
      </c>
    </row>
    <row r="87" spans="1:10" ht="19">
      <c r="A87">
        <v>86</v>
      </c>
      <c r="B87" s="1" t="s">
        <v>45</v>
      </c>
      <c r="C87" s="2" t="s">
        <v>271</v>
      </c>
      <c r="D87" t="s">
        <v>84</v>
      </c>
      <c r="E87" t="s">
        <v>391</v>
      </c>
      <c r="J87" t="str">
        <f t="shared" si="1"/>
        <v>no</v>
      </c>
    </row>
    <row r="88" spans="1:10" ht="19">
      <c r="A88">
        <v>87</v>
      </c>
      <c r="B88" s="1" t="s">
        <v>250</v>
      </c>
      <c r="C88" s="2" t="s">
        <v>268</v>
      </c>
      <c r="D88" t="s">
        <v>84</v>
      </c>
      <c r="E88" t="s">
        <v>391</v>
      </c>
      <c r="J88" t="str">
        <f t="shared" si="1"/>
        <v>no</v>
      </c>
    </row>
    <row r="89" spans="1:10" ht="19">
      <c r="A89">
        <v>88</v>
      </c>
      <c r="B89" s="1" t="s">
        <v>46</v>
      </c>
      <c r="C89" s="2" t="s">
        <v>271</v>
      </c>
      <c r="D89" t="s">
        <v>84</v>
      </c>
      <c r="E89" t="s">
        <v>391</v>
      </c>
      <c r="J89" t="str">
        <f t="shared" si="1"/>
        <v>no</v>
      </c>
    </row>
    <row r="90" spans="1:10" ht="19">
      <c r="A90">
        <v>89</v>
      </c>
      <c r="B90" s="1" t="s">
        <v>47</v>
      </c>
      <c r="C90" s="2" t="s">
        <v>271</v>
      </c>
      <c r="D90" t="s">
        <v>84</v>
      </c>
      <c r="E90" t="s">
        <v>391</v>
      </c>
      <c r="J90" t="str">
        <f t="shared" si="1"/>
        <v>no</v>
      </c>
    </row>
    <row r="91" spans="1:10" ht="19">
      <c r="A91">
        <v>90</v>
      </c>
      <c r="B91" s="1" t="s">
        <v>48</v>
      </c>
      <c r="C91" s="2" t="s">
        <v>271</v>
      </c>
      <c r="D91" t="s">
        <v>84</v>
      </c>
      <c r="E91" t="s">
        <v>391</v>
      </c>
      <c r="J91" t="str">
        <f t="shared" si="1"/>
        <v>no</v>
      </c>
    </row>
    <row r="92" spans="1:10" ht="19">
      <c r="A92">
        <v>91</v>
      </c>
      <c r="B92" s="1" t="s">
        <v>49</v>
      </c>
      <c r="C92" s="2" t="s">
        <v>271</v>
      </c>
      <c r="D92" t="s">
        <v>84</v>
      </c>
      <c r="E92" t="s">
        <v>391</v>
      </c>
      <c r="J92" t="str">
        <f t="shared" si="1"/>
        <v>no</v>
      </c>
    </row>
    <row r="93" spans="1:10" ht="19">
      <c r="A93">
        <v>92</v>
      </c>
      <c r="B93" s="1" t="s">
        <v>50</v>
      </c>
      <c r="C93" s="2" t="s">
        <v>271</v>
      </c>
      <c r="D93" t="s">
        <v>84</v>
      </c>
      <c r="E93" t="s">
        <v>391</v>
      </c>
      <c r="J93" t="str">
        <f t="shared" si="1"/>
        <v>no</v>
      </c>
    </row>
    <row r="94" spans="1:10" ht="19">
      <c r="A94">
        <v>93</v>
      </c>
      <c r="B94" s="1" t="s">
        <v>51</v>
      </c>
      <c r="C94" s="2" t="s">
        <v>271</v>
      </c>
      <c r="D94" t="s">
        <v>84</v>
      </c>
      <c r="E94" t="s">
        <v>391</v>
      </c>
      <c r="J94" t="str">
        <f t="shared" si="1"/>
        <v>no</v>
      </c>
    </row>
    <row r="95" spans="1:10" ht="19">
      <c r="A95">
        <v>94</v>
      </c>
      <c r="B95" s="1" t="s">
        <v>52</v>
      </c>
      <c r="C95" s="2" t="s">
        <v>271</v>
      </c>
      <c r="D95" t="s">
        <v>84</v>
      </c>
      <c r="E95" t="s">
        <v>391</v>
      </c>
      <c r="J95" t="str">
        <f t="shared" si="1"/>
        <v>no</v>
      </c>
    </row>
    <row r="96" spans="1:10" ht="19">
      <c r="A96">
        <v>95</v>
      </c>
      <c r="B96" s="1" t="s">
        <v>53</v>
      </c>
      <c r="C96" s="2" t="s">
        <v>271</v>
      </c>
      <c r="D96" t="s">
        <v>84</v>
      </c>
      <c r="E96" t="s">
        <v>391</v>
      </c>
      <c r="J96" t="str">
        <f t="shared" si="1"/>
        <v>no</v>
      </c>
    </row>
    <row r="97" spans="1:10" ht="19">
      <c r="A97">
        <v>96</v>
      </c>
      <c r="B97" s="1" t="s">
        <v>251</v>
      </c>
      <c r="C97" s="2" t="s">
        <v>267</v>
      </c>
      <c r="D97" t="s">
        <v>84</v>
      </c>
      <c r="E97" t="s">
        <v>391</v>
      </c>
      <c r="F97" t="s">
        <v>192</v>
      </c>
      <c r="G97" t="s">
        <v>1276</v>
      </c>
      <c r="J97" t="str">
        <f t="shared" si="1"/>
        <v>segmented videos list</v>
      </c>
    </row>
    <row r="98" spans="1:10" ht="19">
      <c r="A98">
        <v>97</v>
      </c>
      <c r="B98" s="1" t="s">
        <v>54</v>
      </c>
      <c r="C98" s="2" t="s">
        <v>271</v>
      </c>
      <c r="D98" t="s">
        <v>84</v>
      </c>
      <c r="E98" t="s">
        <v>391</v>
      </c>
      <c r="F98" t="s">
        <v>192</v>
      </c>
      <c r="G98" t="s">
        <v>1277</v>
      </c>
      <c r="J98" t="str">
        <f t="shared" si="1"/>
        <v>segmented videos list</v>
      </c>
    </row>
    <row r="99" spans="1:10" ht="19">
      <c r="A99">
        <v>98</v>
      </c>
      <c r="B99" s="1" t="s">
        <v>55</v>
      </c>
      <c r="C99" s="2" t="s">
        <v>271</v>
      </c>
      <c r="D99" t="s">
        <v>1201</v>
      </c>
      <c r="E99" t="s">
        <v>391</v>
      </c>
      <c r="F99" t="s">
        <v>192</v>
      </c>
      <c r="G99" t="s">
        <v>1208</v>
      </c>
      <c r="J99" t="str">
        <f t="shared" si="1"/>
        <v>to dignose</v>
      </c>
    </row>
    <row r="100" spans="1:10" ht="19">
      <c r="A100">
        <v>99</v>
      </c>
      <c r="B100" s="1" t="s">
        <v>252</v>
      </c>
      <c r="C100" s="2" t="s">
        <v>274</v>
      </c>
      <c r="D100" t="s">
        <v>84</v>
      </c>
      <c r="E100" t="s">
        <v>391</v>
      </c>
      <c r="F100" t="s">
        <v>192</v>
      </c>
      <c r="G100" t="s">
        <v>1278</v>
      </c>
      <c r="J100" t="str">
        <f t="shared" si="1"/>
        <v>segmented videos list</v>
      </c>
    </row>
    <row r="101" spans="1:10" ht="19">
      <c r="A101">
        <v>100</v>
      </c>
      <c r="B101" s="1" t="s">
        <v>56</v>
      </c>
      <c r="C101" s="2" t="s">
        <v>271</v>
      </c>
      <c r="D101" t="s">
        <v>84</v>
      </c>
      <c r="E101" t="s">
        <v>391</v>
      </c>
      <c r="F101" t="s">
        <v>192</v>
      </c>
      <c r="G101" t="s">
        <v>1279</v>
      </c>
      <c r="J101" t="str">
        <f t="shared" si="1"/>
        <v>segmented videos list</v>
      </c>
    </row>
    <row r="102" spans="1:10" ht="19">
      <c r="A102">
        <v>101</v>
      </c>
      <c r="B102" s="1" t="s">
        <v>253</v>
      </c>
      <c r="C102" s="2" t="s">
        <v>267</v>
      </c>
      <c r="D102" t="s">
        <v>84</v>
      </c>
      <c r="E102" t="s">
        <v>391</v>
      </c>
      <c r="F102" t="s">
        <v>192</v>
      </c>
      <c r="G102" t="s">
        <v>1280</v>
      </c>
      <c r="J102" t="str">
        <f t="shared" si="1"/>
        <v>segmented videos list</v>
      </c>
    </row>
    <row r="103" spans="1:10" ht="19">
      <c r="A103">
        <v>102</v>
      </c>
      <c r="B103" s="1" t="s">
        <v>57</v>
      </c>
      <c r="C103" s="2" t="s">
        <v>271</v>
      </c>
      <c r="D103" t="s">
        <v>84</v>
      </c>
      <c r="E103" t="s">
        <v>391</v>
      </c>
      <c r="F103" t="s">
        <v>192</v>
      </c>
      <c r="G103" t="s">
        <v>1281</v>
      </c>
      <c r="J103" t="str">
        <f t="shared" si="1"/>
        <v>segmented videos list</v>
      </c>
    </row>
    <row r="104" spans="1:10" ht="19">
      <c r="A104">
        <v>103</v>
      </c>
      <c r="B104" s="1" t="s">
        <v>58</v>
      </c>
      <c r="C104" s="2" t="s">
        <v>271</v>
      </c>
      <c r="D104" t="s">
        <v>1203</v>
      </c>
      <c r="E104" t="s">
        <v>391</v>
      </c>
      <c r="F104" t="s">
        <v>201</v>
      </c>
      <c r="G104" t="s">
        <v>1214</v>
      </c>
      <c r="J104" t="str">
        <f t="shared" si="1"/>
        <v>to dignose</v>
      </c>
    </row>
    <row r="105" spans="1:10" ht="19">
      <c r="A105">
        <v>104</v>
      </c>
      <c r="B105" s="1" t="s">
        <v>254</v>
      </c>
      <c r="C105" s="2" t="s">
        <v>269</v>
      </c>
      <c r="D105" t="s">
        <v>84</v>
      </c>
      <c r="E105" t="s">
        <v>391</v>
      </c>
      <c r="F105" t="s">
        <v>192</v>
      </c>
      <c r="G105" t="s">
        <v>1282</v>
      </c>
      <c r="J105" t="str">
        <f t="shared" si="1"/>
        <v>segmented videos list</v>
      </c>
    </row>
    <row r="106" spans="1:10" ht="19">
      <c r="A106">
        <v>105</v>
      </c>
      <c r="B106" s="1" t="s">
        <v>255</v>
      </c>
      <c r="C106" s="2" t="s">
        <v>269</v>
      </c>
      <c r="D106" t="s">
        <v>1201</v>
      </c>
      <c r="E106" t="s">
        <v>391</v>
      </c>
      <c r="F106" t="s">
        <v>192</v>
      </c>
      <c r="G106" t="s">
        <v>1209</v>
      </c>
      <c r="J106" t="str">
        <f t="shared" si="1"/>
        <v>to dignose</v>
      </c>
    </row>
    <row r="107" spans="1:10" ht="19">
      <c r="A107">
        <v>106</v>
      </c>
      <c r="B107" s="1" t="s">
        <v>256</v>
      </c>
      <c r="C107" s="2" t="s">
        <v>269</v>
      </c>
      <c r="D107" t="s">
        <v>84</v>
      </c>
      <c r="E107" t="s">
        <v>391</v>
      </c>
      <c r="J107" t="str">
        <f t="shared" si="1"/>
        <v>no</v>
      </c>
    </row>
    <row r="108" spans="1:10" ht="19">
      <c r="A108">
        <v>107</v>
      </c>
      <c r="B108" s="1" t="s">
        <v>257</v>
      </c>
      <c r="C108" s="2" t="s">
        <v>274</v>
      </c>
      <c r="D108" t="s">
        <v>84</v>
      </c>
      <c r="E108" t="s">
        <v>391</v>
      </c>
      <c r="F108" t="s">
        <v>192</v>
      </c>
      <c r="G108" t="s">
        <v>1283</v>
      </c>
      <c r="J108" t="str">
        <f t="shared" si="1"/>
        <v>segmented videos list</v>
      </c>
    </row>
    <row r="109" spans="1:10" ht="19">
      <c r="A109">
        <v>108</v>
      </c>
      <c r="B109" s="1" t="s">
        <v>258</v>
      </c>
      <c r="C109" s="2" t="s">
        <v>267</v>
      </c>
      <c r="D109" t="s">
        <v>84</v>
      </c>
      <c r="E109" t="s">
        <v>391</v>
      </c>
      <c r="J109" t="str">
        <f t="shared" si="1"/>
        <v>no</v>
      </c>
    </row>
    <row r="110" spans="1:10" ht="19">
      <c r="A110">
        <v>109</v>
      </c>
      <c r="B110" s="1" t="s">
        <v>259</v>
      </c>
      <c r="C110" s="2" t="s">
        <v>274</v>
      </c>
      <c r="D110" t="s">
        <v>84</v>
      </c>
      <c r="E110" t="s">
        <v>391</v>
      </c>
      <c r="J110" t="str">
        <f t="shared" si="1"/>
        <v>no</v>
      </c>
    </row>
    <row r="111" spans="1:10" ht="19">
      <c r="A111">
        <v>110</v>
      </c>
      <c r="B111" s="1" t="s">
        <v>260</v>
      </c>
      <c r="C111" s="2" t="s">
        <v>269</v>
      </c>
      <c r="D111" t="s">
        <v>84</v>
      </c>
      <c r="E111" t="s">
        <v>391</v>
      </c>
      <c r="J111" t="str">
        <f t="shared" si="1"/>
        <v>no</v>
      </c>
    </row>
    <row r="112" spans="1:10" ht="19">
      <c r="A112">
        <v>111</v>
      </c>
      <c r="B112" s="1" t="s">
        <v>261</v>
      </c>
      <c r="C112" s="2" t="s">
        <v>274</v>
      </c>
      <c r="D112" t="s">
        <v>84</v>
      </c>
      <c r="E112" t="s">
        <v>391</v>
      </c>
      <c r="J112" t="str">
        <f t="shared" si="1"/>
        <v>no</v>
      </c>
    </row>
    <row r="113" spans="1:10" ht="19">
      <c r="A113">
        <v>112</v>
      </c>
      <c r="B113" s="1" t="s">
        <v>262</v>
      </c>
      <c r="C113" s="2" t="s">
        <v>269</v>
      </c>
      <c r="D113" t="s">
        <v>84</v>
      </c>
      <c r="E113" t="s">
        <v>391</v>
      </c>
      <c r="J113" t="str">
        <f t="shared" si="1"/>
        <v>no</v>
      </c>
    </row>
    <row r="114" spans="1:10" ht="19">
      <c r="A114">
        <v>113</v>
      </c>
      <c r="B114" s="1" t="s">
        <v>263</v>
      </c>
      <c r="C114" s="2" t="s">
        <v>269</v>
      </c>
      <c r="D114" t="s">
        <v>84</v>
      </c>
      <c r="E114" t="s">
        <v>391</v>
      </c>
      <c r="J114" t="str">
        <f t="shared" si="1"/>
        <v>no</v>
      </c>
    </row>
    <row r="115" spans="1:10" ht="19">
      <c r="A115">
        <v>114</v>
      </c>
      <c r="B115" s="1" t="s">
        <v>264</v>
      </c>
      <c r="C115" s="2" t="s">
        <v>267</v>
      </c>
      <c r="D115" t="s">
        <v>85</v>
      </c>
      <c r="E115" t="s">
        <v>391</v>
      </c>
      <c r="F115" t="s">
        <v>192</v>
      </c>
      <c r="G115" t="s">
        <v>1284</v>
      </c>
      <c r="J115" t="str">
        <f t="shared" si="1"/>
        <v>segmented videos list</v>
      </c>
    </row>
    <row r="116" spans="1:10" ht="19">
      <c r="A116">
        <v>115</v>
      </c>
      <c r="B116" s="1" t="s">
        <v>59</v>
      </c>
      <c r="C116" s="2" t="s">
        <v>271</v>
      </c>
      <c r="D116" t="s">
        <v>1204</v>
      </c>
      <c r="E116" t="s">
        <v>391</v>
      </c>
      <c r="F116" t="s">
        <v>201</v>
      </c>
      <c r="G116" t="s">
        <v>1222</v>
      </c>
      <c r="J116" t="str">
        <f t="shared" si="1"/>
        <v>to dignose</v>
      </c>
    </row>
    <row r="117" spans="1:10" ht="19">
      <c r="A117">
        <v>116</v>
      </c>
      <c r="B117" s="1" t="s">
        <v>60</v>
      </c>
      <c r="C117" s="2" t="s">
        <v>271</v>
      </c>
      <c r="D117" t="s">
        <v>84</v>
      </c>
      <c r="E117" t="s">
        <v>391</v>
      </c>
      <c r="F117" t="s">
        <v>192</v>
      </c>
      <c r="G117" t="s">
        <v>1285</v>
      </c>
      <c r="J117" t="str">
        <f t="shared" si="1"/>
        <v>segmented videos list</v>
      </c>
    </row>
    <row r="118" spans="1:10" ht="19">
      <c r="A118">
        <v>117</v>
      </c>
      <c r="B118" s="1" t="s">
        <v>265</v>
      </c>
      <c r="C118" s="2" t="s">
        <v>267</v>
      </c>
      <c r="D118" t="s">
        <v>84</v>
      </c>
      <c r="E118" t="s">
        <v>391</v>
      </c>
      <c r="F118" t="s">
        <v>192</v>
      </c>
      <c r="G118" t="s">
        <v>1286</v>
      </c>
      <c r="J118" t="str">
        <f t="shared" si="1"/>
        <v>segmented videos list</v>
      </c>
    </row>
    <row r="119" spans="1:10" ht="19">
      <c r="A119">
        <v>118</v>
      </c>
      <c r="B119" s="1" t="s">
        <v>61</v>
      </c>
      <c r="C119" s="2" t="s">
        <v>271</v>
      </c>
      <c r="D119" t="s">
        <v>1203</v>
      </c>
      <c r="E119" t="s">
        <v>391</v>
      </c>
      <c r="F119" t="s">
        <v>201</v>
      </c>
      <c r="G119" t="s">
        <v>1215</v>
      </c>
      <c r="J119" t="str">
        <f t="shared" si="1"/>
        <v>to dignose</v>
      </c>
    </row>
    <row r="120" spans="1:10" ht="19">
      <c r="A120">
        <v>119</v>
      </c>
      <c r="B120" s="1" t="s">
        <v>266</v>
      </c>
      <c r="C120" s="2" t="s">
        <v>269</v>
      </c>
      <c r="D120" t="s">
        <v>84</v>
      </c>
      <c r="E120" t="s">
        <v>391</v>
      </c>
      <c r="F120" t="s">
        <v>192</v>
      </c>
      <c r="G120" t="s">
        <v>1287</v>
      </c>
      <c r="J120" t="str">
        <f t="shared" si="1"/>
        <v>segmented videos list</v>
      </c>
    </row>
    <row r="121" spans="1:10" ht="19">
      <c r="A121">
        <v>120</v>
      </c>
      <c r="B121" s="1" t="s">
        <v>62</v>
      </c>
      <c r="C121" s="2" t="s">
        <v>271</v>
      </c>
      <c r="D121" t="s">
        <v>84</v>
      </c>
      <c r="E121" t="s">
        <v>391</v>
      </c>
      <c r="F121" t="s">
        <v>192</v>
      </c>
      <c r="G121" t="s">
        <v>1288</v>
      </c>
      <c r="J121" t="str">
        <f t="shared" si="1"/>
        <v>segmented videos list</v>
      </c>
    </row>
    <row r="122" spans="1:10" ht="19">
      <c r="A122">
        <v>121</v>
      </c>
      <c r="B122" s="1" t="s">
        <v>63</v>
      </c>
      <c r="C122" s="2" t="s">
        <v>271</v>
      </c>
      <c r="D122" t="s">
        <v>84</v>
      </c>
      <c r="E122" t="s">
        <v>391</v>
      </c>
      <c r="F122" t="s">
        <v>201</v>
      </c>
      <c r="G122" t="s">
        <v>1289</v>
      </c>
      <c r="J122" t="str">
        <f t="shared" si="1"/>
        <v>segmented videos list</v>
      </c>
    </row>
    <row r="123" spans="1:10" ht="19">
      <c r="A123">
        <v>122</v>
      </c>
      <c r="B123" s="1" t="s">
        <v>64</v>
      </c>
      <c r="C123" s="2" t="s">
        <v>271</v>
      </c>
      <c r="D123" t="s">
        <v>84</v>
      </c>
      <c r="E123" t="s">
        <v>391</v>
      </c>
      <c r="J123" t="str">
        <f t="shared" si="1"/>
        <v>no</v>
      </c>
    </row>
    <row r="124" spans="1:10" ht="19">
      <c r="A124">
        <v>123</v>
      </c>
      <c r="B124" s="1" t="s">
        <v>65</v>
      </c>
      <c r="C124" s="2" t="s">
        <v>271</v>
      </c>
      <c r="D124" t="s">
        <v>84</v>
      </c>
      <c r="E124" t="s">
        <v>391</v>
      </c>
      <c r="J124" t="str">
        <f t="shared" si="1"/>
        <v>no</v>
      </c>
    </row>
    <row r="125" spans="1:10" ht="19">
      <c r="A125">
        <v>124</v>
      </c>
      <c r="B125" s="1" t="s">
        <v>66</v>
      </c>
      <c r="C125" s="2" t="s">
        <v>271</v>
      </c>
      <c r="D125" t="s">
        <v>84</v>
      </c>
      <c r="E125" t="s">
        <v>391</v>
      </c>
      <c r="J125" t="str">
        <f t="shared" si="1"/>
        <v>no</v>
      </c>
    </row>
    <row r="126" spans="1:10" ht="19">
      <c r="A126">
        <v>125</v>
      </c>
      <c r="B126" s="1" t="s">
        <v>67</v>
      </c>
      <c r="C126" s="2" t="s">
        <v>271</v>
      </c>
      <c r="D126" t="s">
        <v>84</v>
      </c>
      <c r="E126" t="s">
        <v>391</v>
      </c>
      <c r="J126" t="str">
        <f t="shared" si="1"/>
        <v>no</v>
      </c>
    </row>
    <row r="127" spans="1:10" ht="19">
      <c r="A127">
        <v>126</v>
      </c>
      <c r="B127" s="1" t="s">
        <v>68</v>
      </c>
      <c r="C127" s="2" t="s">
        <v>271</v>
      </c>
      <c r="D127" t="s">
        <v>84</v>
      </c>
      <c r="E127" t="s">
        <v>391</v>
      </c>
      <c r="J127" t="str">
        <f t="shared" si="1"/>
        <v>no</v>
      </c>
    </row>
    <row r="128" spans="1:10" ht="19">
      <c r="A128">
        <v>127</v>
      </c>
      <c r="B128" s="1" t="s">
        <v>69</v>
      </c>
      <c r="C128" s="2" t="s">
        <v>271</v>
      </c>
      <c r="D128" t="s">
        <v>84</v>
      </c>
      <c r="E128" t="s">
        <v>391</v>
      </c>
      <c r="J128" t="str">
        <f t="shared" si="1"/>
        <v>no</v>
      </c>
    </row>
    <row r="129" spans="1:10" ht="19">
      <c r="A129">
        <v>128</v>
      </c>
      <c r="B129" s="1" t="s">
        <v>70</v>
      </c>
      <c r="C129" s="2" t="s">
        <v>271</v>
      </c>
      <c r="D129" t="s">
        <v>84</v>
      </c>
      <c r="E129" t="s">
        <v>391</v>
      </c>
      <c r="J129" t="str">
        <f t="shared" si="1"/>
        <v>no</v>
      </c>
    </row>
    <row r="130" spans="1:10" ht="19">
      <c r="A130">
        <v>129</v>
      </c>
      <c r="B130" s="1" t="s">
        <v>71</v>
      </c>
      <c r="C130" s="2" t="s">
        <v>271</v>
      </c>
      <c r="D130" t="s">
        <v>84</v>
      </c>
      <c r="E130" t="s">
        <v>391</v>
      </c>
      <c r="J130" t="str">
        <f t="shared" si="1"/>
        <v>no</v>
      </c>
    </row>
    <row r="131" spans="1:10" ht="19">
      <c r="A131">
        <v>130</v>
      </c>
      <c r="B131" s="1" t="s">
        <v>72</v>
      </c>
      <c r="C131" s="2" t="s">
        <v>271</v>
      </c>
      <c r="D131" t="s">
        <v>84</v>
      </c>
      <c r="E131" t="s">
        <v>391</v>
      </c>
      <c r="J131" t="str">
        <f t="shared" ref="J131:J142" si="2">IF(COUNTIF(K:K, B131)&gt;0,$K$1,IF(COUNTIF(L:L, B131)&gt;0,$L$1,"no"))</f>
        <v>no</v>
      </c>
    </row>
    <row r="132" spans="1:10" ht="19">
      <c r="A132">
        <v>131</v>
      </c>
      <c r="B132" s="1" t="s">
        <v>73</v>
      </c>
      <c r="C132" s="2" t="s">
        <v>271</v>
      </c>
      <c r="D132" t="s">
        <v>84</v>
      </c>
      <c r="E132" t="s">
        <v>391</v>
      </c>
      <c r="J132" t="str">
        <f t="shared" si="2"/>
        <v>no</v>
      </c>
    </row>
    <row r="133" spans="1:10" ht="19">
      <c r="A133">
        <v>132</v>
      </c>
      <c r="B133" s="1" t="s">
        <v>74</v>
      </c>
      <c r="C133" s="2" t="s">
        <v>271</v>
      </c>
      <c r="D133" t="s">
        <v>84</v>
      </c>
      <c r="E133" t="s">
        <v>391</v>
      </c>
      <c r="J133" t="str">
        <f t="shared" si="2"/>
        <v>no</v>
      </c>
    </row>
    <row r="134" spans="1:10" ht="19">
      <c r="A134">
        <v>133</v>
      </c>
      <c r="B134" s="1" t="s">
        <v>75</v>
      </c>
      <c r="C134" s="2" t="s">
        <v>271</v>
      </c>
      <c r="D134" t="s">
        <v>84</v>
      </c>
      <c r="E134" t="s">
        <v>391</v>
      </c>
      <c r="J134" t="str">
        <f t="shared" si="2"/>
        <v>no</v>
      </c>
    </row>
    <row r="135" spans="1:10" ht="19">
      <c r="A135">
        <v>134</v>
      </c>
      <c r="B135" s="1" t="s">
        <v>76</v>
      </c>
      <c r="C135" s="2" t="s">
        <v>271</v>
      </c>
      <c r="D135" t="s">
        <v>84</v>
      </c>
      <c r="E135" t="s">
        <v>391</v>
      </c>
      <c r="J135" t="str">
        <f t="shared" si="2"/>
        <v>no</v>
      </c>
    </row>
    <row r="136" spans="1:10" ht="19">
      <c r="A136">
        <v>135</v>
      </c>
      <c r="B136" s="1" t="s">
        <v>77</v>
      </c>
      <c r="C136" s="2" t="s">
        <v>271</v>
      </c>
      <c r="D136" t="s">
        <v>84</v>
      </c>
      <c r="E136" t="s">
        <v>391</v>
      </c>
      <c r="J136" t="str">
        <f t="shared" si="2"/>
        <v>no</v>
      </c>
    </row>
    <row r="137" spans="1:10" ht="19">
      <c r="A137">
        <v>136</v>
      </c>
      <c r="B137" s="1" t="s">
        <v>78</v>
      </c>
      <c r="C137" s="2" t="s">
        <v>271</v>
      </c>
      <c r="D137" t="s">
        <v>84</v>
      </c>
      <c r="E137" t="s">
        <v>391</v>
      </c>
      <c r="J137" t="str">
        <f t="shared" si="2"/>
        <v>no</v>
      </c>
    </row>
    <row r="138" spans="1:10" ht="19">
      <c r="A138">
        <v>137</v>
      </c>
      <c r="B138" s="1" t="s">
        <v>79</v>
      </c>
      <c r="C138" s="2" t="s">
        <v>271</v>
      </c>
      <c r="D138" t="s">
        <v>84</v>
      </c>
      <c r="E138" t="s">
        <v>391</v>
      </c>
      <c r="J138" t="str">
        <f t="shared" si="2"/>
        <v>no</v>
      </c>
    </row>
    <row r="139" spans="1:10" ht="19">
      <c r="A139">
        <v>138</v>
      </c>
      <c r="B139" s="1" t="s">
        <v>80</v>
      </c>
      <c r="C139" s="2" t="s">
        <v>271</v>
      </c>
      <c r="D139" t="s">
        <v>84</v>
      </c>
      <c r="E139" t="s">
        <v>391</v>
      </c>
      <c r="J139" t="str">
        <f t="shared" si="2"/>
        <v>no</v>
      </c>
    </row>
    <row r="140" spans="1:10" ht="19">
      <c r="A140">
        <v>139</v>
      </c>
      <c r="B140" s="1" t="s">
        <v>81</v>
      </c>
      <c r="C140" s="2" t="s">
        <v>271</v>
      </c>
      <c r="D140" t="s">
        <v>84</v>
      </c>
      <c r="E140" t="s">
        <v>391</v>
      </c>
      <c r="J140" t="str">
        <f t="shared" si="2"/>
        <v>no</v>
      </c>
    </row>
    <row r="141" spans="1:10" ht="19">
      <c r="A141">
        <v>140</v>
      </c>
      <c r="B141" s="1" t="s">
        <v>82</v>
      </c>
      <c r="C141" s="2" t="s">
        <v>271</v>
      </c>
      <c r="D141" t="s">
        <v>84</v>
      </c>
      <c r="E141" t="s">
        <v>391</v>
      </c>
      <c r="J141" t="str">
        <f t="shared" si="2"/>
        <v>no</v>
      </c>
    </row>
    <row r="142" spans="1:10" ht="19">
      <c r="A142">
        <v>141</v>
      </c>
      <c r="B142" s="1" t="s">
        <v>83</v>
      </c>
      <c r="C142" s="2" t="s">
        <v>271</v>
      </c>
      <c r="D142" t="s">
        <v>84</v>
      </c>
      <c r="E142" t="s">
        <v>391</v>
      </c>
      <c r="J142" t="str">
        <f t="shared" si="2"/>
        <v>no</v>
      </c>
    </row>
    <row r="143" spans="1:10" ht="19">
      <c r="B143" s="1"/>
    </row>
    <row r="144" spans="1:10" ht="19">
      <c r="B144" s="1"/>
    </row>
  </sheetData>
  <autoFilter ref="A1:K142" xr:uid="{CDC925AE-7FF0-3244-95F6-37B0F343D4FE}"/>
  <phoneticPr fontId="1" type="noConversion"/>
  <conditionalFormatting sqref="E1:E1048576">
    <cfRule type="cellIs" dxfId="59" priority="2" operator="equal">
      <formula>"no"</formula>
    </cfRule>
    <cfRule type="cellIs" dxfId="58" priority="3" operator="equal">
      <formula>"yes"</formula>
    </cfRule>
  </conditionalFormatting>
  <conditionalFormatting sqref="F2:F142">
    <cfRule type="expression" dxfId="57" priority="1">
      <formula>F2&lt;&gt;E2</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4B3E56-1CA8-6546-98E3-2D158BBFEBE9}">
  <sheetPr codeName="工作表21" filterMode="1"/>
  <dimension ref="A1:L142"/>
  <sheetViews>
    <sheetView workbookViewId="0">
      <selection activeCell="G36" sqref="A1:L142"/>
    </sheetView>
  </sheetViews>
  <sheetFormatPr baseColWidth="10" defaultRowHeight="15"/>
  <cols>
    <col min="2" max="2" width="12" style="5" customWidth="1"/>
    <col min="3" max="3" width="5.1640625" customWidth="1"/>
    <col min="5" max="5" width="11.33203125" customWidth="1"/>
    <col min="6" max="7" width="10.83203125" style="5"/>
    <col min="10" max="10" width="14.33203125" customWidth="1"/>
  </cols>
  <sheetData>
    <row r="1" spans="1:12">
      <c r="A1" t="s">
        <v>88</v>
      </c>
      <c r="B1" s="5" t="s">
        <v>0</v>
      </c>
      <c r="C1" s="2" t="s">
        <v>202</v>
      </c>
      <c r="D1" t="s">
        <v>6</v>
      </c>
      <c r="E1" t="s">
        <v>1</v>
      </c>
      <c r="F1" t="s">
        <v>4</v>
      </c>
      <c r="G1" s="5" t="s">
        <v>2</v>
      </c>
      <c r="H1" t="s">
        <v>5</v>
      </c>
      <c r="I1" t="s">
        <v>3</v>
      </c>
      <c r="J1" t="s">
        <v>1067</v>
      </c>
      <c r="K1" t="s">
        <v>1192</v>
      </c>
      <c r="L1" t="s">
        <v>1105</v>
      </c>
    </row>
    <row r="2" spans="1:12" ht="19">
      <c r="A2">
        <v>1</v>
      </c>
      <c r="B2" s="14" t="s">
        <v>299</v>
      </c>
      <c r="C2" t="s">
        <v>271</v>
      </c>
      <c r="E2" t="s">
        <v>390</v>
      </c>
      <c r="F2" s="5" t="s">
        <v>201</v>
      </c>
      <c r="G2" s="5" t="s">
        <v>1293</v>
      </c>
      <c r="J2" t="str">
        <f>IF(COUNTIF(K:K, B2)&gt;0,$K$1,IF(COUNTIF(L:L, B2)&gt;0,$L$1,"no"))</f>
        <v>segmented videos list</v>
      </c>
      <c r="K2" s="1"/>
      <c r="L2" s="1" t="s">
        <v>327</v>
      </c>
    </row>
    <row r="3" spans="1:12" ht="19">
      <c r="A3">
        <v>2</v>
      </c>
      <c r="B3" s="14" t="s">
        <v>300</v>
      </c>
      <c r="C3" t="s">
        <v>271</v>
      </c>
      <c r="E3" t="s">
        <v>390</v>
      </c>
      <c r="F3" s="5" t="s">
        <v>192</v>
      </c>
      <c r="G3" s="5" t="s">
        <v>1294</v>
      </c>
      <c r="J3" t="str">
        <f t="shared" ref="J3:J66" si="0">IF(COUNTIF(K:K, B3)&gt;0,$K$1,IF(COUNTIF(L:L, B3)&gt;0,$L$1,"no"))</f>
        <v>segmented videos list</v>
      </c>
      <c r="K3" s="1"/>
      <c r="L3" s="1" t="s">
        <v>348</v>
      </c>
    </row>
    <row r="4" spans="1:12" ht="19" hidden="1">
      <c r="A4">
        <v>3</v>
      </c>
      <c r="B4" s="14" t="s">
        <v>301</v>
      </c>
      <c r="C4" t="s">
        <v>295</v>
      </c>
      <c r="E4" t="s">
        <v>391</v>
      </c>
      <c r="F4" s="5" t="s">
        <v>201</v>
      </c>
      <c r="G4" s="5" t="s">
        <v>1295</v>
      </c>
      <c r="J4" t="str">
        <f t="shared" si="0"/>
        <v>segmented videos list</v>
      </c>
      <c r="K4" s="1"/>
      <c r="L4" s="1" t="s">
        <v>311</v>
      </c>
    </row>
    <row r="5" spans="1:12" ht="19">
      <c r="A5">
        <v>4</v>
      </c>
      <c r="B5" s="14" t="s">
        <v>302</v>
      </c>
      <c r="C5" t="s">
        <v>271</v>
      </c>
      <c r="E5" t="s">
        <v>390</v>
      </c>
      <c r="F5" s="5" t="s">
        <v>201</v>
      </c>
      <c r="G5" s="5" t="s">
        <v>1296</v>
      </c>
      <c r="J5" t="str">
        <f t="shared" si="0"/>
        <v>segmented videos list</v>
      </c>
      <c r="K5" s="1"/>
      <c r="L5" s="1" t="s">
        <v>328</v>
      </c>
    </row>
    <row r="6" spans="1:12" ht="19" hidden="1">
      <c r="A6">
        <v>5</v>
      </c>
      <c r="B6" s="14" t="s">
        <v>303</v>
      </c>
      <c r="C6" t="s">
        <v>271</v>
      </c>
      <c r="E6" t="s">
        <v>390</v>
      </c>
      <c r="J6" t="str">
        <f t="shared" si="0"/>
        <v>no</v>
      </c>
      <c r="K6" s="1"/>
      <c r="L6" s="1" t="s">
        <v>349</v>
      </c>
    </row>
    <row r="7" spans="1:12" ht="19">
      <c r="A7">
        <v>6</v>
      </c>
      <c r="B7" s="14" t="s">
        <v>304</v>
      </c>
      <c r="C7" t="s">
        <v>268</v>
      </c>
      <c r="E7" t="s">
        <v>390</v>
      </c>
      <c r="F7" s="5" t="s">
        <v>192</v>
      </c>
      <c r="G7" s="5" t="s">
        <v>1297</v>
      </c>
      <c r="J7" t="str">
        <f t="shared" si="0"/>
        <v>segmented videos list</v>
      </c>
      <c r="K7" s="1"/>
      <c r="L7" s="1" t="s">
        <v>312</v>
      </c>
    </row>
    <row r="8" spans="1:12" ht="19">
      <c r="A8">
        <v>7</v>
      </c>
      <c r="B8" s="14" t="s">
        <v>305</v>
      </c>
      <c r="C8" t="s">
        <v>269</v>
      </c>
      <c r="E8" t="s">
        <v>390</v>
      </c>
      <c r="F8" s="5" t="s">
        <v>201</v>
      </c>
      <c r="G8" s="5" t="s">
        <v>1298</v>
      </c>
      <c r="J8" t="str">
        <f t="shared" si="0"/>
        <v>segmented videos list</v>
      </c>
      <c r="K8" s="1"/>
      <c r="L8" s="1" t="s">
        <v>329</v>
      </c>
    </row>
    <row r="9" spans="1:12" ht="19" hidden="1">
      <c r="A9">
        <v>8</v>
      </c>
      <c r="B9" s="14" t="s">
        <v>306</v>
      </c>
      <c r="C9" t="s">
        <v>295</v>
      </c>
      <c r="E9" t="s">
        <v>391</v>
      </c>
      <c r="J9" t="str">
        <f t="shared" si="0"/>
        <v>no</v>
      </c>
      <c r="K9" s="1"/>
      <c r="L9" s="1" t="s">
        <v>350</v>
      </c>
    </row>
    <row r="10" spans="1:12" ht="19" hidden="1">
      <c r="A10">
        <v>9</v>
      </c>
      <c r="B10" s="14" t="s">
        <v>307</v>
      </c>
      <c r="C10" t="s">
        <v>295</v>
      </c>
      <c r="E10" t="s">
        <v>391</v>
      </c>
      <c r="J10" t="str">
        <f t="shared" si="0"/>
        <v>no</v>
      </c>
      <c r="K10" s="1"/>
      <c r="L10" s="1" t="s">
        <v>313</v>
      </c>
    </row>
    <row r="11" spans="1:12" ht="19" hidden="1">
      <c r="A11">
        <v>10</v>
      </c>
      <c r="B11" s="14" t="s">
        <v>308</v>
      </c>
      <c r="C11" t="s">
        <v>295</v>
      </c>
      <c r="E11" t="s">
        <v>391</v>
      </c>
      <c r="F11" s="5" t="s">
        <v>192</v>
      </c>
      <c r="G11" s="5" t="s">
        <v>1299</v>
      </c>
      <c r="J11" t="str">
        <f t="shared" si="0"/>
        <v>segmented videos list</v>
      </c>
      <c r="K11" s="1"/>
      <c r="L11" s="1" t="s">
        <v>330</v>
      </c>
    </row>
    <row r="12" spans="1:12" ht="19" hidden="1">
      <c r="A12">
        <v>11</v>
      </c>
      <c r="B12" s="14" t="s">
        <v>309</v>
      </c>
      <c r="C12" t="s">
        <v>354</v>
      </c>
      <c r="E12" t="s">
        <v>391</v>
      </c>
      <c r="F12" s="5" t="s">
        <v>192</v>
      </c>
      <c r="G12" s="5" t="s">
        <v>1300</v>
      </c>
      <c r="J12" t="str">
        <f t="shared" si="0"/>
        <v>segmented videos list</v>
      </c>
      <c r="K12" s="1"/>
      <c r="L12" s="1" t="s">
        <v>351</v>
      </c>
    </row>
    <row r="13" spans="1:12" ht="19" hidden="1">
      <c r="A13">
        <v>12</v>
      </c>
      <c r="B13" s="14" t="s">
        <v>310</v>
      </c>
      <c r="C13" t="s">
        <v>295</v>
      </c>
      <c r="E13" t="s">
        <v>391</v>
      </c>
      <c r="F13" s="5" t="s">
        <v>192</v>
      </c>
      <c r="G13" s="5" t="s">
        <v>1301</v>
      </c>
      <c r="J13" t="str">
        <f t="shared" si="0"/>
        <v>segmented videos list</v>
      </c>
      <c r="K13" s="1"/>
      <c r="L13" s="1" t="s">
        <v>314</v>
      </c>
    </row>
    <row r="14" spans="1:12" ht="19" hidden="1">
      <c r="A14">
        <v>13</v>
      </c>
      <c r="B14" s="14" t="s">
        <v>311</v>
      </c>
      <c r="C14" t="s">
        <v>355</v>
      </c>
      <c r="E14" t="s">
        <v>391</v>
      </c>
      <c r="F14" s="5" t="s">
        <v>192</v>
      </c>
      <c r="G14" s="5" t="s">
        <v>1302</v>
      </c>
      <c r="J14" t="str">
        <f t="shared" si="0"/>
        <v>segmented videos list</v>
      </c>
      <c r="K14" s="1"/>
      <c r="L14" s="1" t="s">
        <v>331</v>
      </c>
    </row>
    <row r="15" spans="1:12" ht="19">
      <c r="A15">
        <v>14</v>
      </c>
      <c r="B15" s="14" t="s">
        <v>312</v>
      </c>
      <c r="C15" t="s">
        <v>271</v>
      </c>
      <c r="E15" t="s">
        <v>390</v>
      </c>
      <c r="F15" s="5" t="s">
        <v>201</v>
      </c>
      <c r="G15" s="5" t="s">
        <v>1303</v>
      </c>
      <c r="J15" t="str">
        <f t="shared" si="0"/>
        <v>segmented videos list</v>
      </c>
      <c r="K15" s="1"/>
      <c r="L15" s="1" t="s">
        <v>352</v>
      </c>
    </row>
    <row r="16" spans="1:12" ht="19" hidden="1">
      <c r="A16">
        <v>15</v>
      </c>
      <c r="B16" s="14" t="s">
        <v>313</v>
      </c>
      <c r="C16" t="s">
        <v>355</v>
      </c>
      <c r="E16" t="s">
        <v>391</v>
      </c>
      <c r="F16" s="5" t="s">
        <v>201</v>
      </c>
      <c r="G16" s="5" t="s">
        <v>1304</v>
      </c>
      <c r="J16" t="str">
        <f t="shared" si="0"/>
        <v>segmented videos list</v>
      </c>
      <c r="K16" s="1"/>
      <c r="L16" s="1" t="s">
        <v>318</v>
      </c>
    </row>
    <row r="17" spans="1:12" ht="19">
      <c r="A17">
        <v>16</v>
      </c>
      <c r="B17" s="14" t="s">
        <v>314</v>
      </c>
      <c r="C17" t="s">
        <v>270</v>
      </c>
      <c r="E17" t="s">
        <v>390</v>
      </c>
      <c r="F17" s="5" t="s">
        <v>192</v>
      </c>
      <c r="G17" s="5" t="s">
        <v>1305</v>
      </c>
      <c r="J17" t="str">
        <f t="shared" si="0"/>
        <v>segmented videos list</v>
      </c>
      <c r="K17" s="1"/>
      <c r="L17" s="1" t="s">
        <v>332</v>
      </c>
    </row>
    <row r="18" spans="1:12" ht="19" hidden="1">
      <c r="A18">
        <v>17</v>
      </c>
      <c r="B18" s="14" t="s">
        <v>315</v>
      </c>
      <c r="C18" t="s">
        <v>271</v>
      </c>
      <c r="E18" t="s">
        <v>390</v>
      </c>
      <c r="J18" t="str">
        <f t="shared" si="0"/>
        <v>no</v>
      </c>
      <c r="K18" s="1"/>
      <c r="L18" s="1" t="s">
        <v>299</v>
      </c>
    </row>
    <row r="19" spans="1:12" ht="19" hidden="1">
      <c r="A19">
        <v>18</v>
      </c>
      <c r="B19" s="14" t="s">
        <v>316</v>
      </c>
      <c r="C19" t="s">
        <v>271</v>
      </c>
      <c r="E19" t="s">
        <v>390</v>
      </c>
      <c r="J19" t="str">
        <f t="shared" si="0"/>
        <v>no</v>
      </c>
      <c r="K19" s="1"/>
      <c r="L19" s="1" t="s">
        <v>319</v>
      </c>
    </row>
    <row r="20" spans="1:12" ht="19" hidden="1">
      <c r="A20">
        <v>19</v>
      </c>
      <c r="B20" s="14" t="s">
        <v>317</v>
      </c>
      <c r="C20" t="s">
        <v>271</v>
      </c>
      <c r="E20" t="s">
        <v>390</v>
      </c>
      <c r="J20" t="str">
        <f t="shared" si="0"/>
        <v>no</v>
      </c>
      <c r="K20" s="1"/>
      <c r="L20" s="1" t="s">
        <v>333</v>
      </c>
    </row>
    <row r="21" spans="1:12" ht="19" hidden="1">
      <c r="A21">
        <v>20</v>
      </c>
      <c r="B21" s="14" t="s">
        <v>318</v>
      </c>
      <c r="C21" t="s">
        <v>295</v>
      </c>
      <c r="E21" t="s">
        <v>391</v>
      </c>
      <c r="F21" s="5" t="s">
        <v>192</v>
      </c>
      <c r="G21" s="5" t="s">
        <v>1306</v>
      </c>
      <c r="J21" t="str">
        <f t="shared" si="0"/>
        <v>segmented videos list</v>
      </c>
      <c r="K21" s="1"/>
      <c r="L21" s="1" t="s">
        <v>300</v>
      </c>
    </row>
    <row r="22" spans="1:12" ht="19" hidden="1">
      <c r="A22">
        <v>21</v>
      </c>
      <c r="B22" s="14" t="s">
        <v>319</v>
      </c>
      <c r="C22" t="s">
        <v>295</v>
      </c>
      <c r="E22" t="s">
        <v>391</v>
      </c>
      <c r="F22" s="5" t="s">
        <v>192</v>
      </c>
      <c r="G22" s="5" t="s">
        <v>1307</v>
      </c>
      <c r="J22" t="str">
        <f t="shared" si="0"/>
        <v>segmented videos list</v>
      </c>
      <c r="K22" s="1"/>
      <c r="L22" s="1" t="s">
        <v>320</v>
      </c>
    </row>
    <row r="23" spans="1:12" ht="19" hidden="1">
      <c r="A23">
        <v>22</v>
      </c>
      <c r="B23" s="14" t="s">
        <v>320</v>
      </c>
      <c r="C23" t="s">
        <v>295</v>
      </c>
      <c r="E23" t="s">
        <v>391</v>
      </c>
      <c r="F23" s="5" t="s">
        <v>192</v>
      </c>
      <c r="G23" s="5" t="s">
        <v>1308</v>
      </c>
      <c r="J23" t="str">
        <f t="shared" si="0"/>
        <v>segmented videos list</v>
      </c>
      <c r="K23" s="1"/>
      <c r="L23" s="1" t="s">
        <v>338</v>
      </c>
    </row>
    <row r="24" spans="1:12" ht="19" hidden="1">
      <c r="A24">
        <v>23</v>
      </c>
      <c r="B24" s="14" t="s">
        <v>321</v>
      </c>
      <c r="C24" t="s">
        <v>296</v>
      </c>
      <c r="E24" t="s">
        <v>391</v>
      </c>
      <c r="F24" s="5" t="s">
        <v>192</v>
      </c>
      <c r="G24" s="5" t="s">
        <v>1309</v>
      </c>
      <c r="J24" t="str">
        <f t="shared" si="0"/>
        <v>segmented videos list</v>
      </c>
      <c r="K24" s="1"/>
      <c r="L24" s="1" t="s">
        <v>301</v>
      </c>
    </row>
    <row r="25" spans="1:12" ht="19" hidden="1">
      <c r="A25">
        <v>24</v>
      </c>
      <c r="B25" s="14" t="s">
        <v>322</v>
      </c>
      <c r="C25" t="s">
        <v>296</v>
      </c>
      <c r="E25" t="s">
        <v>391</v>
      </c>
      <c r="F25" s="5" t="s">
        <v>192</v>
      </c>
      <c r="G25" s="5" t="s">
        <v>1310</v>
      </c>
      <c r="J25" t="str">
        <f t="shared" si="0"/>
        <v>segmented videos list</v>
      </c>
      <c r="K25" s="1"/>
      <c r="L25" s="1" t="s">
        <v>321</v>
      </c>
    </row>
    <row r="26" spans="1:12" ht="19" hidden="1">
      <c r="A26">
        <v>25</v>
      </c>
      <c r="B26" s="14" t="s">
        <v>323</v>
      </c>
      <c r="C26" t="s">
        <v>296</v>
      </c>
      <c r="E26" t="s">
        <v>391</v>
      </c>
      <c r="F26" s="5" t="s">
        <v>192</v>
      </c>
      <c r="G26" s="5" t="s">
        <v>1311</v>
      </c>
      <c r="J26" t="str">
        <f t="shared" si="0"/>
        <v>segmented videos list</v>
      </c>
      <c r="K26" s="1"/>
      <c r="L26" s="1" t="s">
        <v>339</v>
      </c>
    </row>
    <row r="27" spans="1:12" ht="19" hidden="1">
      <c r="A27">
        <v>26</v>
      </c>
      <c r="B27" s="14" t="s">
        <v>324</v>
      </c>
      <c r="C27" t="s">
        <v>296</v>
      </c>
      <c r="E27" t="s">
        <v>391</v>
      </c>
      <c r="F27" s="5" t="s">
        <v>192</v>
      </c>
      <c r="G27" s="5" t="s">
        <v>1312</v>
      </c>
      <c r="J27" t="str">
        <f t="shared" si="0"/>
        <v>segmented videos list</v>
      </c>
      <c r="K27" s="1"/>
      <c r="L27" s="1" t="s">
        <v>302</v>
      </c>
    </row>
    <row r="28" spans="1:12" ht="19" hidden="1">
      <c r="A28">
        <v>27</v>
      </c>
      <c r="B28" s="14" t="s">
        <v>325</v>
      </c>
      <c r="C28" t="s">
        <v>296</v>
      </c>
      <c r="E28" t="s">
        <v>391</v>
      </c>
      <c r="F28" s="5" t="s">
        <v>192</v>
      </c>
      <c r="G28" s="5" t="s">
        <v>1313</v>
      </c>
      <c r="J28" t="str">
        <f t="shared" si="0"/>
        <v>segmented videos list</v>
      </c>
      <c r="K28" s="1"/>
      <c r="L28" s="1" t="s">
        <v>322</v>
      </c>
    </row>
    <row r="29" spans="1:12" ht="19" hidden="1">
      <c r="A29">
        <v>28</v>
      </c>
      <c r="B29" s="14" t="s">
        <v>326</v>
      </c>
      <c r="C29" t="s">
        <v>296</v>
      </c>
      <c r="E29" t="s">
        <v>391</v>
      </c>
      <c r="F29" s="5" t="s">
        <v>192</v>
      </c>
      <c r="G29" s="5" t="s">
        <v>1314</v>
      </c>
      <c r="J29" t="str">
        <f t="shared" si="0"/>
        <v>segmented videos list</v>
      </c>
      <c r="K29" s="1"/>
      <c r="L29" s="1" t="s">
        <v>340</v>
      </c>
    </row>
    <row r="30" spans="1:12" ht="19">
      <c r="A30">
        <v>29</v>
      </c>
      <c r="B30" s="14" t="s">
        <v>327</v>
      </c>
      <c r="C30" t="s">
        <v>271</v>
      </c>
      <c r="E30" t="s">
        <v>390</v>
      </c>
      <c r="F30" s="5" t="s">
        <v>201</v>
      </c>
      <c r="G30" s="5" t="s">
        <v>1315</v>
      </c>
      <c r="J30" t="str">
        <f t="shared" si="0"/>
        <v>segmented videos list</v>
      </c>
      <c r="K30" s="1"/>
      <c r="L30" s="1" t="s">
        <v>304</v>
      </c>
    </row>
    <row r="31" spans="1:12" ht="19">
      <c r="A31">
        <v>30</v>
      </c>
      <c r="B31" s="14" t="s">
        <v>328</v>
      </c>
      <c r="C31" t="s">
        <v>270</v>
      </c>
      <c r="E31" t="s">
        <v>390</v>
      </c>
      <c r="F31" s="5" t="s">
        <v>201</v>
      </c>
      <c r="G31" s="5" t="s">
        <v>1316</v>
      </c>
      <c r="J31" t="str">
        <f t="shared" si="0"/>
        <v>segmented videos list</v>
      </c>
      <c r="K31" s="1"/>
      <c r="L31" s="1" t="s">
        <v>323</v>
      </c>
    </row>
    <row r="32" spans="1:12" ht="19">
      <c r="A32">
        <v>31</v>
      </c>
      <c r="B32" s="14" t="s">
        <v>329</v>
      </c>
      <c r="C32" t="s">
        <v>269</v>
      </c>
      <c r="E32" t="s">
        <v>390</v>
      </c>
      <c r="F32" s="5" t="s">
        <v>201</v>
      </c>
      <c r="G32" s="5" t="s">
        <v>1317</v>
      </c>
      <c r="J32" t="str">
        <f t="shared" si="0"/>
        <v>segmented videos list</v>
      </c>
      <c r="K32" s="1"/>
      <c r="L32" s="1" t="s">
        <v>341</v>
      </c>
    </row>
    <row r="33" spans="1:12" ht="19">
      <c r="A33">
        <v>32</v>
      </c>
      <c r="B33" s="14" t="s">
        <v>330</v>
      </c>
      <c r="C33" t="s">
        <v>269</v>
      </c>
      <c r="E33" t="s">
        <v>390</v>
      </c>
      <c r="F33" s="5" t="s">
        <v>201</v>
      </c>
      <c r="G33" s="5" t="s">
        <v>1318</v>
      </c>
      <c r="J33" t="str">
        <f t="shared" si="0"/>
        <v>segmented videos list</v>
      </c>
      <c r="K33" s="1"/>
      <c r="L33" s="1" t="s">
        <v>305</v>
      </c>
    </row>
    <row r="34" spans="1:12" ht="19">
      <c r="A34">
        <v>33</v>
      </c>
      <c r="B34" s="14" t="s">
        <v>331</v>
      </c>
      <c r="C34" t="s">
        <v>271</v>
      </c>
      <c r="E34" t="s">
        <v>390</v>
      </c>
      <c r="F34" s="5" t="s">
        <v>201</v>
      </c>
      <c r="G34" s="5" t="s">
        <v>1319</v>
      </c>
      <c r="J34" t="str">
        <f t="shared" si="0"/>
        <v>segmented videos list</v>
      </c>
      <c r="K34" s="1"/>
      <c r="L34" s="1" t="s">
        <v>324</v>
      </c>
    </row>
    <row r="35" spans="1:12" ht="19" hidden="1">
      <c r="A35">
        <v>34</v>
      </c>
      <c r="B35" s="14" t="s">
        <v>332</v>
      </c>
      <c r="C35" t="s">
        <v>295</v>
      </c>
      <c r="E35" t="s">
        <v>391</v>
      </c>
      <c r="F35" s="5" t="s">
        <v>201</v>
      </c>
      <c r="G35" s="5" t="s">
        <v>1315</v>
      </c>
      <c r="J35" t="str">
        <f t="shared" si="0"/>
        <v>segmented videos list</v>
      </c>
      <c r="K35" s="1"/>
      <c r="L35" s="1" t="s">
        <v>342</v>
      </c>
    </row>
    <row r="36" spans="1:12" ht="19">
      <c r="A36">
        <v>35</v>
      </c>
      <c r="B36" s="14" t="s">
        <v>333</v>
      </c>
      <c r="C36" t="s">
        <v>269</v>
      </c>
      <c r="E36" t="s">
        <v>390</v>
      </c>
      <c r="F36" s="5" t="s">
        <v>192</v>
      </c>
      <c r="G36" s="5" t="s">
        <v>1320</v>
      </c>
      <c r="J36" t="str">
        <f t="shared" si="0"/>
        <v>segmented videos list</v>
      </c>
      <c r="K36" s="1"/>
      <c r="L36" s="1" t="s">
        <v>308</v>
      </c>
    </row>
    <row r="37" spans="1:12" ht="19" hidden="1">
      <c r="A37">
        <v>36</v>
      </c>
      <c r="B37" s="14" t="s">
        <v>334</v>
      </c>
      <c r="C37" t="s">
        <v>296</v>
      </c>
      <c r="E37" t="s">
        <v>391</v>
      </c>
      <c r="J37" t="str">
        <f t="shared" si="0"/>
        <v>no</v>
      </c>
      <c r="K37" s="1"/>
      <c r="L37" s="1" t="s">
        <v>325</v>
      </c>
    </row>
    <row r="38" spans="1:12" ht="19" hidden="1">
      <c r="A38">
        <v>37</v>
      </c>
      <c r="B38" s="14" t="s">
        <v>335</v>
      </c>
      <c r="C38" t="s">
        <v>355</v>
      </c>
      <c r="E38" t="s">
        <v>391</v>
      </c>
      <c r="J38" t="str">
        <f t="shared" si="0"/>
        <v>no</v>
      </c>
      <c r="K38" s="1"/>
      <c r="L38" s="1" t="s">
        <v>343</v>
      </c>
    </row>
    <row r="39" spans="1:12" ht="19" hidden="1">
      <c r="A39">
        <v>38</v>
      </c>
      <c r="B39" s="14" t="s">
        <v>336</v>
      </c>
      <c r="C39" t="s">
        <v>268</v>
      </c>
      <c r="E39" t="s">
        <v>390</v>
      </c>
      <c r="J39" t="str">
        <f t="shared" si="0"/>
        <v>no</v>
      </c>
      <c r="K39" s="1"/>
      <c r="L39" s="1" t="s">
        <v>309</v>
      </c>
    </row>
    <row r="40" spans="1:12" ht="19" hidden="1">
      <c r="A40">
        <v>39</v>
      </c>
      <c r="B40" s="14" t="s">
        <v>337</v>
      </c>
      <c r="C40" t="s">
        <v>296</v>
      </c>
      <c r="E40" t="s">
        <v>391</v>
      </c>
      <c r="J40" t="str">
        <f t="shared" si="0"/>
        <v>no</v>
      </c>
      <c r="K40" s="1"/>
      <c r="L40" s="1" t="s">
        <v>326</v>
      </c>
    </row>
    <row r="41" spans="1:12" ht="19" hidden="1">
      <c r="A41">
        <v>40</v>
      </c>
      <c r="B41" s="14" t="s">
        <v>338</v>
      </c>
      <c r="C41" t="s">
        <v>296</v>
      </c>
      <c r="E41" t="s">
        <v>391</v>
      </c>
      <c r="F41" s="5" t="s">
        <v>192</v>
      </c>
      <c r="G41" s="5" t="s">
        <v>1321</v>
      </c>
      <c r="J41" t="str">
        <f t="shared" si="0"/>
        <v>segmented videos list</v>
      </c>
      <c r="K41" s="1"/>
      <c r="L41" s="1" t="s">
        <v>347</v>
      </c>
    </row>
    <row r="42" spans="1:12" ht="19">
      <c r="A42">
        <v>41</v>
      </c>
      <c r="B42" s="14" t="s">
        <v>339</v>
      </c>
      <c r="C42" t="s">
        <v>271</v>
      </c>
      <c r="E42" t="s">
        <v>390</v>
      </c>
      <c r="F42" s="5" t="s">
        <v>201</v>
      </c>
      <c r="G42" s="5" t="s">
        <v>1317</v>
      </c>
      <c r="J42" t="str">
        <f t="shared" si="0"/>
        <v>segmented videos list</v>
      </c>
      <c r="K42" s="1"/>
      <c r="L42" s="1" t="s">
        <v>310</v>
      </c>
    </row>
    <row r="43" spans="1:12" ht="19" hidden="1">
      <c r="A43">
        <v>42</v>
      </c>
      <c r="B43" s="14" t="s">
        <v>340</v>
      </c>
      <c r="C43" t="s">
        <v>296</v>
      </c>
      <c r="E43" t="s">
        <v>391</v>
      </c>
      <c r="F43" s="5" t="s">
        <v>192</v>
      </c>
      <c r="G43" s="5" t="s">
        <v>1322</v>
      </c>
      <c r="J43" t="str">
        <f t="shared" si="0"/>
        <v>segmented videos list</v>
      </c>
      <c r="K43" s="1"/>
      <c r="L43" s="1"/>
    </row>
    <row r="44" spans="1:12" ht="19" hidden="1">
      <c r="A44">
        <v>43</v>
      </c>
      <c r="B44" s="14" t="s">
        <v>341</v>
      </c>
      <c r="C44" t="s">
        <v>295</v>
      </c>
      <c r="E44" t="s">
        <v>391</v>
      </c>
      <c r="F44" s="5" t="s">
        <v>192</v>
      </c>
      <c r="G44" s="5" t="s">
        <v>1323</v>
      </c>
      <c r="J44" t="str">
        <f t="shared" si="0"/>
        <v>segmented videos list</v>
      </c>
      <c r="K44" s="1"/>
      <c r="L44" s="1"/>
    </row>
    <row r="45" spans="1:12" ht="19">
      <c r="A45">
        <v>44</v>
      </c>
      <c r="B45" s="14" t="s">
        <v>342</v>
      </c>
      <c r="C45" t="s">
        <v>269</v>
      </c>
      <c r="E45" t="s">
        <v>390</v>
      </c>
      <c r="F45" s="5" t="s">
        <v>201</v>
      </c>
      <c r="G45" s="5" t="s">
        <v>1324</v>
      </c>
      <c r="J45" t="str">
        <f t="shared" si="0"/>
        <v>segmented videos list</v>
      </c>
      <c r="K45" s="1"/>
      <c r="L45" s="1"/>
    </row>
    <row r="46" spans="1:12" ht="19" hidden="1">
      <c r="A46">
        <v>45</v>
      </c>
      <c r="B46" s="14" t="s">
        <v>343</v>
      </c>
      <c r="C46" t="s">
        <v>296</v>
      </c>
      <c r="E46" t="s">
        <v>391</v>
      </c>
      <c r="F46" s="5" t="s">
        <v>192</v>
      </c>
      <c r="G46" s="5" t="s">
        <v>1325</v>
      </c>
      <c r="J46" t="str">
        <f t="shared" si="0"/>
        <v>segmented videos list</v>
      </c>
      <c r="K46" s="1"/>
      <c r="L46" s="1"/>
    </row>
    <row r="47" spans="1:12" ht="19" hidden="1">
      <c r="A47">
        <v>46</v>
      </c>
      <c r="B47" s="14" t="s">
        <v>344</v>
      </c>
      <c r="C47" t="s">
        <v>295</v>
      </c>
      <c r="E47" t="s">
        <v>391</v>
      </c>
      <c r="J47" t="str">
        <f t="shared" si="0"/>
        <v>no</v>
      </c>
      <c r="K47" s="1"/>
      <c r="L47" s="1"/>
    </row>
    <row r="48" spans="1:12" ht="19" hidden="1">
      <c r="A48">
        <v>47</v>
      </c>
      <c r="B48" s="14" t="s">
        <v>345</v>
      </c>
      <c r="C48" t="s">
        <v>296</v>
      </c>
      <c r="E48" t="s">
        <v>391</v>
      </c>
      <c r="J48" t="str">
        <f t="shared" si="0"/>
        <v>no</v>
      </c>
      <c r="K48" s="1"/>
      <c r="L48" s="1"/>
    </row>
    <row r="49" spans="1:12" ht="19" hidden="1">
      <c r="A49">
        <v>48</v>
      </c>
      <c r="B49" s="14" t="s">
        <v>346</v>
      </c>
      <c r="C49" t="s">
        <v>296</v>
      </c>
      <c r="E49" t="s">
        <v>391</v>
      </c>
      <c r="J49" t="str">
        <f t="shared" si="0"/>
        <v>no</v>
      </c>
      <c r="K49" s="1"/>
      <c r="L49" s="1"/>
    </row>
    <row r="50" spans="1:12" ht="19" hidden="1">
      <c r="A50">
        <v>49</v>
      </c>
      <c r="B50" s="14" t="s">
        <v>347</v>
      </c>
      <c r="C50" t="s">
        <v>295</v>
      </c>
      <c r="E50" t="s">
        <v>391</v>
      </c>
      <c r="F50" s="5" t="s">
        <v>192</v>
      </c>
      <c r="G50" s="5" t="s">
        <v>1326</v>
      </c>
      <c r="J50" t="str">
        <f t="shared" si="0"/>
        <v>segmented videos list</v>
      </c>
      <c r="K50" s="1"/>
      <c r="L50" s="1"/>
    </row>
    <row r="51" spans="1:12" ht="19">
      <c r="A51">
        <v>50</v>
      </c>
      <c r="B51" s="14" t="s">
        <v>348</v>
      </c>
      <c r="C51" t="s">
        <v>268</v>
      </c>
      <c r="E51" t="s">
        <v>390</v>
      </c>
      <c r="F51" s="5" t="s">
        <v>201</v>
      </c>
      <c r="G51" s="5" t="s">
        <v>1324</v>
      </c>
      <c r="J51" t="str">
        <f t="shared" si="0"/>
        <v>segmented videos list</v>
      </c>
      <c r="K51" s="1"/>
      <c r="L51" s="1"/>
    </row>
    <row r="52" spans="1:12" ht="19">
      <c r="A52">
        <v>51</v>
      </c>
      <c r="B52" s="14" t="s">
        <v>349</v>
      </c>
      <c r="C52" t="s">
        <v>271</v>
      </c>
      <c r="E52" t="s">
        <v>390</v>
      </c>
      <c r="F52" s="5" t="s">
        <v>201</v>
      </c>
      <c r="G52" s="5" t="s">
        <v>1327</v>
      </c>
      <c r="J52" t="str">
        <f t="shared" si="0"/>
        <v>segmented videos list</v>
      </c>
      <c r="K52" s="1"/>
      <c r="L52" s="1"/>
    </row>
    <row r="53" spans="1:12" ht="19">
      <c r="A53">
        <v>52</v>
      </c>
      <c r="B53" s="14" t="s">
        <v>350</v>
      </c>
      <c r="C53" t="s">
        <v>271</v>
      </c>
      <c r="E53" t="s">
        <v>390</v>
      </c>
      <c r="F53" s="5" t="s">
        <v>201</v>
      </c>
      <c r="G53" s="5" t="s">
        <v>1327</v>
      </c>
      <c r="J53" t="str">
        <f t="shared" si="0"/>
        <v>segmented videos list</v>
      </c>
      <c r="K53" s="1"/>
      <c r="L53" s="1"/>
    </row>
    <row r="54" spans="1:12" ht="19">
      <c r="A54">
        <v>53</v>
      </c>
      <c r="B54" s="14" t="s">
        <v>351</v>
      </c>
      <c r="E54" t="s">
        <v>390</v>
      </c>
      <c r="F54" s="5" t="s">
        <v>192</v>
      </c>
      <c r="G54" s="5" t="s">
        <v>1328</v>
      </c>
      <c r="J54" t="str">
        <f t="shared" si="0"/>
        <v>segmented videos list</v>
      </c>
      <c r="K54" s="1"/>
      <c r="L54" s="1"/>
    </row>
    <row r="55" spans="1:12" ht="19">
      <c r="A55">
        <v>54</v>
      </c>
      <c r="B55" s="14" t="s">
        <v>352</v>
      </c>
      <c r="E55" t="s">
        <v>390</v>
      </c>
      <c r="F55" s="5" t="s">
        <v>201</v>
      </c>
      <c r="G55" s="5" t="s">
        <v>1324</v>
      </c>
      <c r="J55" t="str">
        <f t="shared" si="0"/>
        <v>segmented videos list</v>
      </c>
      <c r="K55" s="1"/>
      <c r="L55" s="1"/>
    </row>
    <row r="56" spans="1:12" ht="19" hidden="1">
      <c r="A56">
        <v>55</v>
      </c>
      <c r="B56" s="14" t="s">
        <v>353</v>
      </c>
      <c r="E56" t="s">
        <v>390</v>
      </c>
      <c r="J56" t="str">
        <f t="shared" si="0"/>
        <v>no</v>
      </c>
      <c r="K56" s="1"/>
      <c r="L56" s="1"/>
    </row>
    <row r="57" spans="1:12" ht="19" hidden="1">
      <c r="J57" t="str">
        <f t="shared" si="0"/>
        <v>no</v>
      </c>
      <c r="K57" s="1"/>
      <c r="L57" s="1"/>
    </row>
    <row r="58" spans="1:12" ht="19" hidden="1">
      <c r="J58" t="str">
        <f t="shared" si="0"/>
        <v>no</v>
      </c>
      <c r="K58" s="1"/>
      <c r="L58" s="1"/>
    </row>
    <row r="59" spans="1:12" ht="19" hidden="1">
      <c r="J59" t="str">
        <f t="shared" si="0"/>
        <v>no</v>
      </c>
      <c r="K59" s="1"/>
      <c r="L59" s="1"/>
    </row>
    <row r="60" spans="1:12" ht="19" hidden="1">
      <c r="J60" t="str">
        <f t="shared" si="0"/>
        <v>no</v>
      </c>
      <c r="K60" s="1"/>
      <c r="L60" s="1"/>
    </row>
    <row r="61" spans="1:12" ht="19" hidden="1">
      <c r="J61" t="str">
        <f t="shared" si="0"/>
        <v>no</v>
      </c>
      <c r="K61" s="1"/>
      <c r="L61" s="1"/>
    </row>
    <row r="62" spans="1:12" ht="19" hidden="1">
      <c r="J62" t="str">
        <f t="shared" si="0"/>
        <v>no</v>
      </c>
      <c r="K62" s="1"/>
      <c r="L62" s="1"/>
    </row>
    <row r="63" spans="1:12" ht="19" hidden="1">
      <c r="J63" t="str">
        <f t="shared" si="0"/>
        <v>no</v>
      </c>
      <c r="K63" s="1"/>
      <c r="L63" s="1"/>
    </row>
    <row r="64" spans="1:12" ht="19" hidden="1">
      <c r="J64" t="str">
        <f t="shared" si="0"/>
        <v>no</v>
      </c>
      <c r="K64" s="1"/>
      <c r="L64" s="1"/>
    </row>
    <row r="65" spans="10:12" ht="19" hidden="1">
      <c r="J65" t="str">
        <f t="shared" si="0"/>
        <v>no</v>
      </c>
      <c r="K65" s="1"/>
      <c r="L65" s="1"/>
    </row>
    <row r="66" spans="10:12" ht="19" hidden="1">
      <c r="J66" t="str">
        <f t="shared" si="0"/>
        <v>no</v>
      </c>
      <c r="K66" s="1"/>
      <c r="L66" s="1"/>
    </row>
    <row r="67" spans="10:12" ht="19" hidden="1">
      <c r="J67" t="str">
        <f t="shared" ref="J67:J130" si="1">IF(COUNTIF(K:K, B67)&gt;0,$K$1,IF(COUNTIF(L:L, B67)&gt;0,$L$1,"no"))</f>
        <v>no</v>
      </c>
      <c r="K67" s="1"/>
      <c r="L67" s="1"/>
    </row>
    <row r="68" spans="10:12" ht="19" hidden="1">
      <c r="J68" t="str">
        <f t="shared" si="1"/>
        <v>no</v>
      </c>
      <c r="K68" s="1"/>
      <c r="L68" s="1"/>
    </row>
    <row r="69" spans="10:12" ht="19" hidden="1">
      <c r="J69" t="str">
        <f t="shared" si="1"/>
        <v>no</v>
      </c>
      <c r="K69" s="1"/>
      <c r="L69" s="1"/>
    </row>
    <row r="70" spans="10:12" ht="19" hidden="1">
      <c r="J70" t="str">
        <f t="shared" si="1"/>
        <v>no</v>
      </c>
      <c r="K70" s="1"/>
      <c r="L70" s="1"/>
    </row>
    <row r="71" spans="10:12" ht="19" hidden="1">
      <c r="J71" t="str">
        <f t="shared" si="1"/>
        <v>no</v>
      </c>
      <c r="K71" s="1"/>
      <c r="L71" s="1"/>
    </row>
    <row r="72" spans="10:12" ht="19" hidden="1">
      <c r="J72" t="str">
        <f t="shared" si="1"/>
        <v>no</v>
      </c>
      <c r="K72" s="1"/>
      <c r="L72" s="1"/>
    </row>
    <row r="73" spans="10:12" ht="19" hidden="1">
      <c r="J73" t="str">
        <f t="shared" si="1"/>
        <v>no</v>
      </c>
      <c r="K73" s="1"/>
      <c r="L73" s="1"/>
    </row>
    <row r="74" spans="10:12" ht="19" hidden="1">
      <c r="J74" t="str">
        <f t="shared" si="1"/>
        <v>no</v>
      </c>
      <c r="K74" s="1"/>
      <c r="L74" s="1"/>
    </row>
    <row r="75" spans="10:12" ht="19" hidden="1">
      <c r="J75" t="str">
        <f t="shared" si="1"/>
        <v>no</v>
      </c>
      <c r="K75" s="1"/>
      <c r="L75" s="1"/>
    </row>
    <row r="76" spans="10:12" ht="19" hidden="1">
      <c r="J76" t="str">
        <f t="shared" si="1"/>
        <v>no</v>
      </c>
      <c r="K76" s="1"/>
      <c r="L76" s="1"/>
    </row>
    <row r="77" spans="10:12" ht="19" hidden="1">
      <c r="J77" t="str">
        <f t="shared" si="1"/>
        <v>no</v>
      </c>
      <c r="K77" s="1"/>
      <c r="L77" s="1"/>
    </row>
    <row r="78" spans="10:12" ht="19" hidden="1">
      <c r="J78" t="str">
        <f t="shared" si="1"/>
        <v>no</v>
      </c>
      <c r="K78" s="1"/>
      <c r="L78" s="1"/>
    </row>
    <row r="79" spans="10:12" ht="19" hidden="1">
      <c r="J79" t="str">
        <f t="shared" si="1"/>
        <v>no</v>
      </c>
      <c r="K79" s="1"/>
      <c r="L79" s="1"/>
    </row>
    <row r="80" spans="10:12" ht="19" hidden="1">
      <c r="J80" t="str">
        <f t="shared" si="1"/>
        <v>no</v>
      </c>
      <c r="K80" s="1"/>
      <c r="L80" s="1"/>
    </row>
    <row r="81" spans="10:10" hidden="1">
      <c r="J81" t="str">
        <f t="shared" si="1"/>
        <v>no</v>
      </c>
    </row>
    <row r="82" spans="10:10" hidden="1">
      <c r="J82" t="str">
        <f t="shared" si="1"/>
        <v>no</v>
      </c>
    </row>
    <row r="83" spans="10:10" hidden="1">
      <c r="J83" t="str">
        <f t="shared" si="1"/>
        <v>no</v>
      </c>
    </row>
    <row r="84" spans="10:10" hidden="1">
      <c r="J84" t="str">
        <f t="shared" si="1"/>
        <v>no</v>
      </c>
    </row>
    <row r="85" spans="10:10" hidden="1">
      <c r="J85" t="str">
        <f t="shared" si="1"/>
        <v>no</v>
      </c>
    </row>
    <row r="86" spans="10:10" hidden="1">
      <c r="J86" t="str">
        <f t="shared" si="1"/>
        <v>no</v>
      </c>
    </row>
    <row r="87" spans="10:10" hidden="1">
      <c r="J87" t="str">
        <f t="shared" si="1"/>
        <v>no</v>
      </c>
    </row>
    <row r="88" spans="10:10" hidden="1">
      <c r="J88" t="str">
        <f t="shared" si="1"/>
        <v>no</v>
      </c>
    </row>
    <row r="89" spans="10:10" hidden="1">
      <c r="J89" t="str">
        <f t="shared" si="1"/>
        <v>no</v>
      </c>
    </row>
    <row r="90" spans="10:10" hidden="1">
      <c r="J90" t="str">
        <f t="shared" si="1"/>
        <v>no</v>
      </c>
    </row>
    <row r="91" spans="10:10" hidden="1">
      <c r="J91" t="str">
        <f t="shared" si="1"/>
        <v>no</v>
      </c>
    </row>
    <row r="92" spans="10:10" hidden="1">
      <c r="J92" t="str">
        <f t="shared" si="1"/>
        <v>no</v>
      </c>
    </row>
    <row r="93" spans="10:10" hidden="1">
      <c r="J93" t="str">
        <f t="shared" si="1"/>
        <v>no</v>
      </c>
    </row>
    <row r="94" spans="10:10" hidden="1">
      <c r="J94" t="str">
        <f t="shared" si="1"/>
        <v>no</v>
      </c>
    </row>
    <row r="95" spans="10:10" hidden="1">
      <c r="J95" t="str">
        <f t="shared" si="1"/>
        <v>no</v>
      </c>
    </row>
    <row r="96" spans="10:10" hidden="1">
      <c r="J96" t="str">
        <f t="shared" si="1"/>
        <v>no</v>
      </c>
    </row>
    <row r="97" spans="10:10" hidden="1">
      <c r="J97" t="str">
        <f t="shared" si="1"/>
        <v>no</v>
      </c>
    </row>
    <row r="98" spans="10:10" hidden="1">
      <c r="J98" t="str">
        <f t="shared" si="1"/>
        <v>no</v>
      </c>
    </row>
    <row r="99" spans="10:10" hidden="1">
      <c r="J99" t="str">
        <f t="shared" si="1"/>
        <v>no</v>
      </c>
    </row>
    <row r="100" spans="10:10" hidden="1">
      <c r="J100" t="str">
        <f t="shared" si="1"/>
        <v>no</v>
      </c>
    </row>
    <row r="101" spans="10:10" hidden="1">
      <c r="J101" t="str">
        <f t="shared" si="1"/>
        <v>no</v>
      </c>
    </row>
    <row r="102" spans="10:10" hidden="1">
      <c r="J102" t="str">
        <f t="shared" si="1"/>
        <v>no</v>
      </c>
    </row>
    <row r="103" spans="10:10" hidden="1">
      <c r="J103" t="str">
        <f t="shared" si="1"/>
        <v>no</v>
      </c>
    </row>
    <row r="104" spans="10:10" hidden="1">
      <c r="J104" t="str">
        <f t="shared" si="1"/>
        <v>no</v>
      </c>
    </row>
    <row r="105" spans="10:10" hidden="1">
      <c r="J105" t="str">
        <f t="shared" si="1"/>
        <v>no</v>
      </c>
    </row>
    <row r="106" spans="10:10" hidden="1">
      <c r="J106" t="str">
        <f t="shared" si="1"/>
        <v>no</v>
      </c>
    </row>
    <row r="107" spans="10:10" hidden="1">
      <c r="J107" t="str">
        <f t="shared" si="1"/>
        <v>no</v>
      </c>
    </row>
    <row r="108" spans="10:10" hidden="1">
      <c r="J108" t="str">
        <f t="shared" si="1"/>
        <v>no</v>
      </c>
    </row>
    <row r="109" spans="10:10" hidden="1">
      <c r="J109" t="str">
        <f t="shared" si="1"/>
        <v>no</v>
      </c>
    </row>
    <row r="110" spans="10:10" hidden="1">
      <c r="J110" t="str">
        <f t="shared" si="1"/>
        <v>no</v>
      </c>
    </row>
    <row r="111" spans="10:10" hidden="1">
      <c r="J111" t="str">
        <f t="shared" si="1"/>
        <v>no</v>
      </c>
    </row>
    <row r="112" spans="10:10" hidden="1">
      <c r="J112" t="str">
        <f t="shared" si="1"/>
        <v>no</v>
      </c>
    </row>
    <row r="113" spans="10:10" hidden="1">
      <c r="J113" t="str">
        <f t="shared" si="1"/>
        <v>no</v>
      </c>
    </row>
    <row r="114" spans="10:10" hidden="1">
      <c r="J114" t="str">
        <f t="shared" si="1"/>
        <v>no</v>
      </c>
    </row>
    <row r="115" spans="10:10" hidden="1">
      <c r="J115" t="str">
        <f t="shared" si="1"/>
        <v>no</v>
      </c>
    </row>
    <row r="116" spans="10:10" hidden="1">
      <c r="J116" t="str">
        <f t="shared" si="1"/>
        <v>no</v>
      </c>
    </row>
    <row r="117" spans="10:10" hidden="1">
      <c r="J117" t="str">
        <f t="shared" si="1"/>
        <v>no</v>
      </c>
    </row>
    <row r="118" spans="10:10" hidden="1">
      <c r="J118" t="str">
        <f t="shared" si="1"/>
        <v>no</v>
      </c>
    </row>
    <row r="119" spans="10:10" hidden="1">
      <c r="J119" t="str">
        <f t="shared" si="1"/>
        <v>no</v>
      </c>
    </row>
    <row r="120" spans="10:10" hidden="1">
      <c r="J120" t="str">
        <f t="shared" si="1"/>
        <v>no</v>
      </c>
    </row>
    <row r="121" spans="10:10" hidden="1">
      <c r="J121" t="str">
        <f t="shared" si="1"/>
        <v>no</v>
      </c>
    </row>
    <row r="122" spans="10:10" hidden="1">
      <c r="J122" t="str">
        <f t="shared" si="1"/>
        <v>no</v>
      </c>
    </row>
    <row r="123" spans="10:10" hidden="1">
      <c r="J123" t="str">
        <f t="shared" si="1"/>
        <v>no</v>
      </c>
    </row>
    <row r="124" spans="10:10" hidden="1">
      <c r="J124" t="str">
        <f t="shared" si="1"/>
        <v>no</v>
      </c>
    </row>
    <row r="125" spans="10:10" hidden="1">
      <c r="J125" t="str">
        <f t="shared" si="1"/>
        <v>no</v>
      </c>
    </row>
    <row r="126" spans="10:10" hidden="1">
      <c r="J126" t="str">
        <f t="shared" si="1"/>
        <v>no</v>
      </c>
    </row>
    <row r="127" spans="10:10" hidden="1">
      <c r="J127" t="str">
        <f t="shared" si="1"/>
        <v>no</v>
      </c>
    </row>
    <row r="128" spans="10:10" hidden="1">
      <c r="J128" t="str">
        <f t="shared" si="1"/>
        <v>no</v>
      </c>
    </row>
    <row r="129" spans="10:10" hidden="1">
      <c r="J129" t="str">
        <f t="shared" si="1"/>
        <v>no</v>
      </c>
    </row>
    <row r="130" spans="10:10" hidden="1">
      <c r="J130" t="str">
        <f t="shared" si="1"/>
        <v>no</v>
      </c>
    </row>
    <row r="131" spans="10:10" hidden="1">
      <c r="J131" t="str">
        <f t="shared" ref="J131:J142" si="2">IF(COUNTIF(K:K, B131)&gt;0,$K$1,IF(COUNTIF(L:L, B131)&gt;0,$L$1,"no"))</f>
        <v>no</v>
      </c>
    </row>
    <row r="132" spans="10:10" hidden="1">
      <c r="J132" t="str">
        <f t="shared" si="2"/>
        <v>no</v>
      </c>
    </row>
    <row r="133" spans="10:10" hidden="1">
      <c r="J133" t="str">
        <f t="shared" si="2"/>
        <v>no</v>
      </c>
    </row>
    <row r="134" spans="10:10" hidden="1">
      <c r="J134" t="str">
        <f t="shared" si="2"/>
        <v>no</v>
      </c>
    </row>
    <row r="135" spans="10:10" hidden="1">
      <c r="J135" t="str">
        <f t="shared" si="2"/>
        <v>no</v>
      </c>
    </row>
    <row r="136" spans="10:10" hidden="1">
      <c r="J136" t="str">
        <f t="shared" si="2"/>
        <v>no</v>
      </c>
    </row>
    <row r="137" spans="10:10" hidden="1">
      <c r="J137" t="str">
        <f t="shared" si="2"/>
        <v>no</v>
      </c>
    </row>
    <row r="138" spans="10:10" hidden="1">
      <c r="J138" t="str">
        <f t="shared" si="2"/>
        <v>no</v>
      </c>
    </row>
    <row r="139" spans="10:10" hidden="1">
      <c r="J139" t="str">
        <f t="shared" si="2"/>
        <v>no</v>
      </c>
    </row>
    <row r="140" spans="10:10" hidden="1">
      <c r="J140" t="str">
        <f t="shared" si="2"/>
        <v>no</v>
      </c>
    </row>
    <row r="141" spans="10:10" hidden="1">
      <c r="J141" t="str">
        <f t="shared" si="2"/>
        <v>no</v>
      </c>
    </row>
    <row r="142" spans="10:10" hidden="1">
      <c r="J142" t="str">
        <f t="shared" si="2"/>
        <v>no</v>
      </c>
    </row>
  </sheetData>
  <autoFilter ref="A1:L142" xr:uid="{454B3E56-1CA8-6546-98E3-2D158BBFEBE9}">
    <filterColumn colId="4">
      <filters>
        <filter val="no"/>
      </filters>
    </filterColumn>
    <filterColumn colId="9">
      <filters>
        <filter val="segmented videos list"/>
      </filters>
    </filterColumn>
  </autoFilter>
  <phoneticPr fontId="1" type="noConversion"/>
  <conditionalFormatting sqref="E1:E1048576">
    <cfRule type="cellIs" dxfId="56" priority="2" operator="equal">
      <formula>"no"</formula>
    </cfRule>
    <cfRule type="cellIs" dxfId="55" priority="3" operator="equal">
      <formula>"yes"</formula>
    </cfRule>
  </conditionalFormatting>
  <conditionalFormatting sqref="F2:F142">
    <cfRule type="expression" dxfId="54" priority="1">
      <formula>F2&lt;&gt;E2</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C63EB-E477-D94E-9C43-79FBA57479F8}">
  <sheetPr codeName="工作表22" filterMode="1"/>
  <dimension ref="A1:L142"/>
  <sheetViews>
    <sheetView workbookViewId="0">
      <selection sqref="A1:L142"/>
    </sheetView>
  </sheetViews>
  <sheetFormatPr baseColWidth="10" defaultRowHeight="15"/>
  <cols>
    <col min="3" max="3" width="4.83203125" customWidth="1"/>
    <col min="5" max="5" width="11.33203125" customWidth="1"/>
    <col min="10" max="10" width="14.33203125" customWidth="1"/>
  </cols>
  <sheetData>
    <row r="1" spans="1:12">
      <c r="A1" t="s">
        <v>88</v>
      </c>
      <c r="B1" t="s">
        <v>0</v>
      </c>
      <c r="C1" s="2" t="s">
        <v>202</v>
      </c>
      <c r="D1" t="s">
        <v>6</v>
      </c>
      <c r="E1" t="s">
        <v>1</v>
      </c>
      <c r="F1" t="s">
        <v>4</v>
      </c>
      <c r="G1" t="s">
        <v>2</v>
      </c>
      <c r="H1" t="s">
        <v>5</v>
      </c>
      <c r="I1" t="s">
        <v>3</v>
      </c>
      <c r="J1" t="s">
        <v>1067</v>
      </c>
      <c r="K1" t="s">
        <v>1192</v>
      </c>
      <c r="L1" t="s">
        <v>1105</v>
      </c>
    </row>
    <row r="2" spans="1:12" ht="19">
      <c r="A2">
        <v>1</v>
      </c>
      <c r="B2" s="1" t="s">
        <v>275</v>
      </c>
      <c r="C2" t="s">
        <v>271</v>
      </c>
      <c r="E2" t="s">
        <v>390</v>
      </c>
      <c r="F2" t="s">
        <v>201</v>
      </c>
      <c r="G2" t="s">
        <v>1329</v>
      </c>
      <c r="J2" t="str">
        <f>IF(COUNTIF(K:K, B2)&gt;0,$K$1,IF(COUNTIF(L:L, B2)&gt;0,$L$1,"no"))</f>
        <v>segmented videos list</v>
      </c>
      <c r="K2" s="1"/>
      <c r="L2" s="1" t="s">
        <v>285</v>
      </c>
    </row>
    <row r="3" spans="1:12" ht="19">
      <c r="A3">
        <v>2</v>
      </c>
      <c r="B3" s="1" t="s">
        <v>276</v>
      </c>
      <c r="C3" t="s">
        <v>269</v>
      </c>
      <c r="E3" t="s">
        <v>390</v>
      </c>
      <c r="F3" t="s">
        <v>201</v>
      </c>
      <c r="G3" t="s">
        <v>1330</v>
      </c>
      <c r="J3" t="str">
        <f t="shared" ref="J3:J66" si="0">IF(COUNTIF(K:K, B3)&gt;0,$K$1,IF(COUNTIF(L:L, B3)&gt;0,$L$1,"no"))</f>
        <v>segmented videos list</v>
      </c>
      <c r="K3" s="1"/>
      <c r="L3" s="1" t="s">
        <v>294</v>
      </c>
    </row>
    <row r="4" spans="1:12" ht="19">
      <c r="A4">
        <v>3</v>
      </c>
      <c r="B4" s="1" t="s">
        <v>277</v>
      </c>
      <c r="C4" t="s">
        <v>267</v>
      </c>
      <c r="E4" t="s">
        <v>390</v>
      </c>
      <c r="F4" t="s">
        <v>192</v>
      </c>
      <c r="G4" t="s">
        <v>1331</v>
      </c>
      <c r="J4" t="str">
        <f t="shared" si="0"/>
        <v>segmented videos list</v>
      </c>
      <c r="K4" s="1"/>
      <c r="L4" s="1" t="s">
        <v>280</v>
      </c>
    </row>
    <row r="5" spans="1:12" ht="19">
      <c r="A5">
        <v>4</v>
      </c>
      <c r="B5" s="1" t="s">
        <v>278</v>
      </c>
      <c r="C5" t="s">
        <v>271</v>
      </c>
      <c r="E5" t="s">
        <v>390</v>
      </c>
      <c r="F5" t="s">
        <v>201</v>
      </c>
      <c r="G5" t="s">
        <v>1332</v>
      </c>
      <c r="J5" t="str">
        <f t="shared" si="0"/>
        <v>segmented videos list</v>
      </c>
      <c r="K5" s="1"/>
      <c r="L5" s="1" t="s">
        <v>286</v>
      </c>
    </row>
    <row r="6" spans="1:12" ht="19">
      <c r="A6">
        <v>5</v>
      </c>
      <c r="B6" s="1" t="s">
        <v>279</v>
      </c>
      <c r="C6" t="s">
        <v>271</v>
      </c>
      <c r="E6" t="s">
        <v>390</v>
      </c>
      <c r="F6" t="s">
        <v>201</v>
      </c>
      <c r="G6" t="s">
        <v>1333</v>
      </c>
      <c r="J6" t="str">
        <f t="shared" si="0"/>
        <v>segmented videos list</v>
      </c>
      <c r="K6" s="1"/>
      <c r="L6" s="1" t="s">
        <v>275</v>
      </c>
    </row>
    <row r="7" spans="1:12" ht="19" hidden="1">
      <c r="A7">
        <v>6</v>
      </c>
      <c r="B7" s="1" t="s">
        <v>280</v>
      </c>
      <c r="C7" t="s">
        <v>297</v>
      </c>
      <c r="E7" t="s">
        <v>391</v>
      </c>
      <c r="F7" t="s">
        <v>192</v>
      </c>
      <c r="G7" t="s">
        <v>1334</v>
      </c>
      <c r="J7" t="str">
        <f t="shared" si="0"/>
        <v>segmented videos list</v>
      </c>
      <c r="K7" s="1"/>
      <c r="L7" s="1" t="s">
        <v>281</v>
      </c>
    </row>
    <row r="8" spans="1:12" ht="19" hidden="1">
      <c r="A8">
        <v>7</v>
      </c>
      <c r="B8" s="1" t="s">
        <v>281</v>
      </c>
      <c r="C8" t="s">
        <v>298</v>
      </c>
      <c r="E8" t="s">
        <v>391</v>
      </c>
      <c r="F8" t="s">
        <v>192</v>
      </c>
      <c r="G8" t="s">
        <v>1335</v>
      </c>
      <c r="J8" t="str">
        <f t="shared" si="0"/>
        <v>segmented videos list</v>
      </c>
      <c r="K8" s="1"/>
      <c r="L8" s="1" t="s">
        <v>290</v>
      </c>
    </row>
    <row r="9" spans="1:12" ht="19" hidden="1">
      <c r="A9">
        <v>8</v>
      </c>
      <c r="B9" s="1" t="s">
        <v>282</v>
      </c>
      <c r="C9" t="s">
        <v>298</v>
      </c>
      <c r="E9" t="s">
        <v>391</v>
      </c>
      <c r="F9" t="s">
        <v>192</v>
      </c>
      <c r="G9" t="s">
        <v>1336</v>
      </c>
      <c r="J9" t="str">
        <f t="shared" si="0"/>
        <v>segmented videos list</v>
      </c>
      <c r="K9" s="1"/>
      <c r="L9" s="1" t="s">
        <v>276</v>
      </c>
    </row>
    <row r="10" spans="1:12" ht="19">
      <c r="A10">
        <v>9</v>
      </c>
      <c r="B10" s="1" t="s">
        <v>283</v>
      </c>
      <c r="C10" t="s">
        <v>274</v>
      </c>
      <c r="E10" t="s">
        <v>390</v>
      </c>
      <c r="F10" t="s">
        <v>192</v>
      </c>
      <c r="G10" t="s">
        <v>1337</v>
      </c>
      <c r="J10" t="str">
        <f t="shared" si="0"/>
        <v>segmented videos list</v>
      </c>
      <c r="K10" s="1"/>
      <c r="L10" s="1" t="s">
        <v>282</v>
      </c>
    </row>
    <row r="11" spans="1:12" ht="19" hidden="1">
      <c r="A11">
        <v>10</v>
      </c>
      <c r="B11" s="1" t="s">
        <v>284</v>
      </c>
      <c r="C11" t="s">
        <v>271</v>
      </c>
      <c r="E11" t="s">
        <v>390</v>
      </c>
      <c r="J11" t="str">
        <f t="shared" si="0"/>
        <v>no</v>
      </c>
      <c r="K11" s="1"/>
      <c r="L11" s="1" t="s">
        <v>291</v>
      </c>
    </row>
    <row r="12" spans="1:12" ht="19">
      <c r="A12">
        <v>11</v>
      </c>
      <c r="B12" s="1" t="s">
        <v>285</v>
      </c>
      <c r="C12" t="s">
        <v>274</v>
      </c>
      <c r="E12" t="s">
        <v>390</v>
      </c>
      <c r="F12" t="s">
        <v>201</v>
      </c>
      <c r="G12" t="s">
        <v>1338</v>
      </c>
      <c r="J12" t="str">
        <f t="shared" si="0"/>
        <v>segmented videos list</v>
      </c>
      <c r="K12" s="1"/>
      <c r="L12" s="1" t="s">
        <v>277</v>
      </c>
    </row>
    <row r="13" spans="1:12" ht="19">
      <c r="A13">
        <v>12</v>
      </c>
      <c r="B13" s="1" t="s">
        <v>286</v>
      </c>
      <c r="C13" t="s">
        <v>271</v>
      </c>
      <c r="E13" t="s">
        <v>390</v>
      </c>
      <c r="F13" t="s">
        <v>201</v>
      </c>
      <c r="G13" t="s">
        <v>1339</v>
      </c>
      <c r="J13" t="str">
        <f t="shared" si="0"/>
        <v>segmented videos list</v>
      </c>
      <c r="K13" s="1"/>
      <c r="L13" s="1" t="s">
        <v>283</v>
      </c>
    </row>
    <row r="14" spans="1:12" ht="19" hidden="1">
      <c r="A14">
        <v>13</v>
      </c>
      <c r="B14" s="1" t="s">
        <v>287</v>
      </c>
      <c r="C14" t="s">
        <v>298</v>
      </c>
      <c r="E14" t="s">
        <v>391</v>
      </c>
      <c r="J14" t="str">
        <f t="shared" si="0"/>
        <v>no</v>
      </c>
      <c r="K14" s="1"/>
      <c r="L14" s="1" t="s">
        <v>292</v>
      </c>
    </row>
    <row r="15" spans="1:12" ht="19" hidden="1">
      <c r="A15">
        <v>14</v>
      </c>
      <c r="B15" s="1" t="s">
        <v>288</v>
      </c>
      <c r="C15" t="s">
        <v>274</v>
      </c>
      <c r="E15" t="s">
        <v>390</v>
      </c>
      <c r="J15" t="str">
        <f t="shared" si="0"/>
        <v>no</v>
      </c>
      <c r="K15" s="1"/>
      <c r="L15" s="1" t="s">
        <v>278</v>
      </c>
    </row>
    <row r="16" spans="1:12" ht="19" hidden="1">
      <c r="A16">
        <v>15</v>
      </c>
      <c r="B16" s="1" t="s">
        <v>289</v>
      </c>
      <c r="C16" t="s">
        <v>295</v>
      </c>
      <c r="E16" t="s">
        <v>391</v>
      </c>
      <c r="J16" t="str">
        <f t="shared" si="0"/>
        <v>no</v>
      </c>
      <c r="K16" s="1"/>
      <c r="L16" s="1" t="s">
        <v>293</v>
      </c>
    </row>
    <row r="17" spans="1:12" ht="19">
      <c r="A17">
        <v>16</v>
      </c>
      <c r="B17" s="1" t="s">
        <v>290</v>
      </c>
      <c r="C17" t="s">
        <v>271</v>
      </c>
      <c r="E17" t="s">
        <v>390</v>
      </c>
      <c r="F17" t="s">
        <v>201</v>
      </c>
      <c r="G17" t="s">
        <v>1340</v>
      </c>
      <c r="J17" t="str">
        <f t="shared" si="0"/>
        <v>segmented videos list</v>
      </c>
      <c r="K17" s="1"/>
      <c r="L17" s="1" t="s">
        <v>279</v>
      </c>
    </row>
    <row r="18" spans="1:12" ht="19">
      <c r="A18">
        <v>17</v>
      </c>
      <c r="B18" s="1" t="s">
        <v>291</v>
      </c>
      <c r="C18" t="s">
        <v>271</v>
      </c>
      <c r="E18" t="s">
        <v>390</v>
      </c>
      <c r="F18" t="s">
        <v>192</v>
      </c>
      <c r="G18" t="s">
        <v>1341</v>
      </c>
      <c r="J18" t="str">
        <f t="shared" si="0"/>
        <v>segmented videos list</v>
      </c>
      <c r="K18" s="1"/>
      <c r="L18" s="1"/>
    </row>
    <row r="19" spans="1:12" ht="19">
      <c r="A19">
        <v>18</v>
      </c>
      <c r="B19" s="1" t="s">
        <v>292</v>
      </c>
      <c r="C19" t="s">
        <v>267</v>
      </c>
      <c r="E19" t="s">
        <v>390</v>
      </c>
      <c r="F19" t="s">
        <v>201</v>
      </c>
      <c r="G19" t="s">
        <v>1342</v>
      </c>
      <c r="J19" t="str">
        <f t="shared" si="0"/>
        <v>segmented videos list</v>
      </c>
      <c r="K19" s="1"/>
      <c r="L19" s="1"/>
    </row>
    <row r="20" spans="1:12" ht="19">
      <c r="A20">
        <v>19</v>
      </c>
      <c r="B20" s="1" t="s">
        <v>293</v>
      </c>
      <c r="C20" t="s">
        <v>271</v>
      </c>
      <c r="E20" t="s">
        <v>390</v>
      </c>
      <c r="F20" t="s">
        <v>201</v>
      </c>
      <c r="G20" t="s">
        <v>1343</v>
      </c>
      <c r="J20" t="str">
        <f t="shared" si="0"/>
        <v>segmented videos list</v>
      </c>
      <c r="K20" s="1"/>
      <c r="L20" s="1"/>
    </row>
    <row r="21" spans="1:12" ht="19">
      <c r="A21">
        <v>20</v>
      </c>
      <c r="B21" s="1" t="s">
        <v>294</v>
      </c>
      <c r="C21" t="s">
        <v>271</v>
      </c>
      <c r="E21" t="s">
        <v>390</v>
      </c>
      <c r="F21" t="s">
        <v>201</v>
      </c>
      <c r="G21" t="s">
        <v>1344</v>
      </c>
      <c r="J21" t="str">
        <f t="shared" si="0"/>
        <v>segmented videos list</v>
      </c>
      <c r="K21" s="1"/>
      <c r="L21" s="1"/>
    </row>
    <row r="22" spans="1:12" ht="19" hidden="1">
      <c r="J22" t="str">
        <f t="shared" si="0"/>
        <v>no</v>
      </c>
      <c r="K22" s="1"/>
      <c r="L22" s="1"/>
    </row>
    <row r="23" spans="1:12" ht="19" hidden="1">
      <c r="J23" t="str">
        <f t="shared" si="0"/>
        <v>no</v>
      </c>
      <c r="K23" s="1"/>
      <c r="L23" s="1"/>
    </row>
    <row r="24" spans="1:12" ht="19" hidden="1">
      <c r="J24" t="str">
        <f t="shared" si="0"/>
        <v>no</v>
      </c>
      <c r="K24" s="1"/>
      <c r="L24" s="1"/>
    </row>
    <row r="25" spans="1:12" ht="19" hidden="1">
      <c r="J25" t="str">
        <f t="shared" si="0"/>
        <v>no</v>
      </c>
      <c r="K25" s="1"/>
      <c r="L25" s="1"/>
    </row>
    <row r="26" spans="1:12" ht="19" hidden="1">
      <c r="J26" t="str">
        <f t="shared" si="0"/>
        <v>no</v>
      </c>
      <c r="K26" s="1"/>
      <c r="L26" s="1"/>
    </row>
    <row r="27" spans="1:12" ht="19" hidden="1">
      <c r="J27" t="str">
        <f t="shared" si="0"/>
        <v>no</v>
      </c>
      <c r="K27" s="1"/>
      <c r="L27" s="1"/>
    </row>
    <row r="28" spans="1:12" ht="19" hidden="1">
      <c r="J28" t="str">
        <f t="shared" si="0"/>
        <v>no</v>
      </c>
      <c r="K28" s="1"/>
      <c r="L28" s="1"/>
    </row>
    <row r="29" spans="1:12" ht="19" hidden="1">
      <c r="J29" t="str">
        <f t="shared" si="0"/>
        <v>no</v>
      </c>
      <c r="K29" s="1"/>
      <c r="L29" s="1"/>
    </row>
    <row r="30" spans="1:12" ht="19" hidden="1">
      <c r="J30" t="str">
        <f t="shared" si="0"/>
        <v>no</v>
      </c>
      <c r="K30" s="1"/>
      <c r="L30" s="1"/>
    </row>
    <row r="31" spans="1:12" ht="19" hidden="1">
      <c r="J31" t="str">
        <f t="shared" si="0"/>
        <v>no</v>
      </c>
      <c r="K31" s="1"/>
      <c r="L31" s="1"/>
    </row>
    <row r="32" spans="1:12" ht="19" hidden="1">
      <c r="J32" t="str">
        <f t="shared" si="0"/>
        <v>no</v>
      </c>
      <c r="K32" s="1"/>
      <c r="L32" s="1"/>
    </row>
    <row r="33" spans="10:12" ht="19" hidden="1">
      <c r="J33" t="str">
        <f t="shared" si="0"/>
        <v>no</v>
      </c>
      <c r="K33" s="1"/>
      <c r="L33" s="1"/>
    </row>
    <row r="34" spans="10:12" ht="19" hidden="1">
      <c r="J34" t="str">
        <f t="shared" si="0"/>
        <v>no</v>
      </c>
      <c r="K34" s="1"/>
      <c r="L34" s="1"/>
    </row>
    <row r="35" spans="10:12" ht="19" hidden="1">
      <c r="J35" t="str">
        <f t="shared" si="0"/>
        <v>no</v>
      </c>
      <c r="K35" s="1"/>
      <c r="L35" s="1"/>
    </row>
    <row r="36" spans="10:12" ht="19" hidden="1">
      <c r="J36" t="str">
        <f t="shared" si="0"/>
        <v>no</v>
      </c>
      <c r="K36" s="1"/>
      <c r="L36" s="1"/>
    </row>
    <row r="37" spans="10:12" ht="19" hidden="1">
      <c r="J37" t="str">
        <f t="shared" si="0"/>
        <v>no</v>
      </c>
      <c r="K37" s="1"/>
      <c r="L37" s="1"/>
    </row>
    <row r="38" spans="10:12" ht="19" hidden="1">
      <c r="J38" t="str">
        <f t="shared" si="0"/>
        <v>no</v>
      </c>
      <c r="K38" s="1"/>
      <c r="L38" s="1"/>
    </row>
    <row r="39" spans="10:12" ht="19" hidden="1">
      <c r="J39" t="str">
        <f t="shared" si="0"/>
        <v>no</v>
      </c>
      <c r="K39" s="1"/>
      <c r="L39" s="1"/>
    </row>
    <row r="40" spans="10:12" ht="19" hidden="1">
      <c r="J40" t="str">
        <f t="shared" si="0"/>
        <v>no</v>
      </c>
      <c r="K40" s="1"/>
      <c r="L40" s="1"/>
    </row>
    <row r="41" spans="10:12" ht="19" hidden="1">
      <c r="J41" t="str">
        <f t="shared" si="0"/>
        <v>no</v>
      </c>
      <c r="K41" s="1"/>
      <c r="L41" s="1"/>
    </row>
    <row r="42" spans="10:12" ht="19" hidden="1">
      <c r="J42" t="str">
        <f t="shared" si="0"/>
        <v>no</v>
      </c>
      <c r="K42" s="1"/>
      <c r="L42" s="1"/>
    </row>
    <row r="43" spans="10:12" ht="19" hidden="1">
      <c r="J43" t="str">
        <f t="shared" si="0"/>
        <v>no</v>
      </c>
      <c r="K43" s="1"/>
      <c r="L43" s="1"/>
    </row>
    <row r="44" spans="10:12" ht="19" hidden="1">
      <c r="J44" t="str">
        <f t="shared" si="0"/>
        <v>no</v>
      </c>
      <c r="K44" s="1"/>
      <c r="L44" s="1"/>
    </row>
    <row r="45" spans="10:12" ht="19" hidden="1">
      <c r="J45" t="str">
        <f t="shared" si="0"/>
        <v>no</v>
      </c>
      <c r="K45" s="1"/>
      <c r="L45" s="1"/>
    </row>
    <row r="46" spans="10:12" ht="19" hidden="1">
      <c r="J46" t="str">
        <f t="shared" si="0"/>
        <v>no</v>
      </c>
      <c r="K46" s="1"/>
      <c r="L46" s="1"/>
    </row>
    <row r="47" spans="10:12" ht="19" hidden="1">
      <c r="J47" t="str">
        <f t="shared" si="0"/>
        <v>no</v>
      </c>
      <c r="K47" s="1"/>
      <c r="L47" s="1"/>
    </row>
    <row r="48" spans="10:12" ht="19" hidden="1">
      <c r="J48" t="str">
        <f t="shared" si="0"/>
        <v>no</v>
      </c>
      <c r="K48" s="1"/>
      <c r="L48" s="1"/>
    </row>
    <row r="49" spans="10:12" ht="19" hidden="1">
      <c r="J49" t="str">
        <f t="shared" si="0"/>
        <v>no</v>
      </c>
      <c r="K49" s="1"/>
      <c r="L49" s="1"/>
    </row>
    <row r="50" spans="10:12" ht="19" hidden="1">
      <c r="J50" t="str">
        <f t="shared" si="0"/>
        <v>no</v>
      </c>
      <c r="K50" s="1"/>
      <c r="L50" s="1"/>
    </row>
    <row r="51" spans="10:12" ht="19" hidden="1">
      <c r="J51" t="str">
        <f t="shared" si="0"/>
        <v>no</v>
      </c>
      <c r="K51" s="1"/>
      <c r="L51" s="1"/>
    </row>
    <row r="52" spans="10:12" ht="19" hidden="1">
      <c r="J52" t="str">
        <f t="shared" si="0"/>
        <v>no</v>
      </c>
      <c r="K52" s="1"/>
      <c r="L52" s="1"/>
    </row>
    <row r="53" spans="10:12" ht="19" hidden="1">
      <c r="J53" t="str">
        <f t="shared" si="0"/>
        <v>no</v>
      </c>
      <c r="K53" s="1"/>
      <c r="L53" s="1"/>
    </row>
    <row r="54" spans="10:12" ht="19" hidden="1">
      <c r="J54" t="str">
        <f t="shared" si="0"/>
        <v>no</v>
      </c>
      <c r="K54" s="1"/>
      <c r="L54" s="1"/>
    </row>
    <row r="55" spans="10:12" ht="19" hidden="1">
      <c r="J55" t="str">
        <f t="shared" si="0"/>
        <v>no</v>
      </c>
      <c r="K55" s="1"/>
      <c r="L55" s="1"/>
    </row>
    <row r="56" spans="10:12" ht="19" hidden="1">
      <c r="J56" t="str">
        <f t="shared" si="0"/>
        <v>no</v>
      </c>
      <c r="K56" s="1"/>
      <c r="L56" s="1"/>
    </row>
    <row r="57" spans="10:12" ht="19" hidden="1">
      <c r="J57" t="str">
        <f t="shared" si="0"/>
        <v>no</v>
      </c>
      <c r="K57" s="1"/>
      <c r="L57" s="1"/>
    </row>
    <row r="58" spans="10:12" ht="19" hidden="1">
      <c r="J58" t="str">
        <f t="shared" si="0"/>
        <v>no</v>
      </c>
      <c r="K58" s="1"/>
      <c r="L58" s="1"/>
    </row>
    <row r="59" spans="10:12" ht="19" hidden="1">
      <c r="J59" t="str">
        <f t="shared" si="0"/>
        <v>no</v>
      </c>
      <c r="K59" s="1"/>
      <c r="L59" s="1"/>
    </row>
    <row r="60" spans="10:12" ht="19" hidden="1">
      <c r="J60" t="str">
        <f t="shared" si="0"/>
        <v>no</v>
      </c>
      <c r="K60" s="1"/>
      <c r="L60" s="1"/>
    </row>
    <row r="61" spans="10:12" ht="19" hidden="1">
      <c r="J61" t="str">
        <f t="shared" si="0"/>
        <v>no</v>
      </c>
      <c r="K61" s="1"/>
      <c r="L61" s="1"/>
    </row>
    <row r="62" spans="10:12" ht="19" hidden="1">
      <c r="J62" t="str">
        <f t="shared" si="0"/>
        <v>no</v>
      </c>
      <c r="K62" s="1"/>
      <c r="L62" s="1"/>
    </row>
    <row r="63" spans="10:12" ht="19" hidden="1">
      <c r="J63" t="str">
        <f t="shared" si="0"/>
        <v>no</v>
      </c>
      <c r="K63" s="1"/>
      <c r="L63" s="1"/>
    </row>
    <row r="64" spans="10:12" ht="19" hidden="1">
      <c r="J64" t="str">
        <f t="shared" si="0"/>
        <v>no</v>
      </c>
      <c r="K64" s="1"/>
      <c r="L64" s="1"/>
    </row>
    <row r="65" spans="10:12" ht="19" hidden="1">
      <c r="J65" t="str">
        <f t="shared" si="0"/>
        <v>no</v>
      </c>
      <c r="K65" s="1"/>
      <c r="L65" s="1"/>
    </row>
    <row r="66" spans="10:12" ht="19" hidden="1">
      <c r="J66" t="str">
        <f t="shared" si="0"/>
        <v>no</v>
      </c>
      <c r="K66" s="1"/>
      <c r="L66" s="1"/>
    </row>
    <row r="67" spans="10:12" ht="19" hidden="1">
      <c r="J67" t="str">
        <f t="shared" ref="J67:J130" si="1">IF(COUNTIF(K:K, B67)&gt;0,$K$1,IF(COUNTIF(L:L, B67)&gt;0,$L$1,"no"))</f>
        <v>no</v>
      </c>
      <c r="K67" s="1"/>
      <c r="L67" s="1"/>
    </row>
    <row r="68" spans="10:12" ht="19" hidden="1">
      <c r="J68" t="str">
        <f t="shared" si="1"/>
        <v>no</v>
      </c>
      <c r="K68" s="1"/>
      <c r="L68" s="1"/>
    </row>
    <row r="69" spans="10:12" ht="19" hidden="1">
      <c r="J69" t="str">
        <f t="shared" si="1"/>
        <v>no</v>
      </c>
      <c r="K69" s="1"/>
      <c r="L69" s="1"/>
    </row>
    <row r="70" spans="10:12" ht="19" hidden="1">
      <c r="J70" t="str">
        <f t="shared" si="1"/>
        <v>no</v>
      </c>
      <c r="K70" s="1"/>
      <c r="L70" s="1"/>
    </row>
    <row r="71" spans="10:12" ht="19" hidden="1">
      <c r="J71" t="str">
        <f t="shared" si="1"/>
        <v>no</v>
      </c>
      <c r="K71" s="1"/>
      <c r="L71" s="1"/>
    </row>
    <row r="72" spans="10:12" ht="19" hidden="1">
      <c r="J72" t="str">
        <f t="shared" si="1"/>
        <v>no</v>
      </c>
      <c r="K72" s="1"/>
      <c r="L72" s="1"/>
    </row>
    <row r="73" spans="10:12" ht="19" hidden="1">
      <c r="J73" t="str">
        <f t="shared" si="1"/>
        <v>no</v>
      </c>
      <c r="K73" s="1"/>
      <c r="L73" s="1"/>
    </row>
    <row r="74" spans="10:12" ht="19" hidden="1">
      <c r="J74" t="str">
        <f t="shared" si="1"/>
        <v>no</v>
      </c>
      <c r="K74" s="1"/>
      <c r="L74" s="1"/>
    </row>
    <row r="75" spans="10:12" ht="19" hidden="1">
      <c r="J75" t="str">
        <f t="shared" si="1"/>
        <v>no</v>
      </c>
      <c r="K75" s="1"/>
      <c r="L75" s="1"/>
    </row>
    <row r="76" spans="10:12" ht="19" hidden="1">
      <c r="J76" t="str">
        <f t="shared" si="1"/>
        <v>no</v>
      </c>
      <c r="K76" s="1"/>
      <c r="L76" s="1"/>
    </row>
    <row r="77" spans="10:12" ht="19" hidden="1">
      <c r="J77" t="str">
        <f t="shared" si="1"/>
        <v>no</v>
      </c>
      <c r="K77" s="1"/>
      <c r="L77" s="1"/>
    </row>
    <row r="78" spans="10:12" ht="19" hidden="1">
      <c r="J78" t="str">
        <f t="shared" si="1"/>
        <v>no</v>
      </c>
      <c r="K78" s="1"/>
      <c r="L78" s="1"/>
    </row>
    <row r="79" spans="10:12" ht="19" hidden="1">
      <c r="J79" t="str">
        <f t="shared" si="1"/>
        <v>no</v>
      </c>
      <c r="K79" s="1"/>
      <c r="L79" s="1"/>
    </row>
    <row r="80" spans="10:12" ht="19" hidden="1">
      <c r="J80" t="str">
        <f t="shared" si="1"/>
        <v>no</v>
      </c>
      <c r="K80" s="1"/>
      <c r="L80" s="1"/>
    </row>
    <row r="81" spans="10:10" hidden="1">
      <c r="J81" t="str">
        <f t="shared" si="1"/>
        <v>no</v>
      </c>
    </row>
    <row r="82" spans="10:10" hidden="1">
      <c r="J82" t="str">
        <f t="shared" si="1"/>
        <v>no</v>
      </c>
    </row>
    <row r="83" spans="10:10" hidden="1">
      <c r="J83" t="str">
        <f t="shared" si="1"/>
        <v>no</v>
      </c>
    </row>
    <row r="84" spans="10:10" hidden="1">
      <c r="J84" t="str">
        <f t="shared" si="1"/>
        <v>no</v>
      </c>
    </row>
    <row r="85" spans="10:10" hidden="1">
      <c r="J85" t="str">
        <f t="shared" si="1"/>
        <v>no</v>
      </c>
    </row>
    <row r="86" spans="10:10" hidden="1">
      <c r="J86" t="str">
        <f t="shared" si="1"/>
        <v>no</v>
      </c>
    </row>
    <row r="87" spans="10:10" hidden="1">
      <c r="J87" t="str">
        <f t="shared" si="1"/>
        <v>no</v>
      </c>
    </row>
    <row r="88" spans="10:10" hidden="1">
      <c r="J88" t="str">
        <f t="shared" si="1"/>
        <v>no</v>
      </c>
    </row>
    <row r="89" spans="10:10" hidden="1">
      <c r="J89" t="str">
        <f t="shared" si="1"/>
        <v>no</v>
      </c>
    </row>
    <row r="90" spans="10:10" hidden="1">
      <c r="J90" t="str">
        <f t="shared" si="1"/>
        <v>no</v>
      </c>
    </row>
    <row r="91" spans="10:10" hidden="1">
      <c r="J91" t="str">
        <f t="shared" si="1"/>
        <v>no</v>
      </c>
    </row>
    <row r="92" spans="10:10" hidden="1">
      <c r="J92" t="str">
        <f t="shared" si="1"/>
        <v>no</v>
      </c>
    </row>
    <row r="93" spans="10:10" hidden="1">
      <c r="J93" t="str">
        <f t="shared" si="1"/>
        <v>no</v>
      </c>
    </row>
    <row r="94" spans="10:10" hidden="1">
      <c r="J94" t="str">
        <f t="shared" si="1"/>
        <v>no</v>
      </c>
    </row>
    <row r="95" spans="10:10" hidden="1">
      <c r="J95" t="str">
        <f t="shared" si="1"/>
        <v>no</v>
      </c>
    </row>
    <row r="96" spans="10:10" hidden="1">
      <c r="J96" t="str">
        <f t="shared" si="1"/>
        <v>no</v>
      </c>
    </row>
    <row r="97" spans="10:10" hidden="1">
      <c r="J97" t="str">
        <f t="shared" si="1"/>
        <v>no</v>
      </c>
    </row>
    <row r="98" spans="10:10" hidden="1">
      <c r="J98" t="str">
        <f t="shared" si="1"/>
        <v>no</v>
      </c>
    </row>
    <row r="99" spans="10:10" hidden="1">
      <c r="J99" t="str">
        <f t="shared" si="1"/>
        <v>no</v>
      </c>
    </row>
    <row r="100" spans="10:10" hidden="1">
      <c r="J100" t="str">
        <f t="shared" si="1"/>
        <v>no</v>
      </c>
    </row>
    <row r="101" spans="10:10" hidden="1">
      <c r="J101" t="str">
        <f t="shared" si="1"/>
        <v>no</v>
      </c>
    </row>
    <row r="102" spans="10:10" hidden="1">
      <c r="J102" t="str">
        <f t="shared" si="1"/>
        <v>no</v>
      </c>
    </row>
    <row r="103" spans="10:10" hidden="1">
      <c r="J103" t="str">
        <f t="shared" si="1"/>
        <v>no</v>
      </c>
    </row>
    <row r="104" spans="10:10" hidden="1">
      <c r="J104" t="str">
        <f t="shared" si="1"/>
        <v>no</v>
      </c>
    </row>
    <row r="105" spans="10:10" hidden="1">
      <c r="J105" t="str">
        <f t="shared" si="1"/>
        <v>no</v>
      </c>
    </row>
    <row r="106" spans="10:10" hidden="1">
      <c r="J106" t="str">
        <f t="shared" si="1"/>
        <v>no</v>
      </c>
    </row>
    <row r="107" spans="10:10" hidden="1">
      <c r="J107" t="str">
        <f t="shared" si="1"/>
        <v>no</v>
      </c>
    </row>
    <row r="108" spans="10:10" hidden="1">
      <c r="J108" t="str">
        <f t="shared" si="1"/>
        <v>no</v>
      </c>
    </row>
    <row r="109" spans="10:10" hidden="1">
      <c r="J109" t="str">
        <f t="shared" si="1"/>
        <v>no</v>
      </c>
    </row>
    <row r="110" spans="10:10" hidden="1">
      <c r="J110" t="str">
        <f t="shared" si="1"/>
        <v>no</v>
      </c>
    </row>
    <row r="111" spans="10:10" hidden="1">
      <c r="J111" t="str">
        <f t="shared" si="1"/>
        <v>no</v>
      </c>
    </row>
    <row r="112" spans="10:10" hidden="1">
      <c r="J112" t="str">
        <f t="shared" si="1"/>
        <v>no</v>
      </c>
    </row>
    <row r="113" spans="10:10" hidden="1">
      <c r="J113" t="str">
        <f t="shared" si="1"/>
        <v>no</v>
      </c>
    </row>
    <row r="114" spans="10:10" hidden="1">
      <c r="J114" t="str">
        <f t="shared" si="1"/>
        <v>no</v>
      </c>
    </row>
    <row r="115" spans="10:10" hidden="1">
      <c r="J115" t="str">
        <f t="shared" si="1"/>
        <v>no</v>
      </c>
    </row>
    <row r="116" spans="10:10" hidden="1">
      <c r="J116" t="str">
        <f t="shared" si="1"/>
        <v>no</v>
      </c>
    </row>
    <row r="117" spans="10:10" hidden="1">
      <c r="J117" t="str">
        <f t="shared" si="1"/>
        <v>no</v>
      </c>
    </row>
    <row r="118" spans="10:10" hidden="1">
      <c r="J118" t="str">
        <f t="shared" si="1"/>
        <v>no</v>
      </c>
    </row>
    <row r="119" spans="10:10" hidden="1">
      <c r="J119" t="str">
        <f t="shared" si="1"/>
        <v>no</v>
      </c>
    </row>
    <row r="120" spans="10:10" hidden="1">
      <c r="J120" t="str">
        <f t="shared" si="1"/>
        <v>no</v>
      </c>
    </row>
    <row r="121" spans="10:10" hidden="1">
      <c r="J121" t="str">
        <f t="shared" si="1"/>
        <v>no</v>
      </c>
    </row>
    <row r="122" spans="10:10" hidden="1">
      <c r="J122" t="str">
        <f t="shared" si="1"/>
        <v>no</v>
      </c>
    </row>
    <row r="123" spans="10:10" hidden="1">
      <c r="J123" t="str">
        <f t="shared" si="1"/>
        <v>no</v>
      </c>
    </row>
    <row r="124" spans="10:10" hidden="1">
      <c r="J124" t="str">
        <f t="shared" si="1"/>
        <v>no</v>
      </c>
    </row>
    <row r="125" spans="10:10" hidden="1">
      <c r="J125" t="str">
        <f t="shared" si="1"/>
        <v>no</v>
      </c>
    </row>
    <row r="126" spans="10:10" hidden="1">
      <c r="J126" t="str">
        <f t="shared" si="1"/>
        <v>no</v>
      </c>
    </row>
    <row r="127" spans="10:10" hidden="1">
      <c r="J127" t="str">
        <f t="shared" si="1"/>
        <v>no</v>
      </c>
    </row>
    <row r="128" spans="10:10" hidden="1">
      <c r="J128" t="str">
        <f t="shared" si="1"/>
        <v>no</v>
      </c>
    </row>
    <row r="129" spans="10:10" hidden="1">
      <c r="J129" t="str">
        <f t="shared" si="1"/>
        <v>no</v>
      </c>
    </row>
    <row r="130" spans="10:10" hidden="1">
      <c r="J130" t="str">
        <f t="shared" si="1"/>
        <v>no</v>
      </c>
    </row>
    <row r="131" spans="10:10" hidden="1">
      <c r="J131" t="str">
        <f t="shared" ref="J131:J142" si="2">IF(COUNTIF(K:K, B131)&gt;0,$K$1,IF(COUNTIF(L:L, B131)&gt;0,$L$1,"no"))</f>
        <v>no</v>
      </c>
    </row>
    <row r="132" spans="10:10" hidden="1">
      <c r="J132" t="str">
        <f t="shared" si="2"/>
        <v>no</v>
      </c>
    </row>
    <row r="133" spans="10:10" hidden="1">
      <c r="J133" t="str">
        <f t="shared" si="2"/>
        <v>no</v>
      </c>
    </row>
    <row r="134" spans="10:10" hidden="1">
      <c r="J134" t="str">
        <f t="shared" si="2"/>
        <v>no</v>
      </c>
    </row>
    <row r="135" spans="10:10" hidden="1">
      <c r="J135" t="str">
        <f t="shared" si="2"/>
        <v>no</v>
      </c>
    </row>
    <row r="136" spans="10:10" hidden="1">
      <c r="J136" t="str">
        <f t="shared" si="2"/>
        <v>no</v>
      </c>
    </row>
    <row r="137" spans="10:10" hidden="1">
      <c r="J137" t="str">
        <f t="shared" si="2"/>
        <v>no</v>
      </c>
    </row>
    <row r="138" spans="10:10" hidden="1">
      <c r="J138" t="str">
        <f t="shared" si="2"/>
        <v>no</v>
      </c>
    </row>
    <row r="139" spans="10:10" hidden="1">
      <c r="J139" t="str">
        <f t="shared" si="2"/>
        <v>no</v>
      </c>
    </row>
    <row r="140" spans="10:10" hidden="1">
      <c r="J140" t="str">
        <f t="shared" si="2"/>
        <v>no</v>
      </c>
    </row>
    <row r="141" spans="10:10" hidden="1">
      <c r="J141" t="str">
        <f t="shared" si="2"/>
        <v>no</v>
      </c>
    </row>
    <row r="142" spans="10:10" hidden="1">
      <c r="J142" t="str">
        <f t="shared" si="2"/>
        <v>no</v>
      </c>
    </row>
  </sheetData>
  <autoFilter ref="A1:L142" xr:uid="{B26C63EB-E477-D94E-9C43-79FBA57479F8}">
    <filterColumn colId="4">
      <filters>
        <filter val="no"/>
      </filters>
    </filterColumn>
    <filterColumn colId="9">
      <filters>
        <filter val="segmented videos list"/>
      </filters>
    </filterColumn>
  </autoFilter>
  <phoneticPr fontId="1" type="noConversion"/>
  <conditionalFormatting sqref="E1:E1048576">
    <cfRule type="cellIs" dxfId="53" priority="2" operator="equal">
      <formula>"no"</formula>
    </cfRule>
    <cfRule type="cellIs" dxfId="52" priority="3" operator="equal">
      <formula>"yes"</formula>
    </cfRule>
  </conditionalFormatting>
  <conditionalFormatting sqref="F2:F142">
    <cfRule type="expression" dxfId="51" priority="1">
      <formula>F2&lt;&gt;E2</formula>
    </cfRule>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133F-8753-5C4B-B48E-B4D41716EAE9}">
  <sheetPr codeName="工作表23" filterMode="1"/>
  <dimension ref="A1:L142"/>
  <sheetViews>
    <sheetView workbookViewId="0">
      <selection activeCell="I35" sqref="I35"/>
    </sheetView>
  </sheetViews>
  <sheetFormatPr baseColWidth="10" defaultRowHeight="15"/>
  <cols>
    <col min="5" max="5" width="11.33203125" customWidth="1"/>
    <col min="10" max="10" width="14.33203125" customWidth="1"/>
  </cols>
  <sheetData>
    <row r="1" spans="1:12">
      <c r="A1" t="s">
        <v>88</v>
      </c>
      <c r="B1" t="s">
        <v>0</v>
      </c>
      <c r="C1" s="2" t="s">
        <v>202</v>
      </c>
      <c r="D1" t="s">
        <v>6</v>
      </c>
      <c r="E1" t="s">
        <v>1</v>
      </c>
      <c r="F1" t="s">
        <v>4</v>
      </c>
      <c r="G1" t="s">
        <v>2</v>
      </c>
      <c r="H1" t="s">
        <v>5</v>
      </c>
      <c r="I1" t="s">
        <v>3</v>
      </c>
      <c r="J1" t="s">
        <v>1067</v>
      </c>
      <c r="K1" t="s">
        <v>1192</v>
      </c>
      <c r="L1" t="s">
        <v>1105</v>
      </c>
    </row>
    <row r="2" spans="1:12" ht="19">
      <c r="A2">
        <v>1</v>
      </c>
      <c r="B2" s="1" t="s">
        <v>356</v>
      </c>
      <c r="E2" t="s">
        <v>390</v>
      </c>
      <c r="F2" t="s">
        <v>192</v>
      </c>
      <c r="G2" t="s">
        <v>1345</v>
      </c>
      <c r="J2" t="str">
        <f>IF(COUNTIF(K:K, B2)&gt;0,$K$1,IF(COUNTIF(L:L, B2)&gt;0,$L$1,"no"))</f>
        <v>segmented videos list</v>
      </c>
      <c r="K2" s="1"/>
      <c r="L2" s="1" t="s">
        <v>370</v>
      </c>
    </row>
    <row r="3" spans="1:12" ht="19">
      <c r="A3">
        <v>2</v>
      </c>
      <c r="B3" s="1" t="s">
        <v>357</v>
      </c>
      <c r="E3" t="s">
        <v>390</v>
      </c>
      <c r="F3" t="s">
        <v>201</v>
      </c>
      <c r="G3" t="s">
        <v>1346</v>
      </c>
      <c r="J3" t="str">
        <f t="shared" ref="J3:J66" si="0">IF(COUNTIF(K:K, B3)&gt;0,$K$1,IF(COUNTIF(L:L, B3)&gt;0,$L$1,"no"))</f>
        <v>segmented videos list</v>
      </c>
      <c r="K3" s="1"/>
      <c r="L3" s="1" t="s">
        <v>385</v>
      </c>
    </row>
    <row r="4" spans="1:12" ht="19">
      <c r="A4">
        <v>3</v>
      </c>
      <c r="B4" s="1" t="s">
        <v>358</v>
      </c>
      <c r="E4" t="s">
        <v>390</v>
      </c>
      <c r="F4" t="s">
        <v>201</v>
      </c>
      <c r="G4" t="s">
        <v>1347</v>
      </c>
      <c r="J4" t="str">
        <f t="shared" si="0"/>
        <v>segmented videos list</v>
      </c>
      <c r="K4" s="1"/>
      <c r="L4" s="1" t="s">
        <v>361</v>
      </c>
    </row>
    <row r="5" spans="1:12" ht="19" hidden="1">
      <c r="A5">
        <v>4</v>
      </c>
      <c r="B5" s="1" t="s">
        <v>359</v>
      </c>
      <c r="E5" t="s">
        <v>390</v>
      </c>
      <c r="J5" t="str">
        <f t="shared" si="0"/>
        <v>no</v>
      </c>
      <c r="K5" s="1"/>
      <c r="L5" s="1" t="s">
        <v>371</v>
      </c>
    </row>
    <row r="6" spans="1:12" ht="19">
      <c r="A6">
        <v>5</v>
      </c>
      <c r="B6" s="1" t="s">
        <v>360</v>
      </c>
      <c r="E6" t="s">
        <v>390</v>
      </c>
      <c r="F6" t="s">
        <v>201</v>
      </c>
      <c r="G6" t="s">
        <v>1348</v>
      </c>
      <c r="J6" t="str">
        <f t="shared" si="0"/>
        <v>segmented videos list</v>
      </c>
      <c r="K6" s="1"/>
      <c r="L6" s="1" t="s">
        <v>386</v>
      </c>
    </row>
    <row r="7" spans="1:12" ht="19">
      <c r="A7">
        <v>6</v>
      </c>
      <c r="B7" s="1" t="s">
        <v>361</v>
      </c>
      <c r="E7" t="s">
        <v>390</v>
      </c>
      <c r="F7" t="s">
        <v>201</v>
      </c>
      <c r="G7" t="s">
        <v>1349</v>
      </c>
      <c r="J7" t="str">
        <f t="shared" si="0"/>
        <v>segmented videos list</v>
      </c>
      <c r="K7" s="1"/>
      <c r="L7" s="1" t="s">
        <v>364</v>
      </c>
    </row>
    <row r="8" spans="1:12" ht="19" hidden="1">
      <c r="A8">
        <v>7</v>
      </c>
      <c r="B8" s="1" t="s">
        <v>362</v>
      </c>
      <c r="E8" t="s">
        <v>390</v>
      </c>
      <c r="J8" t="str">
        <f t="shared" si="0"/>
        <v>no</v>
      </c>
      <c r="K8" s="1"/>
      <c r="L8" s="1" t="s">
        <v>372</v>
      </c>
    </row>
    <row r="9" spans="1:12" ht="19" hidden="1">
      <c r="A9">
        <v>8</v>
      </c>
      <c r="B9" s="1" t="s">
        <v>363</v>
      </c>
      <c r="E9" t="s">
        <v>390</v>
      </c>
      <c r="J9" t="str">
        <f t="shared" si="0"/>
        <v>no</v>
      </c>
      <c r="K9" s="1"/>
      <c r="L9" s="1" t="s">
        <v>387</v>
      </c>
    </row>
    <row r="10" spans="1:12" ht="19">
      <c r="A10">
        <v>9</v>
      </c>
      <c r="B10" s="1" t="s">
        <v>364</v>
      </c>
      <c r="E10" t="s">
        <v>390</v>
      </c>
      <c r="F10" t="s">
        <v>192</v>
      </c>
      <c r="G10" t="s">
        <v>1350</v>
      </c>
      <c r="J10" t="str">
        <f t="shared" si="0"/>
        <v>segmented videos list</v>
      </c>
      <c r="K10" s="1"/>
      <c r="L10" s="1" t="s">
        <v>365</v>
      </c>
    </row>
    <row r="11" spans="1:12" ht="19">
      <c r="A11">
        <v>10</v>
      </c>
      <c r="B11" s="1" t="s">
        <v>365</v>
      </c>
      <c r="E11" t="s">
        <v>390</v>
      </c>
      <c r="F11" t="s">
        <v>201</v>
      </c>
      <c r="G11" t="s">
        <v>1351</v>
      </c>
      <c r="J11" t="str">
        <f t="shared" si="0"/>
        <v>segmented videos list</v>
      </c>
      <c r="K11" s="1"/>
      <c r="L11" s="1" t="s">
        <v>373</v>
      </c>
    </row>
    <row r="12" spans="1:12" ht="19">
      <c r="A12">
        <v>11</v>
      </c>
      <c r="B12" s="1" t="s">
        <v>366</v>
      </c>
      <c r="E12" t="s">
        <v>390</v>
      </c>
      <c r="F12" t="s">
        <v>201</v>
      </c>
      <c r="G12" t="s">
        <v>1352</v>
      </c>
      <c r="J12" t="str">
        <f t="shared" si="0"/>
        <v>segmented videos list</v>
      </c>
      <c r="K12" s="1"/>
      <c r="L12" s="1" t="s">
        <v>388</v>
      </c>
    </row>
    <row r="13" spans="1:12" ht="19">
      <c r="A13">
        <v>12</v>
      </c>
      <c r="B13" s="1" t="s">
        <v>367</v>
      </c>
      <c r="E13" t="s">
        <v>390</v>
      </c>
      <c r="F13" t="s">
        <v>201</v>
      </c>
      <c r="G13" t="s">
        <v>1353</v>
      </c>
      <c r="J13" t="str">
        <f t="shared" si="0"/>
        <v>segmented videos list</v>
      </c>
      <c r="K13" s="1"/>
      <c r="L13" s="1" t="s">
        <v>366</v>
      </c>
    </row>
    <row r="14" spans="1:12" ht="19" hidden="1">
      <c r="A14">
        <v>13</v>
      </c>
      <c r="B14" s="1" t="s">
        <v>368</v>
      </c>
      <c r="E14" t="s">
        <v>390</v>
      </c>
      <c r="J14" t="str">
        <f t="shared" si="0"/>
        <v>no</v>
      </c>
      <c r="K14" s="1"/>
      <c r="L14" s="1" t="s">
        <v>379</v>
      </c>
    </row>
    <row r="15" spans="1:12" ht="19">
      <c r="A15">
        <v>14</v>
      </c>
      <c r="B15" s="1" t="s">
        <v>369</v>
      </c>
      <c r="E15" t="s">
        <v>390</v>
      </c>
      <c r="F15" t="s">
        <v>192</v>
      </c>
      <c r="G15" t="s">
        <v>1354</v>
      </c>
      <c r="J15" t="str">
        <f t="shared" si="0"/>
        <v>segmented videos list</v>
      </c>
      <c r="K15" s="1"/>
      <c r="L15" s="1" t="s">
        <v>389</v>
      </c>
    </row>
    <row r="16" spans="1:12" ht="19">
      <c r="A16">
        <v>15</v>
      </c>
      <c r="B16" s="1" t="s">
        <v>370</v>
      </c>
      <c r="E16" t="s">
        <v>390</v>
      </c>
      <c r="F16" t="s">
        <v>201</v>
      </c>
      <c r="G16" t="s">
        <v>1355</v>
      </c>
      <c r="J16" t="str">
        <f t="shared" si="0"/>
        <v>segmented videos list</v>
      </c>
      <c r="K16" s="1"/>
      <c r="L16" s="1" t="s">
        <v>367</v>
      </c>
    </row>
    <row r="17" spans="1:12" ht="19">
      <c r="A17">
        <v>16</v>
      </c>
      <c r="B17" s="1" t="s">
        <v>371</v>
      </c>
      <c r="E17" t="s">
        <v>390</v>
      </c>
      <c r="F17" t="s">
        <v>201</v>
      </c>
      <c r="G17" t="s">
        <v>1356</v>
      </c>
      <c r="J17" t="str">
        <f t="shared" si="0"/>
        <v>segmented videos list</v>
      </c>
      <c r="K17" s="1"/>
      <c r="L17" s="1" t="s">
        <v>380</v>
      </c>
    </row>
    <row r="18" spans="1:12" ht="19">
      <c r="A18">
        <v>17</v>
      </c>
      <c r="B18" s="1" t="s">
        <v>372</v>
      </c>
      <c r="E18" t="s">
        <v>390</v>
      </c>
      <c r="F18" t="s">
        <v>201</v>
      </c>
      <c r="G18" t="s">
        <v>1356</v>
      </c>
      <c r="J18" t="str">
        <f t="shared" si="0"/>
        <v>segmented videos list</v>
      </c>
      <c r="K18" s="1"/>
      <c r="L18" s="1" t="s">
        <v>356</v>
      </c>
    </row>
    <row r="19" spans="1:12" ht="19">
      <c r="A19">
        <v>18</v>
      </c>
      <c r="B19" s="1" t="s">
        <v>373</v>
      </c>
      <c r="E19" t="s">
        <v>390</v>
      </c>
      <c r="F19" t="s">
        <v>192</v>
      </c>
      <c r="G19" t="s">
        <v>1357</v>
      </c>
      <c r="J19" t="str">
        <f t="shared" si="0"/>
        <v>segmented videos list</v>
      </c>
      <c r="K19" s="1"/>
      <c r="L19" s="1" t="s">
        <v>369</v>
      </c>
    </row>
    <row r="20" spans="1:12" ht="19" hidden="1">
      <c r="A20">
        <v>19</v>
      </c>
      <c r="B20" s="1" t="s">
        <v>374</v>
      </c>
      <c r="E20" t="s">
        <v>390</v>
      </c>
      <c r="J20" t="str">
        <f t="shared" si="0"/>
        <v>no</v>
      </c>
      <c r="K20" s="1"/>
      <c r="L20" s="1" t="s">
        <v>381</v>
      </c>
    </row>
    <row r="21" spans="1:12" ht="19" hidden="1">
      <c r="A21">
        <v>20</v>
      </c>
      <c r="B21" s="1" t="s">
        <v>375</v>
      </c>
      <c r="E21" t="s">
        <v>390</v>
      </c>
      <c r="J21" t="str">
        <f t="shared" si="0"/>
        <v>no</v>
      </c>
      <c r="K21" s="1"/>
      <c r="L21" s="1" t="s">
        <v>357</v>
      </c>
    </row>
    <row r="22" spans="1:12" ht="19" hidden="1">
      <c r="A22">
        <v>21</v>
      </c>
      <c r="B22" s="1" t="s">
        <v>376</v>
      </c>
      <c r="E22" t="s">
        <v>390</v>
      </c>
      <c r="J22" t="str">
        <f t="shared" si="0"/>
        <v>no</v>
      </c>
      <c r="K22" s="1"/>
      <c r="L22" s="1" t="s">
        <v>1292</v>
      </c>
    </row>
    <row r="23" spans="1:12" ht="19" hidden="1">
      <c r="A23">
        <v>22</v>
      </c>
      <c r="B23" s="1" t="s">
        <v>377</v>
      </c>
      <c r="E23" t="s">
        <v>390</v>
      </c>
      <c r="J23" t="str">
        <f t="shared" si="0"/>
        <v>no</v>
      </c>
      <c r="K23" s="1"/>
      <c r="L23" s="1" t="s">
        <v>382</v>
      </c>
    </row>
    <row r="24" spans="1:12" ht="19" hidden="1">
      <c r="A24">
        <v>23</v>
      </c>
      <c r="B24" s="1" t="s">
        <v>378</v>
      </c>
      <c r="E24" t="s">
        <v>390</v>
      </c>
      <c r="J24" t="str">
        <f t="shared" si="0"/>
        <v>no</v>
      </c>
      <c r="K24" s="1"/>
      <c r="L24" s="1" t="s">
        <v>358</v>
      </c>
    </row>
    <row r="25" spans="1:12" ht="19">
      <c r="A25">
        <v>24</v>
      </c>
      <c r="B25" s="1" t="s">
        <v>379</v>
      </c>
      <c r="E25" t="s">
        <v>390</v>
      </c>
      <c r="F25" t="s">
        <v>201</v>
      </c>
      <c r="G25" t="s">
        <v>1352</v>
      </c>
      <c r="J25" t="str">
        <f t="shared" si="0"/>
        <v>segmented videos list</v>
      </c>
      <c r="K25" s="1"/>
      <c r="L25" s="1" t="s">
        <v>384</v>
      </c>
    </row>
    <row r="26" spans="1:12" ht="19">
      <c r="A26">
        <v>25</v>
      </c>
      <c r="B26" s="1" t="s">
        <v>380</v>
      </c>
      <c r="E26" t="s">
        <v>390</v>
      </c>
      <c r="F26" t="s">
        <v>201</v>
      </c>
      <c r="G26" t="s">
        <v>1352</v>
      </c>
      <c r="J26" t="str">
        <f t="shared" si="0"/>
        <v>segmented videos list</v>
      </c>
      <c r="K26" s="1"/>
      <c r="L26" s="1" t="s">
        <v>360</v>
      </c>
    </row>
    <row r="27" spans="1:12" ht="19">
      <c r="A27">
        <v>26</v>
      </c>
      <c r="B27" s="1" t="s">
        <v>381</v>
      </c>
      <c r="E27" t="s">
        <v>390</v>
      </c>
      <c r="F27" t="s">
        <v>201</v>
      </c>
      <c r="G27" t="s">
        <v>1358</v>
      </c>
      <c r="J27" t="str">
        <f t="shared" si="0"/>
        <v>segmented videos list</v>
      </c>
      <c r="K27" s="1"/>
      <c r="L27" s="1"/>
    </row>
    <row r="28" spans="1:12" ht="19">
      <c r="A28">
        <v>27</v>
      </c>
      <c r="B28" s="1" t="s">
        <v>382</v>
      </c>
      <c r="E28" t="s">
        <v>390</v>
      </c>
      <c r="F28" t="s">
        <v>201</v>
      </c>
      <c r="G28" t="s">
        <v>1352</v>
      </c>
      <c r="J28" t="str">
        <f t="shared" si="0"/>
        <v>segmented videos list</v>
      </c>
      <c r="K28" s="1"/>
      <c r="L28" s="1"/>
    </row>
    <row r="29" spans="1:12" ht="19" hidden="1">
      <c r="A29">
        <v>28</v>
      </c>
      <c r="B29" s="1" t="s">
        <v>383</v>
      </c>
      <c r="E29" t="s">
        <v>390</v>
      </c>
      <c r="J29" t="str">
        <f t="shared" si="0"/>
        <v>no</v>
      </c>
      <c r="K29" s="1"/>
      <c r="L29" s="1"/>
    </row>
    <row r="30" spans="1:12" ht="19">
      <c r="A30">
        <v>29</v>
      </c>
      <c r="B30" s="1" t="s">
        <v>384</v>
      </c>
      <c r="E30" t="s">
        <v>390</v>
      </c>
      <c r="F30" t="s">
        <v>201</v>
      </c>
      <c r="G30" t="s">
        <v>1352</v>
      </c>
      <c r="J30" t="str">
        <f t="shared" si="0"/>
        <v>segmented videos list</v>
      </c>
      <c r="K30" s="1"/>
      <c r="L30" s="1"/>
    </row>
    <row r="31" spans="1:12" ht="19">
      <c r="A31">
        <v>30</v>
      </c>
      <c r="B31" s="1" t="s">
        <v>385</v>
      </c>
      <c r="E31" t="s">
        <v>390</v>
      </c>
      <c r="F31" t="s">
        <v>201</v>
      </c>
      <c r="G31" t="s">
        <v>1352</v>
      </c>
      <c r="J31" t="str">
        <f t="shared" si="0"/>
        <v>segmented videos list</v>
      </c>
      <c r="K31" s="1"/>
      <c r="L31" s="1"/>
    </row>
    <row r="32" spans="1:12" ht="19">
      <c r="A32">
        <v>31</v>
      </c>
      <c r="B32" s="1" t="s">
        <v>386</v>
      </c>
      <c r="E32" t="s">
        <v>390</v>
      </c>
      <c r="F32" t="s">
        <v>192</v>
      </c>
      <c r="G32" t="s">
        <v>1359</v>
      </c>
      <c r="J32" t="str">
        <f t="shared" si="0"/>
        <v>segmented videos list</v>
      </c>
      <c r="K32" s="1"/>
      <c r="L32" s="1"/>
    </row>
    <row r="33" spans="1:12" ht="19">
      <c r="A33">
        <v>32</v>
      </c>
      <c r="B33" s="1" t="s">
        <v>387</v>
      </c>
      <c r="E33" t="s">
        <v>390</v>
      </c>
      <c r="F33" t="s">
        <v>201</v>
      </c>
      <c r="G33" t="s">
        <v>1352</v>
      </c>
      <c r="J33" t="str">
        <f t="shared" si="0"/>
        <v>segmented videos list</v>
      </c>
      <c r="K33" s="1"/>
      <c r="L33" s="1"/>
    </row>
    <row r="34" spans="1:12" ht="19">
      <c r="A34">
        <v>33</v>
      </c>
      <c r="B34" s="1" t="s">
        <v>388</v>
      </c>
      <c r="E34" t="s">
        <v>390</v>
      </c>
      <c r="F34" t="s">
        <v>201</v>
      </c>
      <c r="G34" t="s">
        <v>1360</v>
      </c>
      <c r="J34" t="str">
        <f t="shared" si="0"/>
        <v>segmented videos list</v>
      </c>
      <c r="K34" s="1"/>
      <c r="L34" s="1"/>
    </row>
    <row r="35" spans="1:12" ht="19">
      <c r="A35">
        <v>34</v>
      </c>
      <c r="B35" s="1" t="s">
        <v>389</v>
      </c>
      <c r="E35" t="s">
        <v>390</v>
      </c>
      <c r="F35" t="s">
        <v>201</v>
      </c>
      <c r="G35" t="s">
        <v>1361</v>
      </c>
      <c r="J35" t="str">
        <f t="shared" si="0"/>
        <v>segmented videos list</v>
      </c>
      <c r="K35" s="1"/>
      <c r="L35" s="1"/>
    </row>
    <row r="36" spans="1:12" ht="19" hidden="1">
      <c r="B36" s="1"/>
      <c r="J36" t="str">
        <f t="shared" si="0"/>
        <v>no</v>
      </c>
      <c r="K36" s="1"/>
      <c r="L36" s="1"/>
    </row>
    <row r="37" spans="1:12" ht="19" hidden="1">
      <c r="B37" s="1"/>
      <c r="J37" t="str">
        <f t="shared" si="0"/>
        <v>no</v>
      </c>
      <c r="K37" s="1"/>
      <c r="L37" s="1"/>
    </row>
    <row r="38" spans="1:12" ht="19" hidden="1">
      <c r="B38" s="1"/>
      <c r="J38" t="str">
        <f t="shared" si="0"/>
        <v>no</v>
      </c>
      <c r="K38" s="1"/>
      <c r="L38" s="1"/>
    </row>
    <row r="39" spans="1:12" ht="19" hidden="1">
      <c r="B39" s="1"/>
      <c r="J39" t="str">
        <f t="shared" si="0"/>
        <v>no</v>
      </c>
      <c r="K39" s="1"/>
      <c r="L39" s="1"/>
    </row>
    <row r="40" spans="1:12" ht="19" hidden="1">
      <c r="B40" s="1"/>
      <c r="J40" t="str">
        <f t="shared" si="0"/>
        <v>no</v>
      </c>
      <c r="K40" s="1"/>
      <c r="L40" s="1"/>
    </row>
    <row r="41" spans="1:12" ht="19" hidden="1">
      <c r="B41" s="1"/>
      <c r="J41" t="str">
        <f t="shared" si="0"/>
        <v>no</v>
      </c>
      <c r="K41" s="1"/>
      <c r="L41" s="1"/>
    </row>
    <row r="42" spans="1:12" ht="19" hidden="1">
      <c r="B42" s="1"/>
      <c r="J42" t="str">
        <f t="shared" si="0"/>
        <v>no</v>
      </c>
      <c r="K42" s="1"/>
      <c r="L42" s="1"/>
    </row>
    <row r="43" spans="1:12" ht="19" hidden="1">
      <c r="B43" s="1"/>
      <c r="J43" t="str">
        <f t="shared" si="0"/>
        <v>no</v>
      </c>
      <c r="K43" s="1"/>
      <c r="L43" s="1"/>
    </row>
    <row r="44" spans="1:12" ht="19" hidden="1">
      <c r="B44" s="1"/>
      <c r="J44" t="str">
        <f t="shared" si="0"/>
        <v>no</v>
      </c>
      <c r="K44" s="1"/>
      <c r="L44" s="1"/>
    </row>
    <row r="45" spans="1:12" ht="19" hidden="1">
      <c r="B45" s="1"/>
      <c r="J45" t="str">
        <f t="shared" si="0"/>
        <v>no</v>
      </c>
      <c r="K45" s="1"/>
      <c r="L45" s="1"/>
    </row>
    <row r="46" spans="1:12" ht="19" hidden="1">
      <c r="B46" s="1"/>
      <c r="J46" t="str">
        <f t="shared" si="0"/>
        <v>no</v>
      </c>
      <c r="K46" s="1"/>
      <c r="L46" s="1"/>
    </row>
    <row r="47" spans="1:12" ht="19" hidden="1">
      <c r="B47" s="1"/>
      <c r="J47" t="str">
        <f t="shared" si="0"/>
        <v>no</v>
      </c>
      <c r="K47" s="1"/>
      <c r="L47" s="1"/>
    </row>
    <row r="48" spans="1:12" ht="19" hidden="1">
      <c r="B48" s="1"/>
      <c r="J48" t="str">
        <f t="shared" si="0"/>
        <v>no</v>
      </c>
      <c r="K48" s="1"/>
      <c r="L48" s="1"/>
    </row>
    <row r="49" spans="2:12" ht="19" hidden="1">
      <c r="B49" s="1"/>
      <c r="J49" t="str">
        <f t="shared" si="0"/>
        <v>no</v>
      </c>
      <c r="K49" s="1"/>
      <c r="L49" s="1"/>
    </row>
    <row r="50" spans="2:12" ht="19" hidden="1">
      <c r="B50" s="1"/>
      <c r="J50" t="str">
        <f t="shared" si="0"/>
        <v>no</v>
      </c>
      <c r="K50" s="1"/>
      <c r="L50" s="1"/>
    </row>
    <row r="51" spans="2:12" ht="19" hidden="1">
      <c r="B51" s="1"/>
      <c r="J51" t="str">
        <f t="shared" si="0"/>
        <v>no</v>
      </c>
      <c r="K51" s="1"/>
      <c r="L51" s="1"/>
    </row>
    <row r="52" spans="2:12" ht="19" hidden="1">
      <c r="B52" s="1"/>
      <c r="J52" t="str">
        <f t="shared" si="0"/>
        <v>no</v>
      </c>
      <c r="K52" s="1"/>
      <c r="L52" s="1"/>
    </row>
    <row r="53" spans="2:12" ht="19" hidden="1">
      <c r="B53" s="1"/>
      <c r="J53" t="str">
        <f t="shared" si="0"/>
        <v>no</v>
      </c>
      <c r="K53" s="1"/>
      <c r="L53" s="1"/>
    </row>
    <row r="54" spans="2:12" ht="19" hidden="1">
      <c r="B54" s="1"/>
      <c r="J54" t="str">
        <f t="shared" si="0"/>
        <v>no</v>
      </c>
      <c r="K54" s="1"/>
      <c r="L54" s="1"/>
    </row>
    <row r="55" spans="2:12" ht="19" hidden="1">
      <c r="B55" s="1"/>
      <c r="J55" t="str">
        <f t="shared" si="0"/>
        <v>no</v>
      </c>
      <c r="K55" s="1"/>
      <c r="L55" s="1"/>
    </row>
    <row r="56" spans="2:12" ht="19" hidden="1">
      <c r="B56" s="1"/>
      <c r="J56" t="str">
        <f t="shared" si="0"/>
        <v>no</v>
      </c>
      <c r="K56" s="1"/>
      <c r="L56" s="1"/>
    </row>
    <row r="57" spans="2:12" ht="19" hidden="1">
      <c r="J57" t="str">
        <f t="shared" si="0"/>
        <v>no</v>
      </c>
      <c r="K57" s="1"/>
      <c r="L57" s="1"/>
    </row>
    <row r="58" spans="2:12" ht="19" hidden="1">
      <c r="J58" t="str">
        <f t="shared" si="0"/>
        <v>no</v>
      </c>
      <c r="K58" s="1"/>
      <c r="L58" s="1"/>
    </row>
    <row r="59" spans="2:12" ht="19" hidden="1">
      <c r="J59" t="str">
        <f t="shared" si="0"/>
        <v>no</v>
      </c>
      <c r="K59" s="1"/>
      <c r="L59" s="1"/>
    </row>
    <row r="60" spans="2:12" ht="19" hidden="1">
      <c r="J60" t="str">
        <f t="shared" si="0"/>
        <v>no</v>
      </c>
      <c r="K60" s="1"/>
      <c r="L60" s="1"/>
    </row>
    <row r="61" spans="2:12" ht="19" hidden="1">
      <c r="J61" t="str">
        <f t="shared" si="0"/>
        <v>no</v>
      </c>
      <c r="K61" s="1"/>
      <c r="L61" s="1"/>
    </row>
    <row r="62" spans="2:12" ht="19" hidden="1">
      <c r="J62" t="str">
        <f t="shared" si="0"/>
        <v>no</v>
      </c>
      <c r="K62" s="1"/>
      <c r="L62" s="1"/>
    </row>
    <row r="63" spans="2:12" ht="19" hidden="1">
      <c r="J63" t="str">
        <f t="shared" si="0"/>
        <v>no</v>
      </c>
      <c r="K63" s="1"/>
      <c r="L63" s="1"/>
    </row>
    <row r="64" spans="2:12" ht="19" hidden="1">
      <c r="J64" t="str">
        <f t="shared" si="0"/>
        <v>no</v>
      </c>
      <c r="K64" s="1"/>
      <c r="L64" s="1"/>
    </row>
    <row r="65" spans="10:12" ht="19" hidden="1">
      <c r="J65" t="str">
        <f t="shared" si="0"/>
        <v>no</v>
      </c>
      <c r="K65" s="1"/>
      <c r="L65" s="1"/>
    </row>
    <row r="66" spans="10:12" ht="19" hidden="1">
      <c r="J66" t="str">
        <f t="shared" si="0"/>
        <v>no</v>
      </c>
      <c r="K66" s="1"/>
      <c r="L66" s="1"/>
    </row>
    <row r="67" spans="10:12" ht="19" hidden="1">
      <c r="J67" t="str">
        <f t="shared" ref="J67:J130" si="1">IF(COUNTIF(K:K, B67)&gt;0,$K$1,IF(COUNTIF(L:L, B67)&gt;0,$L$1,"no"))</f>
        <v>no</v>
      </c>
      <c r="K67" s="1"/>
      <c r="L67" s="1"/>
    </row>
    <row r="68" spans="10:12" ht="19" hidden="1">
      <c r="J68" t="str">
        <f t="shared" si="1"/>
        <v>no</v>
      </c>
      <c r="K68" s="1"/>
      <c r="L68" s="1"/>
    </row>
    <row r="69" spans="10:12" ht="19" hidden="1">
      <c r="J69" t="str">
        <f t="shared" si="1"/>
        <v>no</v>
      </c>
      <c r="K69" s="1"/>
      <c r="L69" s="1"/>
    </row>
    <row r="70" spans="10:12" ht="19" hidden="1">
      <c r="J70" t="str">
        <f t="shared" si="1"/>
        <v>no</v>
      </c>
      <c r="K70" s="1"/>
      <c r="L70" s="1"/>
    </row>
    <row r="71" spans="10:12" ht="19" hidden="1">
      <c r="J71" t="str">
        <f t="shared" si="1"/>
        <v>no</v>
      </c>
      <c r="K71" s="1"/>
      <c r="L71" s="1"/>
    </row>
    <row r="72" spans="10:12" ht="19" hidden="1">
      <c r="J72" t="str">
        <f t="shared" si="1"/>
        <v>no</v>
      </c>
      <c r="K72" s="1"/>
      <c r="L72" s="1"/>
    </row>
    <row r="73" spans="10:12" ht="19" hidden="1">
      <c r="J73" t="str">
        <f t="shared" si="1"/>
        <v>no</v>
      </c>
      <c r="K73" s="1"/>
      <c r="L73" s="1"/>
    </row>
    <row r="74" spans="10:12" ht="19" hidden="1">
      <c r="J74" t="str">
        <f t="shared" si="1"/>
        <v>no</v>
      </c>
      <c r="K74" s="1"/>
      <c r="L74" s="1"/>
    </row>
    <row r="75" spans="10:12" ht="19" hidden="1">
      <c r="J75" t="str">
        <f t="shared" si="1"/>
        <v>no</v>
      </c>
      <c r="K75" s="1"/>
      <c r="L75" s="1"/>
    </row>
    <row r="76" spans="10:12" ht="19" hidden="1">
      <c r="J76" t="str">
        <f t="shared" si="1"/>
        <v>no</v>
      </c>
      <c r="K76" s="1"/>
      <c r="L76" s="1"/>
    </row>
    <row r="77" spans="10:12" ht="19" hidden="1">
      <c r="J77" t="str">
        <f t="shared" si="1"/>
        <v>no</v>
      </c>
      <c r="K77" s="1"/>
      <c r="L77" s="1"/>
    </row>
    <row r="78" spans="10:12" ht="19" hidden="1">
      <c r="J78" t="str">
        <f t="shared" si="1"/>
        <v>no</v>
      </c>
      <c r="K78" s="1"/>
      <c r="L78" s="1"/>
    </row>
    <row r="79" spans="10:12" ht="19" hidden="1">
      <c r="J79" t="str">
        <f t="shared" si="1"/>
        <v>no</v>
      </c>
      <c r="K79" s="1"/>
      <c r="L79" s="1"/>
    </row>
    <row r="80" spans="10:12" ht="19" hidden="1">
      <c r="J80" t="str">
        <f t="shared" si="1"/>
        <v>no</v>
      </c>
      <c r="K80" s="1"/>
      <c r="L80" s="1"/>
    </row>
    <row r="81" spans="10:10" hidden="1">
      <c r="J81" t="str">
        <f t="shared" si="1"/>
        <v>no</v>
      </c>
    </row>
    <row r="82" spans="10:10" hidden="1">
      <c r="J82" t="str">
        <f t="shared" si="1"/>
        <v>no</v>
      </c>
    </row>
    <row r="83" spans="10:10" hidden="1">
      <c r="J83" t="str">
        <f t="shared" si="1"/>
        <v>no</v>
      </c>
    </row>
    <row r="84" spans="10:10" hidden="1">
      <c r="J84" t="str">
        <f t="shared" si="1"/>
        <v>no</v>
      </c>
    </row>
    <row r="85" spans="10:10" hidden="1">
      <c r="J85" t="str">
        <f t="shared" si="1"/>
        <v>no</v>
      </c>
    </row>
    <row r="86" spans="10:10" hidden="1">
      <c r="J86" t="str">
        <f t="shared" si="1"/>
        <v>no</v>
      </c>
    </row>
    <row r="87" spans="10:10" hidden="1">
      <c r="J87" t="str">
        <f t="shared" si="1"/>
        <v>no</v>
      </c>
    </row>
    <row r="88" spans="10:10" hidden="1">
      <c r="J88" t="str">
        <f t="shared" si="1"/>
        <v>no</v>
      </c>
    </row>
    <row r="89" spans="10:10" hidden="1">
      <c r="J89" t="str">
        <f t="shared" si="1"/>
        <v>no</v>
      </c>
    </row>
    <row r="90" spans="10:10" hidden="1">
      <c r="J90" t="str">
        <f t="shared" si="1"/>
        <v>no</v>
      </c>
    </row>
    <row r="91" spans="10:10" hidden="1">
      <c r="J91" t="str">
        <f t="shared" si="1"/>
        <v>no</v>
      </c>
    </row>
    <row r="92" spans="10:10" hidden="1">
      <c r="J92" t="str">
        <f t="shared" si="1"/>
        <v>no</v>
      </c>
    </row>
    <row r="93" spans="10:10" hidden="1">
      <c r="J93" t="str">
        <f t="shared" si="1"/>
        <v>no</v>
      </c>
    </row>
    <row r="94" spans="10:10" hidden="1">
      <c r="J94" t="str">
        <f t="shared" si="1"/>
        <v>no</v>
      </c>
    </row>
    <row r="95" spans="10:10" hidden="1">
      <c r="J95" t="str">
        <f t="shared" si="1"/>
        <v>no</v>
      </c>
    </row>
    <row r="96" spans="10:10" hidden="1">
      <c r="J96" t="str">
        <f t="shared" si="1"/>
        <v>no</v>
      </c>
    </row>
    <row r="97" spans="10:10" hidden="1">
      <c r="J97" t="str">
        <f t="shared" si="1"/>
        <v>no</v>
      </c>
    </row>
    <row r="98" spans="10:10" hidden="1">
      <c r="J98" t="str">
        <f t="shared" si="1"/>
        <v>no</v>
      </c>
    </row>
    <row r="99" spans="10:10" hidden="1">
      <c r="J99" t="str">
        <f t="shared" si="1"/>
        <v>no</v>
      </c>
    </row>
    <row r="100" spans="10:10" hidden="1">
      <c r="J100" t="str">
        <f t="shared" si="1"/>
        <v>no</v>
      </c>
    </row>
    <row r="101" spans="10:10" hidden="1">
      <c r="J101" t="str">
        <f t="shared" si="1"/>
        <v>no</v>
      </c>
    </row>
    <row r="102" spans="10:10" hidden="1">
      <c r="J102" t="str">
        <f t="shared" si="1"/>
        <v>no</v>
      </c>
    </row>
    <row r="103" spans="10:10" hidden="1">
      <c r="J103" t="str">
        <f t="shared" si="1"/>
        <v>no</v>
      </c>
    </row>
    <row r="104" spans="10:10" hidden="1">
      <c r="J104" t="str">
        <f t="shared" si="1"/>
        <v>no</v>
      </c>
    </row>
    <row r="105" spans="10:10" hidden="1">
      <c r="J105" t="str">
        <f t="shared" si="1"/>
        <v>no</v>
      </c>
    </row>
    <row r="106" spans="10:10" hidden="1">
      <c r="J106" t="str">
        <f t="shared" si="1"/>
        <v>no</v>
      </c>
    </row>
    <row r="107" spans="10:10" hidden="1">
      <c r="J107" t="str">
        <f t="shared" si="1"/>
        <v>no</v>
      </c>
    </row>
    <row r="108" spans="10:10" hidden="1">
      <c r="J108" t="str">
        <f t="shared" si="1"/>
        <v>no</v>
      </c>
    </row>
    <row r="109" spans="10:10" hidden="1">
      <c r="J109" t="str">
        <f t="shared" si="1"/>
        <v>no</v>
      </c>
    </row>
    <row r="110" spans="10:10" hidden="1">
      <c r="J110" t="str">
        <f t="shared" si="1"/>
        <v>no</v>
      </c>
    </row>
    <row r="111" spans="10:10" hidden="1">
      <c r="J111" t="str">
        <f t="shared" si="1"/>
        <v>no</v>
      </c>
    </row>
    <row r="112" spans="10:10" hidden="1">
      <c r="J112" t="str">
        <f t="shared" si="1"/>
        <v>no</v>
      </c>
    </row>
    <row r="113" spans="10:10" hidden="1">
      <c r="J113" t="str">
        <f t="shared" si="1"/>
        <v>no</v>
      </c>
    </row>
    <row r="114" spans="10:10" hidden="1">
      <c r="J114" t="str">
        <f t="shared" si="1"/>
        <v>no</v>
      </c>
    </row>
    <row r="115" spans="10:10" hidden="1">
      <c r="J115" t="str">
        <f t="shared" si="1"/>
        <v>no</v>
      </c>
    </row>
    <row r="116" spans="10:10" hidden="1">
      <c r="J116" t="str">
        <f t="shared" si="1"/>
        <v>no</v>
      </c>
    </row>
    <row r="117" spans="10:10" hidden="1">
      <c r="J117" t="str">
        <f t="shared" si="1"/>
        <v>no</v>
      </c>
    </row>
    <row r="118" spans="10:10" hidden="1">
      <c r="J118" t="str">
        <f t="shared" si="1"/>
        <v>no</v>
      </c>
    </row>
    <row r="119" spans="10:10" hidden="1">
      <c r="J119" t="str">
        <f t="shared" si="1"/>
        <v>no</v>
      </c>
    </row>
    <row r="120" spans="10:10" hidden="1">
      <c r="J120" t="str">
        <f t="shared" si="1"/>
        <v>no</v>
      </c>
    </row>
    <row r="121" spans="10:10" hidden="1">
      <c r="J121" t="str">
        <f t="shared" si="1"/>
        <v>no</v>
      </c>
    </row>
    <row r="122" spans="10:10" hidden="1">
      <c r="J122" t="str">
        <f t="shared" si="1"/>
        <v>no</v>
      </c>
    </row>
    <row r="123" spans="10:10" hidden="1">
      <c r="J123" t="str">
        <f t="shared" si="1"/>
        <v>no</v>
      </c>
    </row>
    <row r="124" spans="10:10" hidden="1">
      <c r="J124" t="str">
        <f t="shared" si="1"/>
        <v>no</v>
      </c>
    </row>
    <row r="125" spans="10:10" hidden="1">
      <c r="J125" t="str">
        <f t="shared" si="1"/>
        <v>no</v>
      </c>
    </row>
    <row r="126" spans="10:10" hidden="1">
      <c r="J126" t="str">
        <f t="shared" si="1"/>
        <v>no</v>
      </c>
    </row>
    <row r="127" spans="10:10" hidden="1">
      <c r="J127" t="str">
        <f t="shared" si="1"/>
        <v>no</v>
      </c>
    </row>
    <row r="128" spans="10:10" hidden="1">
      <c r="J128" t="str">
        <f t="shared" si="1"/>
        <v>no</v>
      </c>
    </row>
    <row r="129" spans="10:10" hidden="1">
      <c r="J129" t="str">
        <f t="shared" si="1"/>
        <v>no</v>
      </c>
    </row>
    <row r="130" spans="10:10" hidden="1">
      <c r="J130" t="str">
        <f t="shared" si="1"/>
        <v>no</v>
      </c>
    </row>
    <row r="131" spans="10:10" hidden="1">
      <c r="J131" t="str">
        <f t="shared" ref="J131:J142" si="2">IF(COUNTIF(K:K, B131)&gt;0,$K$1,IF(COUNTIF(L:L, B131)&gt;0,$L$1,"no"))</f>
        <v>no</v>
      </c>
    </row>
    <row r="132" spans="10:10" hidden="1">
      <c r="J132" t="str">
        <f t="shared" si="2"/>
        <v>no</v>
      </c>
    </row>
    <row r="133" spans="10:10" hidden="1">
      <c r="J133" t="str">
        <f t="shared" si="2"/>
        <v>no</v>
      </c>
    </row>
    <row r="134" spans="10:10" hidden="1">
      <c r="J134" t="str">
        <f t="shared" si="2"/>
        <v>no</v>
      </c>
    </row>
    <row r="135" spans="10:10" hidden="1">
      <c r="J135" t="str">
        <f t="shared" si="2"/>
        <v>no</v>
      </c>
    </row>
    <row r="136" spans="10:10" hidden="1">
      <c r="J136" t="str">
        <f t="shared" si="2"/>
        <v>no</v>
      </c>
    </row>
    <row r="137" spans="10:10" hidden="1">
      <c r="J137" t="str">
        <f t="shared" si="2"/>
        <v>no</v>
      </c>
    </row>
    <row r="138" spans="10:10" hidden="1">
      <c r="J138" t="str">
        <f t="shared" si="2"/>
        <v>no</v>
      </c>
    </row>
    <row r="139" spans="10:10" hidden="1">
      <c r="J139" t="str">
        <f t="shared" si="2"/>
        <v>no</v>
      </c>
    </row>
    <row r="140" spans="10:10" hidden="1">
      <c r="J140" t="str">
        <f t="shared" si="2"/>
        <v>no</v>
      </c>
    </row>
    <row r="141" spans="10:10" hidden="1">
      <c r="J141" t="str">
        <f t="shared" si="2"/>
        <v>no</v>
      </c>
    </row>
    <row r="142" spans="10:10" hidden="1">
      <c r="J142" t="str">
        <f t="shared" si="2"/>
        <v>no</v>
      </c>
    </row>
  </sheetData>
  <autoFilter ref="A1:L142" xr:uid="{47E7133F-8753-5C4B-B48E-B4D41716EAE9}">
    <filterColumn colId="9">
      <filters>
        <filter val="segmented videos list"/>
      </filters>
    </filterColumn>
  </autoFilter>
  <phoneticPr fontId="1" type="noConversion"/>
  <conditionalFormatting sqref="E1:E1048576">
    <cfRule type="cellIs" dxfId="50" priority="2" operator="equal">
      <formula>"no"</formula>
    </cfRule>
    <cfRule type="cellIs" dxfId="49" priority="3" operator="equal">
      <formula>"yes"</formula>
    </cfRule>
  </conditionalFormatting>
  <conditionalFormatting sqref="F2:F142">
    <cfRule type="expression" dxfId="48" priority="1">
      <formula>F2&lt;&gt;E2</formula>
    </cfRule>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37A11-E62D-B348-AF13-D839BB263EA4}">
  <sheetPr codeName="工作表5" filterMode="1"/>
  <dimension ref="A1:K144"/>
  <sheetViews>
    <sheetView zoomScaleNormal="100" workbookViewId="0">
      <pane ySplit="1" topLeftCell="A4" activePane="bottomLeft" state="frozen"/>
      <selection pane="bottomLeft" activeCell="J132" sqref="A1:K144"/>
    </sheetView>
  </sheetViews>
  <sheetFormatPr baseColWidth="10" defaultRowHeight="15"/>
  <cols>
    <col min="2" max="2" width="12.5" customWidth="1"/>
    <col min="3" max="3" width="4.83203125" style="2" customWidth="1"/>
    <col min="5" max="5" width="11.33203125" customWidth="1"/>
    <col min="6" max="8" width="13.1640625" customWidth="1"/>
    <col min="9" max="9" width="63.1640625" customWidth="1"/>
    <col min="10" max="10" width="14.33203125" customWidth="1"/>
  </cols>
  <sheetData>
    <row r="1" spans="1:11">
      <c r="A1" t="s">
        <v>88</v>
      </c>
      <c r="B1" t="s">
        <v>0</v>
      </c>
      <c r="C1" s="2" t="s">
        <v>202</v>
      </c>
      <c r="D1" t="s">
        <v>6</v>
      </c>
      <c r="E1" t="s">
        <v>1</v>
      </c>
      <c r="F1" t="s">
        <v>4</v>
      </c>
      <c r="G1" t="s">
        <v>2</v>
      </c>
      <c r="H1" t="s">
        <v>5</v>
      </c>
      <c r="I1" t="s">
        <v>3</v>
      </c>
      <c r="J1" t="s">
        <v>1067</v>
      </c>
      <c r="K1" t="s">
        <v>1105</v>
      </c>
    </row>
    <row r="2" spans="1:11" ht="19" hidden="1">
      <c r="A2">
        <v>1</v>
      </c>
      <c r="B2" s="1" t="s">
        <v>7</v>
      </c>
      <c r="C2" s="2" t="s">
        <v>271</v>
      </c>
      <c r="D2" t="s">
        <v>84</v>
      </c>
      <c r="E2" t="s">
        <v>391</v>
      </c>
      <c r="F2" t="s">
        <v>192</v>
      </c>
      <c r="G2" t="s">
        <v>1121</v>
      </c>
      <c r="J2" t="str">
        <f>IF(COUNTIF(K:K, B2)&gt;0,$K$1,"no")</f>
        <v>segmented videos list</v>
      </c>
      <c r="K2" s="1" t="s">
        <v>7</v>
      </c>
    </row>
    <row r="3" spans="1:11" ht="19" hidden="1">
      <c r="A3">
        <v>2</v>
      </c>
      <c r="B3" s="1" t="s">
        <v>8</v>
      </c>
      <c r="C3" s="2" t="s">
        <v>271</v>
      </c>
      <c r="D3" t="s">
        <v>86</v>
      </c>
      <c r="E3" t="s">
        <v>391</v>
      </c>
      <c r="F3" t="s">
        <v>1190</v>
      </c>
      <c r="G3" t="s">
        <v>1122</v>
      </c>
      <c r="J3" t="str">
        <f t="shared" ref="J3:J66" si="0">IF(COUNTIF(K:K, B3)&gt;0,$K$1,"no")</f>
        <v>segmented videos list</v>
      </c>
      <c r="K3" s="1" t="s">
        <v>8</v>
      </c>
    </row>
    <row r="4" spans="1:11" ht="19">
      <c r="A4">
        <v>3</v>
      </c>
      <c r="B4" s="1" t="s">
        <v>9</v>
      </c>
      <c r="C4" s="2" t="s">
        <v>271</v>
      </c>
      <c r="D4" t="s">
        <v>84</v>
      </c>
      <c r="E4" t="s">
        <v>391</v>
      </c>
      <c r="F4" t="s">
        <v>1191</v>
      </c>
      <c r="G4" t="s">
        <v>1123</v>
      </c>
      <c r="J4" t="str">
        <f t="shared" si="0"/>
        <v>segmented videos list</v>
      </c>
      <c r="K4" s="1" t="s">
        <v>9</v>
      </c>
    </row>
    <row r="5" spans="1:11" ht="19">
      <c r="A5">
        <v>4</v>
      </c>
      <c r="B5" s="1" t="s">
        <v>10</v>
      </c>
      <c r="C5" s="2" t="s">
        <v>271</v>
      </c>
      <c r="D5" t="s">
        <v>85</v>
      </c>
      <c r="E5" t="s">
        <v>391</v>
      </c>
      <c r="F5" t="s">
        <v>1191</v>
      </c>
      <c r="G5" t="s">
        <v>1124</v>
      </c>
      <c r="J5" t="str">
        <f t="shared" si="0"/>
        <v>segmented videos list</v>
      </c>
      <c r="K5" s="1" t="s">
        <v>10</v>
      </c>
    </row>
    <row r="6" spans="1:11" ht="19">
      <c r="A6">
        <v>5</v>
      </c>
      <c r="B6" s="1" t="s">
        <v>203</v>
      </c>
      <c r="C6" s="2" t="s">
        <v>267</v>
      </c>
      <c r="D6" t="s">
        <v>85</v>
      </c>
      <c r="E6" t="s">
        <v>391</v>
      </c>
      <c r="F6" t="s">
        <v>1191</v>
      </c>
      <c r="G6" t="s">
        <v>1125</v>
      </c>
      <c r="J6" t="str">
        <f t="shared" si="0"/>
        <v>segmented videos list</v>
      </c>
      <c r="K6" s="1" t="s">
        <v>203</v>
      </c>
    </row>
    <row r="7" spans="1:11" ht="19">
      <c r="A7">
        <v>6</v>
      </c>
      <c r="B7" s="1" t="s">
        <v>11</v>
      </c>
      <c r="C7" s="2" t="s">
        <v>271</v>
      </c>
      <c r="D7" t="s">
        <v>85</v>
      </c>
      <c r="E7" t="s">
        <v>391</v>
      </c>
      <c r="F7" t="s">
        <v>1191</v>
      </c>
      <c r="G7" t="s">
        <v>1126</v>
      </c>
      <c r="J7" t="str">
        <f t="shared" si="0"/>
        <v>segmented videos list</v>
      </c>
      <c r="K7" s="1" t="s">
        <v>11</v>
      </c>
    </row>
    <row r="8" spans="1:11" ht="19" hidden="1">
      <c r="A8">
        <v>7</v>
      </c>
      <c r="B8" s="1" t="s">
        <v>12</v>
      </c>
      <c r="C8" s="2" t="s">
        <v>271</v>
      </c>
      <c r="D8" t="s">
        <v>86</v>
      </c>
      <c r="E8" t="s">
        <v>391</v>
      </c>
      <c r="J8" t="str">
        <f t="shared" si="0"/>
        <v>no</v>
      </c>
      <c r="K8" s="1" t="s">
        <v>204</v>
      </c>
    </row>
    <row r="9" spans="1:11" ht="19" hidden="1">
      <c r="A9">
        <v>8</v>
      </c>
      <c r="B9" s="1" t="s">
        <v>204</v>
      </c>
      <c r="C9" s="2" t="s">
        <v>271</v>
      </c>
      <c r="D9" t="s">
        <v>85</v>
      </c>
      <c r="E9" t="s">
        <v>391</v>
      </c>
      <c r="F9" t="s">
        <v>1190</v>
      </c>
      <c r="G9" t="s">
        <v>1127</v>
      </c>
      <c r="J9" t="str">
        <f t="shared" si="0"/>
        <v>segmented videos list</v>
      </c>
      <c r="K9" s="1" t="s">
        <v>13</v>
      </c>
    </row>
    <row r="10" spans="1:11" ht="19">
      <c r="A10">
        <v>9</v>
      </c>
      <c r="B10" s="1" t="s">
        <v>13</v>
      </c>
      <c r="C10" s="2" t="s">
        <v>271</v>
      </c>
      <c r="D10" t="s">
        <v>85</v>
      </c>
      <c r="E10" t="s">
        <v>391</v>
      </c>
      <c r="F10" t="s">
        <v>1191</v>
      </c>
      <c r="G10" t="s">
        <v>1128</v>
      </c>
      <c r="J10" t="str">
        <f t="shared" si="0"/>
        <v>segmented videos list</v>
      </c>
      <c r="K10" s="1" t="s">
        <v>14</v>
      </c>
    </row>
    <row r="11" spans="1:11" ht="19" hidden="1">
      <c r="A11">
        <v>10</v>
      </c>
      <c r="B11" s="1" t="s">
        <v>14</v>
      </c>
      <c r="C11" s="2" t="s">
        <v>271</v>
      </c>
      <c r="D11" t="s">
        <v>84</v>
      </c>
      <c r="E11" t="s">
        <v>391</v>
      </c>
      <c r="F11" t="s">
        <v>1190</v>
      </c>
      <c r="G11" t="s">
        <v>1129</v>
      </c>
      <c r="J11" t="str">
        <f t="shared" si="0"/>
        <v>segmented videos list</v>
      </c>
      <c r="K11" s="1" t="s">
        <v>208</v>
      </c>
    </row>
    <row r="12" spans="1:11" ht="19" hidden="1">
      <c r="A12">
        <v>11</v>
      </c>
      <c r="B12" s="1" t="s">
        <v>205</v>
      </c>
      <c r="C12" s="2" t="s">
        <v>269</v>
      </c>
      <c r="D12" t="s">
        <v>84</v>
      </c>
      <c r="E12" t="s">
        <v>391</v>
      </c>
      <c r="J12" t="str">
        <f t="shared" si="0"/>
        <v>no</v>
      </c>
      <c r="K12" s="1" t="s">
        <v>19</v>
      </c>
    </row>
    <row r="13" spans="1:11" ht="19" hidden="1">
      <c r="A13">
        <v>12</v>
      </c>
      <c r="B13" s="1" t="s">
        <v>206</v>
      </c>
      <c r="C13" s="2" t="s">
        <v>267</v>
      </c>
      <c r="D13" t="s">
        <v>84</v>
      </c>
      <c r="E13" t="s">
        <v>391</v>
      </c>
      <c r="J13" t="str">
        <f t="shared" si="0"/>
        <v>no</v>
      </c>
      <c r="K13" s="1" t="s">
        <v>20</v>
      </c>
    </row>
    <row r="14" spans="1:11" ht="19" hidden="1">
      <c r="A14">
        <v>13</v>
      </c>
      <c r="B14" s="1" t="s">
        <v>15</v>
      </c>
      <c r="C14" s="2" t="s">
        <v>271</v>
      </c>
      <c r="D14" t="s">
        <v>85</v>
      </c>
      <c r="E14" t="s">
        <v>391</v>
      </c>
      <c r="J14" t="str">
        <f t="shared" si="0"/>
        <v>no</v>
      </c>
      <c r="K14" s="1" t="s">
        <v>209</v>
      </c>
    </row>
    <row r="15" spans="1:11" ht="19" hidden="1">
      <c r="A15">
        <v>14</v>
      </c>
      <c r="B15" s="1" t="s">
        <v>207</v>
      </c>
      <c r="C15" s="2" t="s">
        <v>267</v>
      </c>
      <c r="D15" t="s">
        <v>84</v>
      </c>
      <c r="E15" t="s">
        <v>391</v>
      </c>
      <c r="J15" t="str">
        <f t="shared" si="0"/>
        <v>no</v>
      </c>
      <c r="K15" s="1" t="s">
        <v>210</v>
      </c>
    </row>
    <row r="16" spans="1:11" ht="19" hidden="1">
      <c r="A16">
        <v>15</v>
      </c>
      <c r="B16" s="1" t="s">
        <v>16</v>
      </c>
      <c r="C16" s="2" t="s">
        <v>271</v>
      </c>
      <c r="D16" t="s">
        <v>84</v>
      </c>
      <c r="E16" t="s">
        <v>391</v>
      </c>
      <c r="J16" t="str">
        <f t="shared" si="0"/>
        <v>no</v>
      </c>
      <c r="K16" s="1" t="s">
        <v>211</v>
      </c>
    </row>
    <row r="17" spans="1:11" ht="19" hidden="1">
      <c r="A17">
        <v>16</v>
      </c>
      <c r="B17" s="1" t="s">
        <v>17</v>
      </c>
      <c r="C17" s="2" t="s">
        <v>271</v>
      </c>
      <c r="D17" t="s">
        <v>84</v>
      </c>
      <c r="E17" t="s">
        <v>391</v>
      </c>
      <c r="J17" t="str">
        <f t="shared" si="0"/>
        <v>no</v>
      </c>
      <c r="K17" s="1" t="s">
        <v>212</v>
      </c>
    </row>
    <row r="18" spans="1:11" ht="19" hidden="1">
      <c r="A18">
        <v>17</v>
      </c>
      <c r="B18" s="1" t="s">
        <v>18</v>
      </c>
      <c r="C18" s="2" t="s">
        <v>271</v>
      </c>
      <c r="D18" t="s">
        <v>85</v>
      </c>
      <c r="E18" t="s">
        <v>391</v>
      </c>
      <c r="J18" t="str">
        <f t="shared" si="0"/>
        <v>no</v>
      </c>
      <c r="K18" s="1" t="s">
        <v>213</v>
      </c>
    </row>
    <row r="19" spans="1:11" ht="19" hidden="1">
      <c r="A19">
        <v>18</v>
      </c>
      <c r="B19" s="1" t="s">
        <v>208</v>
      </c>
      <c r="C19" s="2" t="s">
        <v>267</v>
      </c>
      <c r="D19" t="s">
        <v>84</v>
      </c>
      <c r="E19" t="s">
        <v>391</v>
      </c>
      <c r="F19" t="s">
        <v>1190</v>
      </c>
      <c r="G19" t="s">
        <v>1130</v>
      </c>
      <c r="J19" t="str">
        <f t="shared" si="0"/>
        <v>segmented videos list</v>
      </c>
      <c r="K19" s="1" t="s">
        <v>21</v>
      </c>
    </row>
    <row r="20" spans="1:11" ht="19" hidden="1">
      <c r="A20">
        <v>19</v>
      </c>
      <c r="B20" s="1" t="s">
        <v>19</v>
      </c>
      <c r="C20" s="2" t="s">
        <v>271</v>
      </c>
      <c r="D20" t="s">
        <v>84</v>
      </c>
      <c r="E20" t="s">
        <v>391</v>
      </c>
      <c r="F20" t="s">
        <v>1190</v>
      </c>
      <c r="G20" t="s">
        <v>1131</v>
      </c>
      <c r="J20" t="str">
        <f t="shared" si="0"/>
        <v>segmented videos list</v>
      </c>
      <c r="K20" s="1" t="s">
        <v>22</v>
      </c>
    </row>
    <row r="21" spans="1:11" ht="19" hidden="1">
      <c r="A21">
        <v>20</v>
      </c>
      <c r="B21" s="1" t="s">
        <v>20</v>
      </c>
      <c r="C21" s="2" t="s">
        <v>271</v>
      </c>
      <c r="D21" t="s">
        <v>84</v>
      </c>
      <c r="E21" t="s">
        <v>391</v>
      </c>
      <c r="F21" t="s">
        <v>1190</v>
      </c>
      <c r="G21" t="s">
        <v>1132</v>
      </c>
      <c r="J21" t="str">
        <f t="shared" si="0"/>
        <v>segmented videos list</v>
      </c>
      <c r="K21" s="1" t="s">
        <v>217</v>
      </c>
    </row>
    <row r="22" spans="1:11" ht="19" hidden="1">
      <c r="A22">
        <v>21</v>
      </c>
      <c r="B22" s="1" t="s">
        <v>209</v>
      </c>
      <c r="C22" s="2" t="s">
        <v>272</v>
      </c>
      <c r="D22" t="s">
        <v>84</v>
      </c>
      <c r="E22" t="s">
        <v>391</v>
      </c>
      <c r="F22" t="s">
        <v>1190</v>
      </c>
      <c r="G22" t="s">
        <v>1133</v>
      </c>
      <c r="J22" t="str">
        <f t="shared" si="0"/>
        <v>segmented videos list</v>
      </c>
      <c r="K22" s="1" t="s">
        <v>218</v>
      </c>
    </row>
    <row r="23" spans="1:11" ht="19" hidden="1">
      <c r="A23">
        <v>22</v>
      </c>
      <c r="B23" s="1" t="s">
        <v>210</v>
      </c>
      <c r="C23" s="2" t="s">
        <v>267</v>
      </c>
      <c r="D23" t="s">
        <v>84</v>
      </c>
      <c r="E23" t="s">
        <v>391</v>
      </c>
      <c r="F23" t="s">
        <v>1190</v>
      </c>
      <c r="G23" t="s">
        <v>1134</v>
      </c>
      <c r="J23" t="str">
        <f t="shared" si="0"/>
        <v>segmented videos list</v>
      </c>
      <c r="K23" s="1" t="s">
        <v>220</v>
      </c>
    </row>
    <row r="24" spans="1:11" ht="19" hidden="1">
      <c r="A24">
        <v>23</v>
      </c>
      <c r="B24" s="1" t="s">
        <v>211</v>
      </c>
      <c r="C24" s="2" t="s">
        <v>271</v>
      </c>
      <c r="D24" t="s">
        <v>87</v>
      </c>
      <c r="E24" t="s">
        <v>391</v>
      </c>
      <c r="F24" t="s">
        <v>1190</v>
      </c>
      <c r="G24" t="s">
        <v>1135</v>
      </c>
      <c r="J24" t="str">
        <f t="shared" si="0"/>
        <v>segmented videos list</v>
      </c>
      <c r="K24" s="1" t="s">
        <v>221</v>
      </c>
    </row>
    <row r="25" spans="1:11" ht="19" hidden="1">
      <c r="A25">
        <v>24</v>
      </c>
      <c r="B25" s="1" t="s">
        <v>212</v>
      </c>
      <c r="C25" s="2" t="s">
        <v>273</v>
      </c>
      <c r="D25" t="s">
        <v>84</v>
      </c>
      <c r="E25" t="s">
        <v>391</v>
      </c>
      <c r="F25" t="s">
        <v>1190</v>
      </c>
      <c r="G25" t="s">
        <v>1136</v>
      </c>
      <c r="J25" t="str">
        <f t="shared" si="0"/>
        <v>segmented videos list</v>
      </c>
      <c r="K25" s="1" t="s">
        <v>222</v>
      </c>
    </row>
    <row r="26" spans="1:11" ht="19" hidden="1">
      <c r="A26">
        <v>25</v>
      </c>
      <c r="B26" s="1" t="s">
        <v>213</v>
      </c>
      <c r="C26" s="2" t="s">
        <v>273</v>
      </c>
      <c r="D26" t="s">
        <v>84</v>
      </c>
      <c r="E26" t="s">
        <v>391</v>
      </c>
      <c r="F26" t="s">
        <v>1190</v>
      </c>
      <c r="G26" t="s">
        <v>1137</v>
      </c>
      <c r="J26" t="str">
        <f t="shared" si="0"/>
        <v>segmented videos list</v>
      </c>
      <c r="K26" s="1" t="s">
        <v>223</v>
      </c>
    </row>
    <row r="27" spans="1:11" ht="19">
      <c r="A27">
        <v>26</v>
      </c>
      <c r="B27" s="1" t="s">
        <v>21</v>
      </c>
      <c r="C27" s="2" t="s">
        <v>271</v>
      </c>
      <c r="D27" t="s">
        <v>86</v>
      </c>
      <c r="E27" t="s">
        <v>391</v>
      </c>
      <c r="F27" t="s">
        <v>1191</v>
      </c>
      <c r="G27" t="s">
        <v>1138</v>
      </c>
      <c r="J27" t="str">
        <f t="shared" si="0"/>
        <v>segmented videos list</v>
      </c>
      <c r="K27" s="1" t="s">
        <v>27</v>
      </c>
    </row>
    <row r="28" spans="1:11" ht="19" hidden="1">
      <c r="A28">
        <v>27</v>
      </c>
      <c r="B28" s="1" t="s">
        <v>22</v>
      </c>
      <c r="C28" s="2" t="s">
        <v>271</v>
      </c>
      <c r="D28" t="s">
        <v>85</v>
      </c>
      <c r="E28" t="s">
        <v>391</v>
      </c>
      <c r="F28" t="s">
        <v>1190</v>
      </c>
      <c r="G28" t="s">
        <v>1139</v>
      </c>
      <c r="J28" t="str">
        <f t="shared" si="0"/>
        <v>segmented videos list</v>
      </c>
      <c r="K28" s="1" t="s">
        <v>224</v>
      </c>
    </row>
    <row r="29" spans="1:11" ht="19" hidden="1">
      <c r="A29">
        <v>28</v>
      </c>
      <c r="B29" s="1" t="s">
        <v>214</v>
      </c>
      <c r="C29" s="2" t="s">
        <v>269</v>
      </c>
      <c r="D29" t="s">
        <v>84</v>
      </c>
      <c r="E29" t="s">
        <v>391</v>
      </c>
      <c r="J29" t="str">
        <f t="shared" si="0"/>
        <v>no</v>
      </c>
      <c r="K29" s="1" t="s">
        <v>225</v>
      </c>
    </row>
    <row r="30" spans="1:11" ht="19" hidden="1">
      <c r="A30">
        <v>29</v>
      </c>
      <c r="B30" s="1" t="s">
        <v>23</v>
      </c>
      <c r="C30" s="2" t="s">
        <v>271</v>
      </c>
      <c r="D30" t="s">
        <v>87</v>
      </c>
      <c r="E30" t="s">
        <v>391</v>
      </c>
      <c r="J30" t="str">
        <f t="shared" si="0"/>
        <v>no</v>
      </c>
      <c r="K30" s="1" t="s">
        <v>226</v>
      </c>
    </row>
    <row r="31" spans="1:11" ht="19" hidden="1">
      <c r="A31">
        <v>30</v>
      </c>
      <c r="B31" s="1" t="s">
        <v>215</v>
      </c>
      <c r="C31" s="2" t="s">
        <v>269</v>
      </c>
      <c r="D31" t="s">
        <v>84</v>
      </c>
      <c r="E31" t="s">
        <v>391</v>
      </c>
      <c r="J31" t="str">
        <f t="shared" si="0"/>
        <v>no</v>
      </c>
      <c r="K31" s="1" t="s">
        <v>227</v>
      </c>
    </row>
    <row r="32" spans="1:11" ht="19" hidden="1">
      <c r="A32">
        <v>31</v>
      </c>
      <c r="B32" s="1" t="s">
        <v>216</v>
      </c>
      <c r="C32" s="2" t="s">
        <v>269</v>
      </c>
      <c r="D32" t="s">
        <v>84</v>
      </c>
      <c r="E32" t="s">
        <v>391</v>
      </c>
      <c r="J32" t="str">
        <f t="shared" si="0"/>
        <v>no</v>
      </c>
      <c r="K32" s="1" t="s">
        <v>228</v>
      </c>
    </row>
    <row r="33" spans="1:11" ht="19" hidden="1">
      <c r="A33">
        <v>32</v>
      </c>
      <c r="B33" s="1" t="s">
        <v>24</v>
      </c>
      <c r="C33" s="2" t="s">
        <v>271</v>
      </c>
      <c r="D33" t="s">
        <v>84</v>
      </c>
      <c r="E33" t="s">
        <v>391</v>
      </c>
      <c r="J33" t="str">
        <f t="shared" si="0"/>
        <v>no</v>
      </c>
      <c r="K33" s="1" t="s">
        <v>229</v>
      </c>
    </row>
    <row r="34" spans="1:11" ht="19" hidden="1">
      <c r="A34">
        <v>33</v>
      </c>
      <c r="B34" s="1" t="s">
        <v>25</v>
      </c>
      <c r="C34" s="2" t="s">
        <v>271</v>
      </c>
      <c r="D34" t="s">
        <v>84</v>
      </c>
      <c r="E34" t="s">
        <v>391</v>
      </c>
      <c r="J34" t="str">
        <f t="shared" si="0"/>
        <v>no</v>
      </c>
      <c r="K34" s="1" t="s">
        <v>230</v>
      </c>
    </row>
    <row r="35" spans="1:11" ht="19" hidden="1">
      <c r="A35">
        <v>34</v>
      </c>
      <c r="B35" s="1" t="s">
        <v>217</v>
      </c>
      <c r="C35" s="2" t="s">
        <v>267</v>
      </c>
      <c r="D35" t="s">
        <v>84</v>
      </c>
      <c r="E35" t="s">
        <v>391</v>
      </c>
      <c r="F35" t="s">
        <v>1190</v>
      </c>
      <c r="G35" t="s">
        <v>1140</v>
      </c>
      <c r="J35" t="str">
        <f t="shared" si="0"/>
        <v>segmented videos list</v>
      </c>
      <c r="K35" s="1" t="s">
        <v>231</v>
      </c>
    </row>
    <row r="36" spans="1:11" ht="19" hidden="1">
      <c r="A36">
        <v>35</v>
      </c>
      <c r="B36" s="1" t="s">
        <v>218</v>
      </c>
      <c r="C36" s="2" t="s">
        <v>269</v>
      </c>
      <c r="D36" t="s">
        <v>84</v>
      </c>
      <c r="E36" t="s">
        <v>391</v>
      </c>
      <c r="F36" t="s">
        <v>1190</v>
      </c>
      <c r="G36" t="s">
        <v>1141</v>
      </c>
      <c r="J36" t="str">
        <f t="shared" si="0"/>
        <v>segmented videos list</v>
      </c>
      <c r="K36" s="1" t="s">
        <v>232</v>
      </c>
    </row>
    <row r="37" spans="1:11" ht="19" hidden="1">
      <c r="A37">
        <v>36</v>
      </c>
      <c r="B37" s="1" t="s">
        <v>219</v>
      </c>
      <c r="C37" s="2" t="s">
        <v>269</v>
      </c>
      <c r="D37" t="s">
        <v>84</v>
      </c>
      <c r="E37" t="s">
        <v>391</v>
      </c>
      <c r="J37" t="str">
        <f t="shared" si="0"/>
        <v>no</v>
      </c>
      <c r="K37" s="1" t="s">
        <v>233</v>
      </c>
    </row>
    <row r="38" spans="1:11" ht="19" hidden="1">
      <c r="A38">
        <v>37</v>
      </c>
      <c r="B38" s="1" t="s">
        <v>220</v>
      </c>
      <c r="C38" s="2" t="s">
        <v>269</v>
      </c>
      <c r="D38" t="s">
        <v>84</v>
      </c>
      <c r="E38" t="s">
        <v>391</v>
      </c>
      <c r="F38" t="s">
        <v>1190</v>
      </c>
      <c r="G38" t="s">
        <v>1142</v>
      </c>
      <c r="J38" t="str">
        <f t="shared" si="0"/>
        <v>segmented videos list</v>
      </c>
      <c r="K38" s="1" t="s">
        <v>234</v>
      </c>
    </row>
    <row r="39" spans="1:11" ht="19" hidden="1">
      <c r="A39">
        <v>38</v>
      </c>
      <c r="B39" s="1" t="s">
        <v>221</v>
      </c>
      <c r="C39" s="2" t="s">
        <v>269</v>
      </c>
      <c r="D39" t="s">
        <v>84</v>
      </c>
      <c r="E39" t="s">
        <v>391</v>
      </c>
      <c r="F39" t="s">
        <v>1190</v>
      </c>
      <c r="G39" t="s">
        <v>1143</v>
      </c>
      <c r="J39" t="str">
        <f t="shared" si="0"/>
        <v>segmented videos list</v>
      </c>
      <c r="K39" s="1" t="s">
        <v>235</v>
      </c>
    </row>
    <row r="40" spans="1:11" ht="19" hidden="1">
      <c r="A40">
        <v>39</v>
      </c>
      <c r="B40" s="1" t="s">
        <v>222</v>
      </c>
      <c r="C40" s="2" t="s">
        <v>267</v>
      </c>
      <c r="D40" t="s">
        <v>84</v>
      </c>
      <c r="E40" t="s">
        <v>391</v>
      </c>
      <c r="F40" t="s">
        <v>1190</v>
      </c>
      <c r="G40" t="s">
        <v>1144</v>
      </c>
      <c r="J40" t="str">
        <f t="shared" si="0"/>
        <v>segmented videos list</v>
      </c>
      <c r="K40" s="1" t="s">
        <v>236</v>
      </c>
    </row>
    <row r="41" spans="1:11" ht="19" hidden="1">
      <c r="A41">
        <v>40</v>
      </c>
      <c r="B41" s="1" t="s">
        <v>26</v>
      </c>
      <c r="C41" s="2" t="s">
        <v>271</v>
      </c>
      <c r="D41" t="s">
        <v>84</v>
      </c>
      <c r="E41" t="s">
        <v>391</v>
      </c>
      <c r="J41" t="str">
        <f t="shared" si="0"/>
        <v>no</v>
      </c>
      <c r="K41" s="1" t="s">
        <v>237</v>
      </c>
    </row>
    <row r="42" spans="1:11" ht="19" hidden="1">
      <c r="A42">
        <v>41</v>
      </c>
      <c r="B42" s="1" t="s">
        <v>223</v>
      </c>
      <c r="C42" s="2" t="s">
        <v>269</v>
      </c>
      <c r="D42" t="s">
        <v>84</v>
      </c>
      <c r="E42" t="s">
        <v>391</v>
      </c>
      <c r="F42" t="s">
        <v>1190</v>
      </c>
      <c r="G42" t="s">
        <v>1145</v>
      </c>
      <c r="J42" t="str">
        <f t="shared" si="0"/>
        <v>segmented videos list</v>
      </c>
      <c r="K42" s="1" t="s">
        <v>238</v>
      </c>
    </row>
    <row r="43" spans="1:11" ht="19" hidden="1">
      <c r="A43">
        <v>42</v>
      </c>
      <c r="B43" s="1" t="s">
        <v>27</v>
      </c>
      <c r="C43" s="2" t="s">
        <v>271</v>
      </c>
      <c r="D43" t="s">
        <v>84</v>
      </c>
      <c r="E43" t="s">
        <v>391</v>
      </c>
      <c r="F43" t="s">
        <v>1190</v>
      </c>
      <c r="G43" t="s">
        <v>1146</v>
      </c>
      <c r="J43" t="str">
        <f t="shared" si="0"/>
        <v>segmented videos list</v>
      </c>
      <c r="K43" s="1" t="s">
        <v>28</v>
      </c>
    </row>
    <row r="44" spans="1:11" ht="19" hidden="1">
      <c r="A44">
        <v>43</v>
      </c>
      <c r="B44" s="1" t="s">
        <v>224</v>
      </c>
      <c r="C44" s="2" t="s">
        <v>267</v>
      </c>
      <c r="D44" t="s">
        <v>84</v>
      </c>
      <c r="E44" t="s">
        <v>391</v>
      </c>
      <c r="F44" t="s">
        <v>1190</v>
      </c>
      <c r="G44" t="s">
        <v>1147</v>
      </c>
      <c r="J44" t="str">
        <f t="shared" si="0"/>
        <v>segmented videos list</v>
      </c>
      <c r="K44" s="1" t="s">
        <v>29</v>
      </c>
    </row>
    <row r="45" spans="1:11" ht="19" hidden="1">
      <c r="A45">
        <v>44</v>
      </c>
      <c r="B45" s="1" t="s">
        <v>225</v>
      </c>
      <c r="C45" s="2" t="s">
        <v>274</v>
      </c>
      <c r="D45" t="s">
        <v>84</v>
      </c>
      <c r="E45" t="s">
        <v>391</v>
      </c>
      <c r="F45" t="s">
        <v>1190</v>
      </c>
      <c r="G45" t="s">
        <v>1148</v>
      </c>
      <c r="J45" t="str">
        <f t="shared" si="0"/>
        <v>segmented videos list</v>
      </c>
      <c r="K45" s="1" t="s">
        <v>239</v>
      </c>
    </row>
    <row r="46" spans="1:11" ht="19" hidden="1">
      <c r="A46">
        <v>45</v>
      </c>
      <c r="B46" s="1" t="s">
        <v>226</v>
      </c>
      <c r="C46" s="2" t="s">
        <v>274</v>
      </c>
      <c r="D46" t="s">
        <v>84</v>
      </c>
      <c r="E46" t="s">
        <v>391</v>
      </c>
      <c r="F46" t="s">
        <v>1190</v>
      </c>
      <c r="G46" t="s">
        <v>1149</v>
      </c>
      <c r="J46" t="str">
        <f t="shared" si="0"/>
        <v>segmented videos list</v>
      </c>
      <c r="K46" s="1" t="s">
        <v>30</v>
      </c>
    </row>
    <row r="47" spans="1:11" ht="19" hidden="1">
      <c r="A47">
        <v>46</v>
      </c>
      <c r="B47" s="1" t="s">
        <v>227</v>
      </c>
      <c r="C47" s="2" t="s">
        <v>269</v>
      </c>
      <c r="D47" t="s">
        <v>84</v>
      </c>
      <c r="E47" t="s">
        <v>391</v>
      </c>
      <c r="F47" t="s">
        <v>1190</v>
      </c>
      <c r="G47" t="s">
        <v>1150</v>
      </c>
      <c r="J47" t="str">
        <f t="shared" si="0"/>
        <v>segmented videos list</v>
      </c>
      <c r="K47" s="1" t="s">
        <v>240</v>
      </c>
    </row>
    <row r="48" spans="1:11" ht="19" hidden="1">
      <c r="A48">
        <v>47</v>
      </c>
      <c r="B48" s="1" t="s">
        <v>228</v>
      </c>
      <c r="C48" s="2" t="s">
        <v>269</v>
      </c>
      <c r="D48" t="s">
        <v>84</v>
      </c>
      <c r="E48" t="s">
        <v>391</v>
      </c>
      <c r="F48" t="s">
        <v>1190</v>
      </c>
      <c r="G48" t="s">
        <v>1151</v>
      </c>
      <c r="J48" t="str">
        <f t="shared" si="0"/>
        <v>segmented videos list</v>
      </c>
      <c r="K48" s="1" t="s">
        <v>31</v>
      </c>
    </row>
    <row r="49" spans="1:11" ht="19" hidden="1">
      <c r="A49">
        <v>48</v>
      </c>
      <c r="B49" s="1" t="s">
        <v>229</v>
      </c>
      <c r="C49" s="2" t="s">
        <v>269</v>
      </c>
      <c r="D49" t="s">
        <v>84</v>
      </c>
      <c r="E49" t="s">
        <v>391</v>
      </c>
      <c r="F49" t="s">
        <v>1190</v>
      </c>
      <c r="G49" t="s">
        <v>1149</v>
      </c>
      <c r="J49" t="str">
        <f t="shared" si="0"/>
        <v>segmented videos list</v>
      </c>
      <c r="K49" s="1" t="s">
        <v>241</v>
      </c>
    </row>
    <row r="50" spans="1:11" ht="19" hidden="1">
      <c r="A50">
        <v>49</v>
      </c>
      <c r="B50" s="1" t="s">
        <v>230</v>
      </c>
      <c r="C50" s="2" t="s">
        <v>269</v>
      </c>
      <c r="D50" t="s">
        <v>84</v>
      </c>
      <c r="E50" t="s">
        <v>391</v>
      </c>
      <c r="F50" t="s">
        <v>1190</v>
      </c>
      <c r="G50" t="s">
        <v>1152</v>
      </c>
      <c r="J50" t="str">
        <f t="shared" si="0"/>
        <v>segmented videos list</v>
      </c>
      <c r="K50" s="1" t="s">
        <v>32</v>
      </c>
    </row>
    <row r="51" spans="1:11" ht="19" hidden="1">
      <c r="A51">
        <v>50</v>
      </c>
      <c r="B51" s="1" t="s">
        <v>231</v>
      </c>
      <c r="C51" s="2" t="s">
        <v>269</v>
      </c>
      <c r="D51" t="s">
        <v>84</v>
      </c>
      <c r="E51" t="s">
        <v>391</v>
      </c>
      <c r="F51" t="s">
        <v>1190</v>
      </c>
      <c r="G51" t="s">
        <v>1149</v>
      </c>
      <c r="J51" t="str">
        <f t="shared" si="0"/>
        <v>segmented videos list</v>
      </c>
      <c r="K51" s="1" t="s">
        <v>33</v>
      </c>
    </row>
    <row r="52" spans="1:11" ht="19" hidden="1">
      <c r="A52">
        <v>51</v>
      </c>
      <c r="B52" s="1" t="s">
        <v>232</v>
      </c>
      <c r="C52" s="2" t="s">
        <v>274</v>
      </c>
      <c r="D52" t="s">
        <v>84</v>
      </c>
      <c r="E52" t="s">
        <v>391</v>
      </c>
      <c r="F52" t="s">
        <v>1190</v>
      </c>
      <c r="G52" t="s">
        <v>1149</v>
      </c>
      <c r="J52" t="str">
        <f t="shared" si="0"/>
        <v>segmented videos list</v>
      </c>
      <c r="K52" s="1" t="s">
        <v>34</v>
      </c>
    </row>
    <row r="53" spans="1:11" ht="19" hidden="1">
      <c r="A53">
        <v>52</v>
      </c>
      <c r="B53" s="1" t="s">
        <v>233</v>
      </c>
      <c r="C53" s="2" t="s">
        <v>274</v>
      </c>
      <c r="D53" t="s">
        <v>84</v>
      </c>
      <c r="E53" t="s">
        <v>391</v>
      </c>
      <c r="F53" t="s">
        <v>1190</v>
      </c>
      <c r="G53" t="s">
        <v>1153</v>
      </c>
      <c r="J53" t="str">
        <f t="shared" si="0"/>
        <v>segmented videos list</v>
      </c>
      <c r="K53" s="1" t="s">
        <v>35</v>
      </c>
    </row>
    <row r="54" spans="1:11" ht="19" hidden="1">
      <c r="A54">
        <v>53</v>
      </c>
      <c r="B54" s="1" t="s">
        <v>234</v>
      </c>
      <c r="C54" s="2" t="s">
        <v>274</v>
      </c>
      <c r="D54" t="s">
        <v>84</v>
      </c>
      <c r="E54" t="s">
        <v>391</v>
      </c>
      <c r="F54" t="s">
        <v>1190</v>
      </c>
      <c r="G54" t="s">
        <v>1153</v>
      </c>
      <c r="J54" t="str">
        <f t="shared" si="0"/>
        <v>segmented videos list</v>
      </c>
      <c r="K54" s="1" t="s">
        <v>36</v>
      </c>
    </row>
    <row r="55" spans="1:11" ht="19" hidden="1">
      <c r="A55">
        <v>54</v>
      </c>
      <c r="B55" s="1" t="s">
        <v>235</v>
      </c>
      <c r="C55" s="2" t="s">
        <v>274</v>
      </c>
      <c r="D55" t="s">
        <v>84</v>
      </c>
      <c r="E55" t="s">
        <v>391</v>
      </c>
      <c r="F55" t="s">
        <v>1190</v>
      </c>
      <c r="G55" t="s">
        <v>1149</v>
      </c>
      <c r="J55" t="str">
        <f t="shared" si="0"/>
        <v>segmented videos list</v>
      </c>
      <c r="K55" s="1" t="s">
        <v>37</v>
      </c>
    </row>
    <row r="56" spans="1:11" ht="19" hidden="1">
      <c r="A56">
        <v>55</v>
      </c>
      <c r="B56" s="1" t="s">
        <v>236</v>
      </c>
      <c r="C56" s="2" t="s">
        <v>269</v>
      </c>
      <c r="D56" t="s">
        <v>84</v>
      </c>
      <c r="E56" t="s">
        <v>391</v>
      </c>
      <c r="F56" t="s">
        <v>1190</v>
      </c>
      <c r="G56" t="s">
        <v>1154</v>
      </c>
      <c r="J56" t="str">
        <f t="shared" si="0"/>
        <v>segmented videos list</v>
      </c>
      <c r="K56" s="1" t="s">
        <v>38</v>
      </c>
    </row>
    <row r="57" spans="1:11" ht="19" hidden="1">
      <c r="A57">
        <v>56</v>
      </c>
      <c r="B57" s="1" t="s">
        <v>237</v>
      </c>
      <c r="C57" s="2" t="s">
        <v>269</v>
      </c>
      <c r="D57" t="s">
        <v>84</v>
      </c>
      <c r="E57" t="s">
        <v>391</v>
      </c>
      <c r="F57" t="s">
        <v>1190</v>
      </c>
      <c r="G57" t="s">
        <v>1155</v>
      </c>
      <c r="J57" t="str">
        <f t="shared" si="0"/>
        <v>segmented videos list</v>
      </c>
      <c r="K57" s="1" t="s">
        <v>39</v>
      </c>
    </row>
    <row r="58" spans="1:11" ht="19" hidden="1">
      <c r="A58">
        <v>57</v>
      </c>
      <c r="B58" s="1" t="s">
        <v>238</v>
      </c>
      <c r="C58" s="2" t="s">
        <v>269</v>
      </c>
      <c r="D58" t="s">
        <v>84</v>
      </c>
      <c r="E58" t="s">
        <v>391</v>
      </c>
      <c r="F58" s="2" t="s">
        <v>1190</v>
      </c>
      <c r="G58" s="2" t="s">
        <v>1156</v>
      </c>
      <c r="J58" t="str">
        <f t="shared" si="0"/>
        <v>segmented videos list</v>
      </c>
      <c r="K58" s="1" t="s">
        <v>242</v>
      </c>
    </row>
    <row r="59" spans="1:11" ht="19" hidden="1">
      <c r="A59">
        <v>58</v>
      </c>
      <c r="B59" s="1" t="s">
        <v>28</v>
      </c>
      <c r="C59" s="2" t="s">
        <v>271</v>
      </c>
      <c r="D59" t="s">
        <v>84</v>
      </c>
      <c r="E59" t="s">
        <v>391</v>
      </c>
      <c r="F59" s="19" t="s">
        <v>1190</v>
      </c>
      <c r="G59" s="19" t="s">
        <v>1157</v>
      </c>
      <c r="J59" t="str">
        <f t="shared" si="0"/>
        <v>segmented videos list</v>
      </c>
      <c r="K59" s="1" t="s">
        <v>40</v>
      </c>
    </row>
    <row r="60" spans="1:11" ht="19">
      <c r="A60">
        <v>59</v>
      </c>
      <c r="B60" s="1" t="s">
        <v>29</v>
      </c>
      <c r="C60" s="2" t="s">
        <v>271</v>
      </c>
      <c r="D60" t="s">
        <v>85</v>
      </c>
      <c r="E60" t="s">
        <v>391</v>
      </c>
      <c r="F60" t="s">
        <v>1191</v>
      </c>
      <c r="G60" t="s">
        <v>1158</v>
      </c>
      <c r="J60" t="str">
        <f t="shared" si="0"/>
        <v>segmented videos list</v>
      </c>
      <c r="K60" s="1" t="s">
        <v>251</v>
      </c>
    </row>
    <row r="61" spans="1:11" ht="19" hidden="1">
      <c r="A61">
        <v>60</v>
      </c>
      <c r="B61" s="1" t="s">
        <v>239</v>
      </c>
      <c r="C61" s="2" t="s">
        <v>269</v>
      </c>
      <c r="D61" t="s">
        <v>84</v>
      </c>
      <c r="E61" t="s">
        <v>391</v>
      </c>
      <c r="F61" t="s">
        <v>1190</v>
      </c>
      <c r="G61" t="s">
        <v>1159</v>
      </c>
      <c r="J61" t="str">
        <f t="shared" si="0"/>
        <v>segmented videos list</v>
      </c>
      <c r="K61" s="1" t="s">
        <v>54</v>
      </c>
    </row>
    <row r="62" spans="1:11" ht="19">
      <c r="A62">
        <v>61</v>
      </c>
      <c r="B62" s="1" t="s">
        <v>30</v>
      </c>
      <c r="C62" s="2" t="s">
        <v>271</v>
      </c>
      <c r="D62" t="s">
        <v>84</v>
      </c>
      <c r="E62" t="s">
        <v>391</v>
      </c>
      <c r="F62" t="s">
        <v>1191</v>
      </c>
      <c r="G62" t="s">
        <v>1160</v>
      </c>
      <c r="J62" t="str">
        <f t="shared" si="0"/>
        <v>segmented videos list</v>
      </c>
      <c r="K62" s="1" t="s">
        <v>55</v>
      </c>
    </row>
    <row r="63" spans="1:11" ht="19" hidden="1">
      <c r="A63">
        <v>62</v>
      </c>
      <c r="B63" s="1" t="s">
        <v>240</v>
      </c>
      <c r="C63" s="2" t="s">
        <v>269</v>
      </c>
      <c r="D63" t="s">
        <v>84</v>
      </c>
      <c r="E63" t="s">
        <v>391</v>
      </c>
      <c r="F63" t="s">
        <v>1190</v>
      </c>
      <c r="G63" t="s">
        <v>1151</v>
      </c>
      <c r="J63" t="str">
        <f t="shared" si="0"/>
        <v>segmented videos list</v>
      </c>
      <c r="K63" s="1" t="s">
        <v>252</v>
      </c>
    </row>
    <row r="64" spans="1:11" ht="19">
      <c r="A64">
        <v>63</v>
      </c>
      <c r="B64" s="1" t="s">
        <v>31</v>
      </c>
      <c r="C64" s="2" t="s">
        <v>271</v>
      </c>
      <c r="D64" t="s">
        <v>85</v>
      </c>
      <c r="E64" t="s">
        <v>391</v>
      </c>
      <c r="F64" t="s">
        <v>1191</v>
      </c>
      <c r="G64" t="s">
        <v>1161</v>
      </c>
      <c r="J64" t="str">
        <f t="shared" si="0"/>
        <v>segmented videos list</v>
      </c>
      <c r="K64" s="1" t="s">
        <v>56</v>
      </c>
    </row>
    <row r="65" spans="1:11" ht="19" hidden="1">
      <c r="A65">
        <v>64</v>
      </c>
      <c r="B65" s="1" t="s">
        <v>241</v>
      </c>
      <c r="C65" s="2" t="s">
        <v>269</v>
      </c>
      <c r="D65" t="s">
        <v>84</v>
      </c>
      <c r="E65" t="s">
        <v>391</v>
      </c>
      <c r="F65" t="s">
        <v>1190</v>
      </c>
      <c r="G65" t="s">
        <v>1162</v>
      </c>
      <c r="J65" t="str">
        <f t="shared" si="0"/>
        <v>segmented videos list</v>
      </c>
      <c r="K65" s="1" t="s">
        <v>253</v>
      </c>
    </row>
    <row r="66" spans="1:11" ht="19" hidden="1">
      <c r="A66">
        <v>65</v>
      </c>
      <c r="B66" s="1" t="s">
        <v>32</v>
      </c>
      <c r="C66" s="2" t="s">
        <v>271</v>
      </c>
      <c r="D66" t="s">
        <v>84</v>
      </c>
      <c r="E66" t="s">
        <v>391</v>
      </c>
      <c r="F66" t="s">
        <v>1190</v>
      </c>
      <c r="G66" t="s">
        <v>1162</v>
      </c>
      <c r="J66" t="str">
        <f t="shared" si="0"/>
        <v>segmented videos list</v>
      </c>
      <c r="K66" s="1" t="s">
        <v>57</v>
      </c>
    </row>
    <row r="67" spans="1:11" ht="19">
      <c r="A67">
        <v>66</v>
      </c>
      <c r="B67" s="1" t="s">
        <v>33</v>
      </c>
      <c r="C67" s="2" t="s">
        <v>271</v>
      </c>
      <c r="D67" t="s">
        <v>85</v>
      </c>
      <c r="E67" t="s">
        <v>391</v>
      </c>
      <c r="F67" t="s">
        <v>1191</v>
      </c>
      <c r="G67" t="s">
        <v>1163</v>
      </c>
      <c r="J67" t="str">
        <f t="shared" ref="J67:J130" si="1">IF(COUNTIF(K:K, B67)&gt;0,$K$1,"no")</f>
        <v>segmented videos list</v>
      </c>
      <c r="K67" s="1" t="s">
        <v>58</v>
      </c>
    </row>
    <row r="68" spans="1:11" ht="19">
      <c r="A68">
        <v>67</v>
      </c>
      <c r="B68" s="1" t="s">
        <v>34</v>
      </c>
      <c r="C68" s="2" t="s">
        <v>271</v>
      </c>
      <c r="D68" t="s">
        <v>87</v>
      </c>
      <c r="E68" t="s">
        <v>391</v>
      </c>
      <c r="F68" t="s">
        <v>1191</v>
      </c>
      <c r="G68" t="s">
        <v>1163</v>
      </c>
      <c r="J68" t="str">
        <f t="shared" si="1"/>
        <v>segmented videos list</v>
      </c>
      <c r="K68" s="1" t="s">
        <v>254</v>
      </c>
    </row>
    <row r="69" spans="1:11" ht="19" hidden="1">
      <c r="A69">
        <v>68</v>
      </c>
      <c r="B69" s="1" t="s">
        <v>35</v>
      </c>
      <c r="C69" s="2" t="s">
        <v>271</v>
      </c>
      <c r="D69" t="s">
        <v>85</v>
      </c>
      <c r="E69" t="s">
        <v>391</v>
      </c>
      <c r="F69" t="s">
        <v>192</v>
      </c>
      <c r="G69" t="s">
        <v>1164</v>
      </c>
      <c r="J69" t="str">
        <f t="shared" si="1"/>
        <v>segmented videos list</v>
      </c>
      <c r="K69" s="1" t="s">
        <v>255</v>
      </c>
    </row>
    <row r="70" spans="1:11" ht="19" hidden="1">
      <c r="A70">
        <v>69</v>
      </c>
      <c r="B70" s="1" t="s">
        <v>36</v>
      </c>
      <c r="C70" s="2" t="s">
        <v>271</v>
      </c>
      <c r="D70" t="s">
        <v>85</v>
      </c>
      <c r="E70" t="s">
        <v>391</v>
      </c>
      <c r="F70" t="s">
        <v>192</v>
      </c>
      <c r="G70" t="s">
        <v>1165</v>
      </c>
      <c r="J70" t="str">
        <f t="shared" si="1"/>
        <v>segmented videos list</v>
      </c>
      <c r="K70" s="1" t="s">
        <v>257</v>
      </c>
    </row>
    <row r="71" spans="1:11" ht="19">
      <c r="A71">
        <v>70</v>
      </c>
      <c r="B71" s="1" t="s">
        <v>37</v>
      </c>
      <c r="C71" s="2" t="s">
        <v>271</v>
      </c>
      <c r="D71" t="s">
        <v>85</v>
      </c>
      <c r="E71" t="s">
        <v>391</v>
      </c>
      <c r="F71" t="s">
        <v>201</v>
      </c>
      <c r="G71" t="s">
        <v>1166</v>
      </c>
      <c r="J71" t="str">
        <f t="shared" si="1"/>
        <v>segmented videos list</v>
      </c>
      <c r="K71" s="1" t="s">
        <v>264</v>
      </c>
    </row>
    <row r="72" spans="1:11" ht="19" hidden="1">
      <c r="A72">
        <v>71</v>
      </c>
      <c r="B72" s="1" t="s">
        <v>38</v>
      </c>
      <c r="C72" s="2" t="s">
        <v>271</v>
      </c>
      <c r="D72" t="s">
        <v>84</v>
      </c>
      <c r="E72" t="s">
        <v>391</v>
      </c>
      <c r="F72" t="s">
        <v>192</v>
      </c>
      <c r="G72" t="s">
        <v>1167</v>
      </c>
      <c r="J72" t="str">
        <f t="shared" si="1"/>
        <v>segmented videos list</v>
      </c>
      <c r="K72" s="1" t="s">
        <v>59</v>
      </c>
    </row>
    <row r="73" spans="1:11" ht="19" hidden="1">
      <c r="A73">
        <v>72</v>
      </c>
      <c r="B73" s="1" t="s">
        <v>39</v>
      </c>
      <c r="C73" s="2" t="s">
        <v>271</v>
      </c>
      <c r="D73" t="s">
        <v>84</v>
      </c>
      <c r="E73" t="s">
        <v>391</v>
      </c>
      <c r="F73" t="s">
        <v>192</v>
      </c>
      <c r="G73" t="s">
        <v>1168</v>
      </c>
      <c r="J73" t="str">
        <f t="shared" si="1"/>
        <v>segmented videos list</v>
      </c>
      <c r="K73" s="1" t="s">
        <v>60</v>
      </c>
    </row>
    <row r="74" spans="1:11" ht="19" hidden="1">
      <c r="A74">
        <v>73</v>
      </c>
      <c r="B74" s="1" t="s">
        <v>242</v>
      </c>
      <c r="C74" s="2" t="s">
        <v>267</v>
      </c>
      <c r="D74" t="s">
        <v>84</v>
      </c>
      <c r="E74" t="s">
        <v>391</v>
      </c>
      <c r="F74" t="s">
        <v>192</v>
      </c>
      <c r="G74" t="s">
        <v>1169</v>
      </c>
      <c r="J74" t="str">
        <f t="shared" si="1"/>
        <v>segmented videos list</v>
      </c>
      <c r="K74" s="1" t="s">
        <v>265</v>
      </c>
    </row>
    <row r="75" spans="1:11" ht="19">
      <c r="A75">
        <v>74</v>
      </c>
      <c r="B75" s="1" t="s">
        <v>40</v>
      </c>
      <c r="C75" s="2" t="s">
        <v>271</v>
      </c>
      <c r="D75" t="s">
        <v>84</v>
      </c>
      <c r="E75" t="s">
        <v>391</v>
      </c>
      <c r="F75" t="s">
        <v>201</v>
      </c>
      <c r="G75" t="s">
        <v>1170</v>
      </c>
      <c r="J75" t="str">
        <f t="shared" si="1"/>
        <v>segmented videos list</v>
      </c>
      <c r="K75" s="1" t="s">
        <v>61</v>
      </c>
    </row>
    <row r="76" spans="1:11" ht="19" hidden="1">
      <c r="A76">
        <v>75</v>
      </c>
      <c r="B76" s="1" t="s">
        <v>243</v>
      </c>
      <c r="C76" s="2" t="s">
        <v>269</v>
      </c>
      <c r="D76" t="s">
        <v>84</v>
      </c>
      <c r="E76" t="s">
        <v>391</v>
      </c>
      <c r="J76" t="str">
        <f t="shared" si="1"/>
        <v>no</v>
      </c>
      <c r="K76" s="1" t="s">
        <v>266</v>
      </c>
    </row>
    <row r="77" spans="1:11" ht="19" hidden="1">
      <c r="A77">
        <v>76</v>
      </c>
      <c r="B77" s="1" t="s">
        <v>41</v>
      </c>
      <c r="C77" s="2" t="s">
        <v>271</v>
      </c>
      <c r="D77" t="s">
        <v>84</v>
      </c>
      <c r="E77" t="s">
        <v>391</v>
      </c>
      <c r="J77" t="str">
        <f t="shared" si="1"/>
        <v>no</v>
      </c>
      <c r="K77" s="1" t="s">
        <v>62</v>
      </c>
    </row>
    <row r="78" spans="1:11" ht="19" hidden="1">
      <c r="A78">
        <v>77</v>
      </c>
      <c r="B78" s="1" t="s">
        <v>244</v>
      </c>
      <c r="C78" s="2" t="s">
        <v>274</v>
      </c>
      <c r="D78" t="s">
        <v>84</v>
      </c>
      <c r="E78" t="s">
        <v>391</v>
      </c>
      <c r="J78" t="str">
        <f t="shared" si="1"/>
        <v>no</v>
      </c>
      <c r="K78" s="1" t="s">
        <v>63</v>
      </c>
    </row>
    <row r="79" spans="1:11" ht="19" hidden="1">
      <c r="A79">
        <v>78</v>
      </c>
      <c r="B79" s="1" t="s">
        <v>245</v>
      </c>
      <c r="C79" s="2" t="s">
        <v>269</v>
      </c>
      <c r="D79" t="s">
        <v>84</v>
      </c>
      <c r="E79" t="s">
        <v>391</v>
      </c>
      <c r="J79" t="str">
        <f t="shared" si="1"/>
        <v>no</v>
      </c>
      <c r="K79" s="1"/>
    </row>
    <row r="80" spans="1:11" ht="19" hidden="1">
      <c r="A80">
        <v>79</v>
      </c>
      <c r="B80" s="1" t="s">
        <v>42</v>
      </c>
      <c r="C80" s="2" t="s">
        <v>271</v>
      </c>
      <c r="D80" t="s">
        <v>87</v>
      </c>
      <c r="E80" t="s">
        <v>391</v>
      </c>
      <c r="J80" t="str">
        <f t="shared" si="1"/>
        <v>no</v>
      </c>
      <c r="K80" s="1"/>
    </row>
    <row r="81" spans="1:10" ht="19" hidden="1">
      <c r="A81">
        <v>80</v>
      </c>
      <c r="B81" s="1" t="s">
        <v>43</v>
      </c>
      <c r="C81" s="2" t="s">
        <v>271</v>
      </c>
      <c r="D81" t="s">
        <v>87</v>
      </c>
      <c r="E81" t="s">
        <v>391</v>
      </c>
      <c r="J81" t="str">
        <f t="shared" si="1"/>
        <v>no</v>
      </c>
    </row>
    <row r="82" spans="1:10" ht="19" hidden="1">
      <c r="A82">
        <v>81</v>
      </c>
      <c r="B82" s="1" t="s">
        <v>246</v>
      </c>
      <c r="C82" s="2" t="s">
        <v>273</v>
      </c>
      <c r="D82" t="s">
        <v>84</v>
      </c>
      <c r="E82" t="s">
        <v>391</v>
      </c>
      <c r="J82" t="str">
        <f t="shared" si="1"/>
        <v>no</v>
      </c>
    </row>
    <row r="83" spans="1:10" ht="19" hidden="1">
      <c r="A83">
        <v>82</v>
      </c>
      <c r="B83" s="1" t="s">
        <v>247</v>
      </c>
      <c r="C83" s="2" t="s">
        <v>269</v>
      </c>
      <c r="D83" t="s">
        <v>84</v>
      </c>
      <c r="E83" t="s">
        <v>391</v>
      </c>
      <c r="J83" t="str">
        <f t="shared" si="1"/>
        <v>no</v>
      </c>
    </row>
    <row r="84" spans="1:10" ht="19" hidden="1">
      <c r="A84">
        <v>83</v>
      </c>
      <c r="B84" s="1" t="s">
        <v>248</v>
      </c>
      <c r="C84" s="2" t="s">
        <v>269</v>
      </c>
      <c r="D84" t="s">
        <v>84</v>
      </c>
      <c r="E84" t="s">
        <v>391</v>
      </c>
      <c r="J84" t="str">
        <f t="shared" si="1"/>
        <v>no</v>
      </c>
    </row>
    <row r="85" spans="1:10" ht="19" hidden="1">
      <c r="A85">
        <v>84</v>
      </c>
      <c r="B85" s="1" t="s">
        <v>44</v>
      </c>
      <c r="C85" s="2" t="s">
        <v>271</v>
      </c>
      <c r="D85" t="s">
        <v>87</v>
      </c>
      <c r="E85" t="s">
        <v>391</v>
      </c>
      <c r="J85" t="str">
        <f t="shared" si="1"/>
        <v>no</v>
      </c>
    </row>
    <row r="86" spans="1:10" ht="19" hidden="1">
      <c r="A86">
        <v>85</v>
      </c>
      <c r="B86" s="1" t="s">
        <v>249</v>
      </c>
      <c r="C86" s="2" t="s">
        <v>274</v>
      </c>
      <c r="D86" t="s">
        <v>84</v>
      </c>
      <c r="E86" t="s">
        <v>391</v>
      </c>
      <c r="J86" t="str">
        <f t="shared" si="1"/>
        <v>no</v>
      </c>
    </row>
    <row r="87" spans="1:10" ht="19" hidden="1">
      <c r="A87">
        <v>86</v>
      </c>
      <c r="B87" s="1" t="s">
        <v>45</v>
      </c>
      <c r="C87" s="2" t="s">
        <v>271</v>
      </c>
      <c r="D87" t="s">
        <v>84</v>
      </c>
      <c r="E87" t="s">
        <v>391</v>
      </c>
      <c r="J87" t="str">
        <f t="shared" si="1"/>
        <v>no</v>
      </c>
    </row>
    <row r="88" spans="1:10" ht="19" hidden="1">
      <c r="A88">
        <v>87</v>
      </c>
      <c r="B88" s="1" t="s">
        <v>250</v>
      </c>
      <c r="C88" s="2" t="s">
        <v>268</v>
      </c>
      <c r="D88" t="s">
        <v>84</v>
      </c>
      <c r="E88" t="s">
        <v>391</v>
      </c>
      <c r="J88" t="str">
        <f t="shared" si="1"/>
        <v>no</v>
      </c>
    </row>
    <row r="89" spans="1:10" ht="19" hidden="1">
      <c r="A89">
        <v>88</v>
      </c>
      <c r="B89" s="1" t="s">
        <v>46</v>
      </c>
      <c r="C89" s="2" t="s">
        <v>271</v>
      </c>
      <c r="D89" t="s">
        <v>84</v>
      </c>
      <c r="E89" t="s">
        <v>391</v>
      </c>
      <c r="J89" t="str">
        <f t="shared" si="1"/>
        <v>no</v>
      </c>
    </row>
    <row r="90" spans="1:10" ht="19" hidden="1">
      <c r="A90">
        <v>89</v>
      </c>
      <c r="B90" s="1" t="s">
        <v>47</v>
      </c>
      <c r="C90" s="2" t="s">
        <v>271</v>
      </c>
      <c r="D90" t="s">
        <v>84</v>
      </c>
      <c r="E90" t="s">
        <v>391</v>
      </c>
      <c r="J90" t="str">
        <f t="shared" si="1"/>
        <v>no</v>
      </c>
    </row>
    <row r="91" spans="1:10" ht="19" hidden="1">
      <c r="A91">
        <v>90</v>
      </c>
      <c r="B91" s="1" t="s">
        <v>48</v>
      </c>
      <c r="C91" s="2" t="s">
        <v>271</v>
      </c>
      <c r="D91" t="s">
        <v>84</v>
      </c>
      <c r="E91" t="s">
        <v>391</v>
      </c>
      <c r="J91" t="str">
        <f t="shared" si="1"/>
        <v>no</v>
      </c>
    </row>
    <row r="92" spans="1:10" ht="19" hidden="1">
      <c r="A92">
        <v>91</v>
      </c>
      <c r="B92" s="1" t="s">
        <v>49</v>
      </c>
      <c r="C92" s="2" t="s">
        <v>271</v>
      </c>
      <c r="D92" t="s">
        <v>84</v>
      </c>
      <c r="E92" t="s">
        <v>391</v>
      </c>
      <c r="J92" t="str">
        <f t="shared" si="1"/>
        <v>no</v>
      </c>
    </row>
    <row r="93" spans="1:10" ht="19" hidden="1">
      <c r="A93">
        <v>92</v>
      </c>
      <c r="B93" s="1" t="s">
        <v>50</v>
      </c>
      <c r="C93" s="2" t="s">
        <v>271</v>
      </c>
      <c r="D93" t="s">
        <v>84</v>
      </c>
      <c r="E93" t="s">
        <v>391</v>
      </c>
      <c r="J93" t="str">
        <f t="shared" si="1"/>
        <v>no</v>
      </c>
    </row>
    <row r="94" spans="1:10" ht="19" hidden="1">
      <c r="A94">
        <v>93</v>
      </c>
      <c r="B94" s="1" t="s">
        <v>51</v>
      </c>
      <c r="C94" s="2" t="s">
        <v>271</v>
      </c>
      <c r="D94" t="s">
        <v>84</v>
      </c>
      <c r="E94" t="s">
        <v>391</v>
      </c>
      <c r="J94" t="str">
        <f t="shared" si="1"/>
        <v>no</v>
      </c>
    </row>
    <row r="95" spans="1:10" ht="19" hidden="1">
      <c r="A95">
        <v>94</v>
      </c>
      <c r="B95" s="1" t="s">
        <v>52</v>
      </c>
      <c r="C95" s="2" t="s">
        <v>271</v>
      </c>
      <c r="D95" t="s">
        <v>84</v>
      </c>
      <c r="E95" t="s">
        <v>391</v>
      </c>
      <c r="J95" t="str">
        <f t="shared" si="1"/>
        <v>no</v>
      </c>
    </row>
    <row r="96" spans="1:10" ht="19" hidden="1">
      <c r="A96">
        <v>95</v>
      </c>
      <c r="B96" s="1" t="s">
        <v>53</v>
      </c>
      <c r="C96" s="2" t="s">
        <v>271</v>
      </c>
      <c r="D96" t="s">
        <v>84</v>
      </c>
      <c r="E96" t="s">
        <v>391</v>
      </c>
      <c r="J96" t="str">
        <f t="shared" si="1"/>
        <v>no</v>
      </c>
    </row>
    <row r="97" spans="1:10" ht="19" hidden="1">
      <c r="A97">
        <v>96</v>
      </c>
      <c r="B97" s="1" t="s">
        <v>251</v>
      </c>
      <c r="C97" s="2" t="s">
        <v>267</v>
      </c>
      <c r="D97" t="s">
        <v>84</v>
      </c>
      <c r="E97" t="s">
        <v>391</v>
      </c>
      <c r="F97" t="s">
        <v>192</v>
      </c>
      <c r="G97" t="s">
        <v>1171</v>
      </c>
      <c r="J97" t="str">
        <f t="shared" si="1"/>
        <v>segmented videos list</v>
      </c>
    </row>
    <row r="98" spans="1:10" ht="19" hidden="1">
      <c r="A98">
        <v>97</v>
      </c>
      <c r="B98" s="1" t="s">
        <v>54</v>
      </c>
      <c r="C98" s="2" t="s">
        <v>271</v>
      </c>
      <c r="D98" t="s">
        <v>84</v>
      </c>
      <c r="E98" t="s">
        <v>391</v>
      </c>
      <c r="F98" t="s">
        <v>192</v>
      </c>
      <c r="G98" t="s">
        <v>1172</v>
      </c>
      <c r="J98" t="str">
        <f t="shared" si="1"/>
        <v>segmented videos list</v>
      </c>
    </row>
    <row r="99" spans="1:10" ht="19">
      <c r="A99">
        <v>98</v>
      </c>
      <c r="B99" s="1" t="s">
        <v>55</v>
      </c>
      <c r="C99" s="2" t="s">
        <v>271</v>
      </c>
      <c r="D99" t="s">
        <v>84</v>
      </c>
      <c r="E99" t="s">
        <v>391</v>
      </c>
      <c r="F99" t="s">
        <v>201</v>
      </c>
      <c r="G99" t="s">
        <v>1173</v>
      </c>
      <c r="J99" t="str">
        <f t="shared" si="1"/>
        <v>segmented videos list</v>
      </c>
    </row>
    <row r="100" spans="1:10" ht="19" hidden="1">
      <c r="A100">
        <v>99</v>
      </c>
      <c r="B100" s="1" t="s">
        <v>252</v>
      </c>
      <c r="C100" s="2" t="s">
        <v>274</v>
      </c>
      <c r="D100" t="s">
        <v>84</v>
      </c>
      <c r="E100" t="s">
        <v>391</v>
      </c>
      <c r="F100" t="s">
        <v>192</v>
      </c>
      <c r="G100" t="s">
        <v>1174</v>
      </c>
      <c r="J100" t="str">
        <f t="shared" si="1"/>
        <v>segmented videos list</v>
      </c>
    </row>
    <row r="101" spans="1:10" ht="19" hidden="1">
      <c r="A101">
        <v>100</v>
      </c>
      <c r="B101" s="1" t="s">
        <v>56</v>
      </c>
      <c r="C101" s="2" t="s">
        <v>271</v>
      </c>
      <c r="D101" t="s">
        <v>84</v>
      </c>
      <c r="E101" t="s">
        <v>391</v>
      </c>
      <c r="F101" t="s">
        <v>192</v>
      </c>
      <c r="G101" t="s">
        <v>1175</v>
      </c>
      <c r="J101" t="str">
        <f t="shared" si="1"/>
        <v>segmented videos list</v>
      </c>
    </row>
    <row r="102" spans="1:10" ht="19" hidden="1">
      <c r="A102">
        <v>101</v>
      </c>
      <c r="B102" s="1" t="s">
        <v>253</v>
      </c>
      <c r="C102" s="2" t="s">
        <v>267</v>
      </c>
      <c r="D102" t="s">
        <v>84</v>
      </c>
      <c r="E102" t="s">
        <v>391</v>
      </c>
      <c r="F102" t="s">
        <v>192</v>
      </c>
      <c r="G102" t="s">
        <v>1176</v>
      </c>
      <c r="J102" t="str">
        <f t="shared" si="1"/>
        <v>segmented videos list</v>
      </c>
    </row>
    <row r="103" spans="1:10" ht="19" hidden="1">
      <c r="A103">
        <v>102</v>
      </c>
      <c r="B103" s="1" t="s">
        <v>57</v>
      </c>
      <c r="C103" s="2" t="s">
        <v>271</v>
      </c>
      <c r="D103" t="s">
        <v>84</v>
      </c>
      <c r="E103" t="s">
        <v>391</v>
      </c>
      <c r="F103" t="s">
        <v>192</v>
      </c>
      <c r="G103" t="s">
        <v>1177</v>
      </c>
      <c r="J103" t="str">
        <f t="shared" si="1"/>
        <v>segmented videos list</v>
      </c>
    </row>
    <row r="104" spans="1:10" ht="19">
      <c r="A104">
        <v>103</v>
      </c>
      <c r="B104" s="1" t="s">
        <v>58</v>
      </c>
      <c r="C104" s="2" t="s">
        <v>271</v>
      </c>
      <c r="D104" t="s">
        <v>85</v>
      </c>
      <c r="E104" t="s">
        <v>391</v>
      </c>
      <c r="F104" t="s">
        <v>201</v>
      </c>
      <c r="G104" t="s">
        <v>1178</v>
      </c>
      <c r="J104" t="str">
        <f t="shared" si="1"/>
        <v>segmented videos list</v>
      </c>
    </row>
    <row r="105" spans="1:10" ht="19">
      <c r="A105">
        <v>104</v>
      </c>
      <c r="B105" s="1" t="s">
        <v>254</v>
      </c>
      <c r="C105" s="2" t="s">
        <v>269</v>
      </c>
      <c r="D105" t="s">
        <v>84</v>
      </c>
      <c r="E105" t="s">
        <v>391</v>
      </c>
      <c r="F105" t="s">
        <v>201</v>
      </c>
      <c r="G105" t="s">
        <v>1179</v>
      </c>
      <c r="J105" t="str">
        <f t="shared" si="1"/>
        <v>segmented videos list</v>
      </c>
    </row>
    <row r="106" spans="1:10" ht="19">
      <c r="A106">
        <v>105</v>
      </c>
      <c r="B106" s="1" t="s">
        <v>255</v>
      </c>
      <c r="C106" s="2" t="s">
        <v>269</v>
      </c>
      <c r="D106" t="s">
        <v>84</v>
      </c>
      <c r="E106" t="s">
        <v>391</v>
      </c>
      <c r="F106" t="s">
        <v>201</v>
      </c>
      <c r="G106" t="s">
        <v>1180</v>
      </c>
      <c r="J106" t="str">
        <f t="shared" si="1"/>
        <v>segmented videos list</v>
      </c>
    </row>
    <row r="107" spans="1:10" ht="19" hidden="1">
      <c r="A107">
        <v>106</v>
      </c>
      <c r="B107" s="1" t="s">
        <v>256</v>
      </c>
      <c r="C107" s="2" t="s">
        <v>269</v>
      </c>
      <c r="D107" t="s">
        <v>84</v>
      </c>
      <c r="E107" t="s">
        <v>391</v>
      </c>
      <c r="J107" t="str">
        <f t="shared" si="1"/>
        <v>no</v>
      </c>
    </row>
    <row r="108" spans="1:10" ht="19" hidden="1">
      <c r="A108">
        <v>107</v>
      </c>
      <c r="B108" s="1" t="s">
        <v>257</v>
      </c>
      <c r="C108" s="2" t="s">
        <v>274</v>
      </c>
      <c r="D108" t="s">
        <v>84</v>
      </c>
      <c r="E108" t="s">
        <v>391</v>
      </c>
      <c r="F108" t="s">
        <v>192</v>
      </c>
      <c r="G108" t="s">
        <v>1181</v>
      </c>
      <c r="J108" t="str">
        <f t="shared" si="1"/>
        <v>segmented videos list</v>
      </c>
    </row>
    <row r="109" spans="1:10" ht="19" hidden="1">
      <c r="A109">
        <v>108</v>
      </c>
      <c r="B109" s="1" t="s">
        <v>258</v>
      </c>
      <c r="C109" s="2" t="s">
        <v>267</v>
      </c>
      <c r="D109" t="s">
        <v>84</v>
      </c>
      <c r="E109" t="s">
        <v>391</v>
      </c>
      <c r="J109" t="str">
        <f t="shared" si="1"/>
        <v>no</v>
      </c>
    </row>
    <row r="110" spans="1:10" ht="19" hidden="1">
      <c r="A110">
        <v>109</v>
      </c>
      <c r="B110" s="1" t="s">
        <v>259</v>
      </c>
      <c r="C110" s="2" t="s">
        <v>274</v>
      </c>
      <c r="D110" t="s">
        <v>84</v>
      </c>
      <c r="E110" t="s">
        <v>391</v>
      </c>
      <c r="J110" t="str">
        <f t="shared" si="1"/>
        <v>no</v>
      </c>
    </row>
    <row r="111" spans="1:10" ht="19" hidden="1">
      <c r="A111">
        <v>110</v>
      </c>
      <c r="B111" s="1" t="s">
        <v>260</v>
      </c>
      <c r="C111" s="2" t="s">
        <v>269</v>
      </c>
      <c r="D111" t="s">
        <v>84</v>
      </c>
      <c r="E111" t="s">
        <v>391</v>
      </c>
      <c r="J111" t="str">
        <f t="shared" si="1"/>
        <v>no</v>
      </c>
    </row>
    <row r="112" spans="1:10" ht="19" hidden="1">
      <c r="A112">
        <v>111</v>
      </c>
      <c r="B112" s="1" t="s">
        <v>261</v>
      </c>
      <c r="C112" s="2" t="s">
        <v>274</v>
      </c>
      <c r="D112" t="s">
        <v>84</v>
      </c>
      <c r="E112" t="s">
        <v>391</v>
      </c>
      <c r="J112" t="str">
        <f t="shared" si="1"/>
        <v>no</v>
      </c>
    </row>
    <row r="113" spans="1:10" ht="19" hidden="1">
      <c r="A113">
        <v>112</v>
      </c>
      <c r="B113" s="1" t="s">
        <v>262</v>
      </c>
      <c r="C113" s="2" t="s">
        <v>269</v>
      </c>
      <c r="D113" t="s">
        <v>84</v>
      </c>
      <c r="E113" t="s">
        <v>391</v>
      </c>
      <c r="J113" t="str">
        <f t="shared" si="1"/>
        <v>no</v>
      </c>
    </row>
    <row r="114" spans="1:10" ht="19" hidden="1">
      <c r="A114">
        <v>113</v>
      </c>
      <c r="B114" s="1" t="s">
        <v>263</v>
      </c>
      <c r="C114" s="2" t="s">
        <v>269</v>
      </c>
      <c r="D114" t="s">
        <v>84</v>
      </c>
      <c r="E114" t="s">
        <v>391</v>
      </c>
      <c r="J114" t="str">
        <f t="shared" si="1"/>
        <v>no</v>
      </c>
    </row>
    <row r="115" spans="1:10" ht="19" hidden="1">
      <c r="A115">
        <v>114</v>
      </c>
      <c r="B115" s="1" t="s">
        <v>264</v>
      </c>
      <c r="C115" s="2" t="s">
        <v>267</v>
      </c>
      <c r="D115" t="s">
        <v>85</v>
      </c>
      <c r="E115" t="s">
        <v>391</v>
      </c>
      <c r="F115" t="s">
        <v>192</v>
      </c>
      <c r="G115" t="s">
        <v>1182</v>
      </c>
      <c r="J115" t="str">
        <f t="shared" si="1"/>
        <v>segmented videos list</v>
      </c>
    </row>
    <row r="116" spans="1:10" ht="19">
      <c r="A116">
        <v>115</v>
      </c>
      <c r="B116" s="1" t="s">
        <v>59</v>
      </c>
      <c r="C116" s="2" t="s">
        <v>271</v>
      </c>
      <c r="D116" t="s">
        <v>85</v>
      </c>
      <c r="E116" t="s">
        <v>391</v>
      </c>
      <c r="F116" t="s">
        <v>201</v>
      </c>
      <c r="G116" t="s">
        <v>1183</v>
      </c>
      <c r="J116" t="str">
        <f t="shared" si="1"/>
        <v>segmented videos list</v>
      </c>
    </row>
    <row r="117" spans="1:10" ht="19" hidden="1">
      <c r="A117">
        <v>116</v>
      </c>
      <c r="B117" s="1" t="s">
        <v>60</v>
      </c>
      <c r="C117" s="2" t="s">
        <v>271</v>
      </c>
      <c r="D117" t="s">
        <v>84</v>
      </c>
      <c r="E117" t="s">
        <v>391</v>
      </c>
      <c r="F117" t="s">
        <v>192</v>
      </c>
      <c r="G117" t="s">
        <v>1184</v>
      </c>
      <c r="J117" t="str">
        <f t="shared" si="1"/>
        <v>segmented videos list</v>
      </c>
    </row>
    <row r="118" spans="1:10" ht="19" hidden="1">
      <c r="A118">
        <v>117</v>
      </c>
      <c r="B118" s="1" t="s">
        <v>265</v>
      </c>
      <c r="C118" s="2" t="s">
        <v>267</v>
      </c>
      <c r="D118" t="s">
        <v>84</v>
      </c>
      <c r="E118" t="s">
        <v>391</v>
      </c>
      <c r="F118" t="s">
        <v>192</v>
      </c>
      <c r="G118" t="s">
        <v>1185</v>
      </c>
      <c r="J118" t="str">
        <f t="shared" si="1"/>
        <v>segmented videos list</v>
      </c>
    </row>
    <row r="119" spans="1:10" ht="19">
      <c r="A119">
        <v>118</v>
      </c>
      <c r="B119" s="1" t="s">
        <v>61</v>
      </c>
      <c r="C119" s="2" t="s">
        <v>271</v>
      </c>
      <c r="D119" t="s">
        <v>85</v>
      </c>
      <c r="E119" t="s">
        <v>391</v>
      </c>
      <c r="F119" t="s">
        <v>201</v>
      </c>
      <c r="G119" t="s">
        <v>1186</v>
      </c>
      <c r="J119" t="str">
        <f t="shared" si="1"/>
        <v>segmented videos list</v>
      </c>
    </row>
    <row r="120" spans="1:10" ht="19" hidden="1">
      <c r="A120">
        <v>119</v>
      </c>
      <c r="B120" s="1" t="s">
        <v>266</v>
      </c>
      <c r="C120" s="2" t="s">
        <v>269</v>
      </c>
      <c r="D120" t="s">
        <v>84</v>
      </c>
      <c r="E120" t="s">
        <v>391</v>
      </c>
      <c r="F120" t="s">
        <v>192</v>
      </c>
      <c r="G120" t="s">
        <v>1187</v>
      </c>
      <c r="J120" t="str">
        <f t="shared" si="1"/>
        <v>segmented videos list</v>
      </c>
    </row>
    <row r="121" spans="1:10" ht="19" hidden="1">
      <c r="A121">
        <v>120</v>
      </c>
      <c r="B121" s="1" t="s">
        <v>62</v>
      </c>
      <c r="C121" s="2" t="s">
        <v>271</v>
      </c>
      <c r="D121" t="s">
        <v>84</v>
      </c>
      <c r="E121" t="s">
        <v>391</v>
      </c>
      <c r="F121" t="s">
        <v>192</v>
      </c>
      <c r="G121" t="s">
        <v>1188</v>
      </c>
      <c r="J121" t="str">
        <f t="shared" si="1"/>
        <v>segmented videos list</v>
      </c>
    </row>
    <row r="122" spans="1:10" ht="19">
      <c r="A122">
        <v>121</v>
      </c>
      <c r="B122" s="1" t="s">
        <v>63</v>
      </c>
      <c r="C122" s="2" t="s">
        <v>271</v>
      </c>
      <c r="D122" t="s">
        <v>84</v>
      </c>
      <c r="E122" t="s">
        <v>391</v>
      </c>
      <c r="F122" t="s">
        <v>201</v>
      </c>
      <c r="G122" t="s">
        <v>1189</v>
      </c>
      <c r="J122" t="str">
        <f t="shared" si="1"/>
        <v>segmented videos list</v>
      </c>
    </row>
    <row r="123" spans="1:10" ht="19" hidden="1">
      <c r="A123">
        <v>122</v>
      </c>
      <c r="B123" s="1" t="s">
        <v>64</v>
      </c>
      <c r="C123" s="2" t="s">
        <v>271</v>
      </c>
      <c r="D123" t="s">
        <v>84</v>
      </c>
      <c r="E123" t="s">
        <v>391</v>
      </c>
      <c r="J123" t="str">
        <f t="shared" si="1"/>
        <v>no</v>
      </c>
    </row>
    <row r="124" spans="1:10" ht="19" hidden="1">
      <c r="A124">
        <v>123</v>
      </c>
      <c r="B124" s="1" t="s">
        <v>65</v>
      </c>
      <c r="C124" s="2" t="s">
        <v>271</v>
      </c>
      <c r="D124" t="s">
        <v>84</v>
      </c>
      <c r="E124" t="s">
        <v>391</v>
      </c>
      <c r="J124" t="str">
        <f t="shared" si="1"/>
        <v>no</v>
      </c>
    </row>
    <row r="125" spans="1:10" ht="19" hidden="1">
      <c r="A125">
        <v>124</v>
      </c>
      <c r="B125" s="1" t="s">
        <v>66</v>
      </c>
      <c r="C125" s="2" t="s">
        <v>271</v>
      </c>
      <c r="D125" t="s">
        <v>84</v>
      </c>
      <c r="E125" t="s">
        <v>391</v>
      </c>
      <c r="J125" t="str">
        <f t="shared" si="1"/>
        <v>no</v>
      </c>
    </row>
    <row r="126" spans="1:10" ht="19" hidden="1">
      <c r="A126">
        <v>125</v>
      </c>
      <c r="B126" s="1" t="s">
        <v>67</v>
      </c>
      <c r="C126" s="2" t="s">
        <v>271</v>
      </c>
      <c r="D126" t="s">
        <v>84</v>
      </c>
      <c r="E126" t="s">
        <v>391</v>
      </c>
      <c r="J126" t="str">
        <f t="shared" si="1"/>
        <v>no</v>
      </c>
    </row>
    <row r="127" spans="1:10" ht="19" hidden="1">
      <c r="A127">
        <v>126</v>
      </c>
      <c r="B127" s="1" t="s">
        <v>68</v>
      </c>
      <c r="C127" s="2" t="s">
        <v>271</v>
      </c>
      <c r="D127" t="s">
        <v>84</v>
      </c>
      <c r="E127" t="s">
        <v>391</v>
      </c>
      <c r="J127" t="str">
        <f t="shared" si="1"/>
        <v>no</v>
      </c>
    </row>
    <row r="128" spans="1:10" ht="19" hidden="1">
      <c r="A128">
        <v>127</v>
      </c>
      <c r="B128" s="1" t="s">
        <v>69</v>
      </c>
      <c r="C128" s="2" t="s">
        <v>271</v>
      </c>
      <c r="D128" t="s">
        <v>84</v>
      </c>
      <c r="E128" t="s">
        <v>391</v>
      </c>
      <c r="J128" t="str">
        <f t="shared" si="1"/>
        <v>no</v>
      </c>
    </row>
    <row r="129" spans="1:10" ht="19" hidden="1">
      <c r="A129">
        <v>128</v>
      </c>
      <c r="B129" s="1" t="s">
        <v>70</v>
      </c>
      <c r="C129" s="2" t="s">
        <v>271</v>
      </c>
      <c r="D129" t="s">
        <v>84</v>
      </c>
      <c r="E129" t="s">
        <v>391</v>
      </c>
      <c r="J129" t="str">
        <f t="shared" si="1"/>
        <v>no</v>
      </c>
    </row>
    <row r="130" spans="1:10" ht="19" hidden="1">
      <c r="A130">
        <v>129</v>
      </c>
      <c r="B130" s="1" t="s">
        <v>71</v>
      </c>
      <c r="C130" s="2" t="s">
        <v>271</v>
      </c>
      <c r="D130" t="s">
        <v>84</v>
      </c>
      <c r="E130" t="s">
        <v>391</v>
      </c>
      <c r="J130" t="str">
        <f t="shared" si="1"/>
        <v>no</v>
      </c>
    </row>
    <row r="131" spans="1:10" ht="19" hidden="1">
      <c r="A131">
        <v>130</v>
      </c>
      <c r="B131" s="1" t="s">
        <v>72</v>
      </c>
      <c r="C131" s="2" t="s">
        <v>271</v>
      </c>
      <c r="D131" t="s">
        <v>84</v>
      </c>
      <c r="E131" t="s">
        <v>391</v>
      </c>
      <c r="J131" t="str">
        <f t="shared" ref="J131:J142" si="2">IF(COUNTIF(K:K, B131)&gt;0,$K$1,"no")</f>
        <v>no</v>
      </c>
    </row>
    <row r="132" spans="1:10" ht="19" hidden="1">
      <c r="A132">
        <v>131</v>
      </c>
      <c r="B132" s="1" t="s">
        <v>73</v>
      </c>
      <c r="C132" s="2" t="s">
        <v>271</v>
      </c>
      <c r="D132" t="s">
        <v>84</v>
      </c>
      <c r="E132" t="s">
        <v>391</v>
      </c>
      <c r="J132" t="str">
        <f t="shared" si="2"/>
        <v>no</v>
      </c>
    </row>
    <row r="133" spans="1:10" ht="19" hidden="1">
      <c r="A133">
        <v>132</v>
      </c>
      <c r="B133" s="1" t="s">
        <v>74</v>
      </c>
      <c r="C133" s="2" t="s">
        <v>271</v>
      </c>
      <c r="D133" t="s">
        <v>84</v>
      </c>
      <c r="E133" t="s">
        <v>391</v>
      </c>
      <c r="J133" t="str">
        <f t="shared" si="2"/>
        <v>no</v>
      </c>
    </row>
    <row r="134" spans="1:10" ht="19" hidden="1">
      <c r="A134">
        <v>133</v>
      </c>
      <c r="B134" s="1" t="s">
        <v>75</v>
      </c>
      <c r="C134" s="2" t="s">
        <v>271</v>
      </c>
      <c r="D134" t="s">
        <v>84</v>
      </c>
      <c r="E134" t="s">
        <v>391</v>
      </c>
      <c r="J134" t="str">
        <f t="shared" si="2"/>
        <v>no</v>
      </c>
    </row>
    <row r="135" spans="1:10" ht="19" hidden="1">
      <c r="A135">
        <v>134</v>
      </c>
      <c r="B135" s="1" t="s">
        <v>76</v>
      </c>
      <c r="C135" s="2" t="s">
        <v>271</v>
      </c>
      <c r="D135" t="s">
        <v>84</v>
      </c>
      <c r="E135" t="s">
        <v>391</v>
      </c>
      <c r="J135" t="str">
        <f t="shared" si="2"/>
        <v>no</v>
      </c>
    </row>
    <row r="136" spans="1:10" ht="19" hidden="1">
      <c r="A136">
        <v>135</v>
      </c>
      <c r="B136" s="1" t="s">
        <v>77</v>
      </c>
      <c r="C136" s="2" t="s">
        <v>271</v>
      </c>
      <c r="D136" t="s">
        <v>84</v>
      </c>
      <c r="E136" t="s">
        <v>391</v>
      </c>
      <c r="J136" t="str">
        <f t="shared" si="2"/>
        <v>no</v>
      </c>
    </row>
    <row r="137" spans="1:10" ht="19" hidden="1">
      <c r="A137">
        <v>136</v>
      </c>
      <c r="B137" s="1" t="s">
        <v>78</v>
      </c>
      <c r="C137" s="2" t="s">
        <v>271</v>
      </c>
      <c r="D137" t="s">
        <v>84</v>
      </c>
      <c r="E137" t="s">
        <v>391</v>
      </c>
      <c r="J137" t="str">
        <f t="shared" si="2"/>
        <v>no</v>
      </c>
    </row>
    <row r="138" spans="1:10" ht="19" hidden="1">
      <c r="A138">
        <v>137</v>
      </c>
      <c r="B138" s="1" t="s">
        <v>79</v>
      </c>
      <c r="C138" s="2" t="s">
        <v>271</v>
      </c>
      <c r="D138" t="s">
        <v>84</v>
      </c>
      <c r="E138" t="s">
        <v>391</v>
      </c>
      <c r="J138" t="str">
        <f t="shared" si="2"/>
        <v>no</v>
      </c>
    </row>
    <row r="139" spans="1:10" ht="19" hidden="1">
      <c r="A139">
        <v>138</v>
      </c>
      <c r="B139" s="1" t="s">
        <v>80</v>
      </c>
      <c r="C139" s="2" t="s">
        <v>271</v>
      </c>
      <c r="D139" t="s">
        <v>84</v>
      </c>
      <c r="E139" t="s">
        <v>391</v>
      </c>
      <c r="J139" t="str">
        <f t="shared" si="2"/>
        <v>no</v>
      </c>
    </row>
    <row r="140" spans="1:10" ht="19" hidden="1">
      <c r="A140">
        <v>139</v>
      </c>
      <c r="B140" s="1" t="s">
        <v>81</v>
      </c>
      <c r="C140" s="2" t="s">
        <v>271</v>
      </c>
      <c r="D140" t="s">
        <v>84</v>
      </c>
      <c r="E140" t="s">
        <v>391</v>
      </c>
      <c r="J140" t="str">
        <f t="shared" si="2"/>
        <v>no</v>
      </c>
    </row>
    <row r="141" spans="1:10" ht="19" hidden="1">
      <c r="A141">
        <v>140</v>
      </c>
      <c r="B141" s="1" t="s">
        <v>82</v>
      </c>
      <c r="C141" s="2" t="s">
        <v>271</v>
      </c>
      <c r="D141" t="s">
        <v>84</v>
      </c>
      <c r="E141" t="s">
        <v>391</v>
      </c>
      <c r="J141" t="str">
        <f t="shared" si="2"/>
        <v>no</v>
      </c>
    </row>
    <row r="142" spans="1:10" ht="19" hidden="1">
      <c r="A142">
        <v>141</v>
      </c>
      <c r="B142" s="1" t="s">
        <v>83</v>
      </c>
      <c r="C142" s="2" t="s">
        <v>271</v>
      </c>
      <c r="D142" t="s">
        <v>84</v>
      </c>
      <c r="E142" t="s">
        <v>391</v>
      </c>
      <c r="J142" t="str">
        <f t="shared" si="2"/>
        <v>no</v>
      </c>
    </row>
    <row r="143" spans="1:10" ht="19">
      <c r="B143" s="1"/>
    </row>
    <row r="144" spans="1:10" ht="19">
      <c r="B144" s="1"/>
    </row>
  </sheetData>
  <autoFilter ref="A1:K142" xr:uid="{CDC925AE-7FF0-3244-95F6-37B0F343D4FE}">
    <filterColumn colId="5">
      <filters>
        <filter val="No"/>
      </filters>
    </filterColumn>
    <filterColumn colId="9">
      <filters>
        <filter val="segmented videos list"/>
      </filters>
    </filterColumn>
  </autoFilter>
  <phoneticPr fontId="1" type="noConversion"/>
  <conditionalFormatting sqref="E1:E1048576">
    <cfRule type="cellIs" dxfId="47" priority="2" operator="equal">
      <formula>"no"</formula>
    </cfRule>
    <cfRule type="cellIs" dxfId="46" priority="3" operator="equal">
      <formula>"yes"</formula>
    </cfRule>
  </conditionalFormatting>
  <conditionalFormatting sqref="F2:F142">
    <cfRule type="expression" dxfId="45" priority="1">
      <formula>F2&lt;&gt;E2</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925AE-7FF0-3244-95F6-37B0F343D4FE}">
  <sheetPr codeName="工作表6"/>
  <dimension ref="A1:K144"/>
  <sheetViews>
    <sheetView zoomScaleNormal="100" workbookViewId="0">
      <pane ySplit="1" topLeftCell="A2" activePane="bottomLeft" state="frozen"/>
      <selection pane="bottomLeft" activeCell="K1" sqref="K1:K1048576"/>
    </sheetView>
  </sheetViews>
  <sheetFormatPr baseColWidth="10" defaultRowHeight="15"/>
  <cols>
    <col min="2" max="2" width="12.5" customWidth="1"/>
    <col min="3" max="3" width="4.83203125" style="2" customWidth="1"/>
    <col min="5" max="5" width="11.33203125" customWidth="1"/>
    <col min="6" max="8" width="13.1640625" customWidth="1"/>
    <col min="9" max="9" width="63.1640625" customWidth="1"/>
    <col min="10" max="10" width="14.33203125" customWidth="1"/>
  </cols>
  <sheetData>
    <row r="1" spans="1:11">
      <c r="A1" t="s">
        <v>88</v>
      </c>
      <c r="B1" t="s">
        <v>0</v>
      </c>
      <c r="C1" s="2" t="s">
        <v>202</v>
      </c>
      <c r="D1" t="s">
        <v>6</v>
      </c>
      <c r="E1" t="s">
        <v>1</v>
      </c>
      <c r="F1" t="s">
        <v>4</v>
      </c>
      <c r="G1" t="s">
        <v>2</v>
      </c>
      <c r="H1" t="s">
        <v>5</v>
      </c>
      <c r="I1" t="s">
        <v>3</v>
      </c>
      <c r="J1" t="s">
        <v>1067</v>
      </c>
      <c r="K1" t="s">
        <v>1105</v>
      </c>
    </row>
    <row r="2" spans="1:11" ht="19">
      <c r="A2">
        <v>1</v>
      </c>
      <c r="B2" s="1" t="s">
        <v>7</v>
      </c>
      <c r="C2" s="2" t="s">
        <v>271</v>
      </c>
      <c r="D2" t="s">
        <v>84</v>
      </c>
      <c r="E2" t="s">
        <v>391</v>
      </c>
      <c r="F2" t="s">
        <v>192</v>
      </c>
      <c r="G2" t="s">
        <v>1068</v>
      </c>
      <c r="J2" t="str">
        <f>IF(COUNTIF(K:K, B2)&gt;0,$K$1,"no")</f>
        <v>segmented videos list</v>
      </c>
      <c r="K2" s="1" t="s">
        <v>7</v>
      </c>
    </row>
    <row r="3" spans="1:11" ht="19">
      <c r="A3">
        <v>2</v>
      </c>
      <c r="B3" s="1" t="s">
        <v>8</v>
      </c>
      <c r="C3" s="2" t="s">
        <v>271</v>
      </c>
      <c r="D3" t="s">
        <v>86</v>
      </c>
      <c r="E3" t="s">
        <v>391</v>
      </c>
      <c r="F3" t="s">
        <v>192</v>
      </c>
      <c r="G3" t="s">
        <v>1069</v>
      </c>
      <c r="J3" t="str">
        <f t="shared" ref="J3:J66" si="0">IF(COUNTIF(K:K, B3)&gt;0,$K$1,"no")</f>
        <v>segmented videos list</v>
      </c>
      <c r="K3" s="1" t="s">
        <v>8</v>
      </c>
    </row>
    <row r="4" spans="1:11" ht="19">
      <c r="A4">
        <v>3</v>
      </c>
      <c r="B4" s="1" t="s">
        <v>9</v>
      </c>
      <c r="C4" s="2" t="s">
        <v>271</v>
      </c>
      <c r="D4" t="s">
        <v>84</v>
      </c>
      <c r="E4" t="s">
        <v>391</v>
      </c>
      <c r="F4" t="s">
        <v>192</v>
      </c>
      <c r="G4" t="s">
        <v>1070</v>
      </c>
      <c r="J4" t="str">
        <f t="shared" si="0"/>
        <v>segmented videos list</v>
      </c>
      <c r="K4" s="1" t="s">
        <v>9</v>
      </c>
    </row>
    <row r="5" spans="1:11" ht="19">
      <c r="A5">
        <v>4</v>
      </c>
      <c r="B5" s="1" t="s">
        <v>10</v>
      </c>
      <c r="C5" s="2" t="s">
        <v>271</v>
      </c>
      <c r="D5" t="s">
        <v>85</v>
      </c>
      <c r="E5" t="s">
        <v>391</v>
      </c>
      <c r="F5" t="s">
        <v>201</v>
      </c>
      <c r="G5" t="s">
        <v>1071</v>
      </c>
      <c r="J5" t="str">
        <f t="shared" si="0"/>
        <v>segmented videos list</v>
      </c>
      <c r="K5" s="1" t="s">
        <v>10</v>
      </c>
    </row>
    <row r="6" spans="1:11" ht="19">
      <c r="A6">
        <v>5</v>
      </c>
      <c r="B6" s="1" t="s">
        <v>203</v>
      </c>
      <c r="C6" s="2" t="s">
        <v>267</v>
      </c>
      <c r="D6" t="s">
        <v>85</v>
      </c>
      <c r="E6" t="s">
        <v>391</v>
      </c>
      <c r="F6" t="s">
        <v>201</v>
      </c>
      <c r="G6" t="s">
        <v>1072</v>
      </c>
      <c r="J6" t="str">
        <f t="shared" si="0"/>
        <v>segmented videos list</v>
      </c>
      <c r="K6" s="1" t="s">
        <v>203</v>
      </c>
    </row>
    <row r="7" spans="1:11" ht="19">
      <c r="A7">
        <v>6</v>
      </c>
      <c r="B7" s="1" t="s">
        <v>11</v>
      </c>
      <c r="C7" s="2" t="s">
        <v>271</v>
      </c>
      <c r="D7" t="s">
        <v>85</v>
      </c>
      <c r="E7" t="s">
        <v>391</v>
      </c>
      <c r="F7" t="s">
        <v>201</v>
      </c>
      <c r="G7" t="s">
        <v>1071</v>
      </c>
      <c r="J7" t="str">
        <f t="shared" si="0"/>
        <v>segmented videos list</v>
      </c>
      <c r="K7" s="1" t="s">
        <v>11</v>
      </c>
    </row>
    <row r="8" spans="1:11" ht="19">
      <c r="A8">
        <v>7</v>
      </c>
      <c r="B8" s="1" t="s">
        <v>12</v>
      </c>
      <c r="C8" s="2" t="s">
        <v>271</v>
      </c>
      <c r="D8" t="s">
        <v>86</v>
      </c>
      <c r="E8" t="s">
        <v>391</v>
      </c>
      <c r="J8" t="str">
        <f t="shared" si="0"/>
        <v>no</v>
      </c>
      <c r="K8" s="1" t="s">
        <v>204</v>
      </c>
    </row>
    <row r="9" spans="1:11" ht="19">
      <c r="A9">
        <v>8</v>
      </c>
      <c r="B9" s="1" t="s">
        <v>204</v>
      </c>
      <c r="C9" s="2" t="s">
        <v>271</v>
      </c>
      <c r="D9" t="s">
        <v>85</v>
      </c>
      <c r="E9" t="s">
        <v>391</v>
      </c>
      <c r="F9" t="s">
        <v>201</v>
      </c>
      <c r="G9" t="s">
        <v>1073</v>
      </c>
      <c r="J9" t="str">
        <f t="shared" si="0"/>
        <v>segmented videos list</v>
      </c>
      <c r="K9" s="1" t="s">
        <v>13</v>
      </c>
    </row>
    <row r="10" spans="1:11" ht="19">
      <c r="A10">
        <v>9</v>
      </c>
      <c r="B10" s="1" t="s">
        <v>13</v>
      </c>
      <c r="C10" s="2" t="s">
        <v>271</v>
      </c>
      <c r="D10" t="s">
        <v>85</v>
      </c>
      <c r="E10" t="s">
        <v>391</v>
      </c>
      <c r="F10" t="s">
        <v>201</v>
      </c>
      <c r="G10" t="s">
        <v>1071</v>
      </c>
      <c r="J10" t="str">
        <f t="shared" si="0"/>
        <v>segmented videos list</v>
      </c>
      <c r="K10" s="1" t="s">
        <v>14</v>
      </c>
    </row>
    <row r="11" spans="1:11" ht="19">
      <c r="A11">
        <v>10</v>
      </c>
      <c r="B11" s="1" t="s">
        <v>14</v>
      </c>
      <c r="C11" s="2" t="s">
        <v>271</v>
      </c>
      <c r="D11" t="s">
        <v>84</v>
      </c>
      <c r="E11" t="s">
        <v>391</v>
      </c>
      <c r="F11" t="s">
        <v>201</v>
      </c>
      <c r="G11" t="s">
        <v>1073</v>
      </c>
      <c r="J11" t="str">
        <f t="shared" si="0"/>
        <v>segmented videos list</v>
      </c>
      <c r="K11" s="1" t="s">
        <v>208</v>
      </c>
    </row>
    <row r="12" spans="1:11" ht="19">
      <c r="A12">
        <v>11</v>
      </c>
      <c r="B12" s="1" t="s">
        <v>205</v>
      </c>
      <c r="C12" s="2" t="s">
        <v>269</v>
      </c>
      <c r="D12" t="s">
        <v>84</v>
      </c>
      <c r="E12" t="s">
        <v>391</v>
      </c>
      <c r="J12" t="str">
        <f t="shared" si="0"/>
        <v>no</v>
      </c>
      <c r="K12" s="1" t="s">
        <v>19</v>
      </c>
    </row>
    <row r="13" spans="1:11" ht="19">
      <c r="A13">
        <v>12</v>
      </c>
      <c r="B13" s="1" t="s">
        <v>206</v>
      </c>
      <c r="C13" s="2" t="s">
        <v>267</v>
      </c>
      <c r="D13" t="s">
        <v>84</v>
      </c>
      <c r="E13" t="s">
        <v>391</v>
      </c>
      <c r="J13" t="str">
        <f t="shared" si="0"/>
        <v>no</v>
      </c>
      <c r="K13" s="1" t="s">
        <v>20</v>
      </c>
    </row>
    <row r="14" spans="1:11" ht="19">
      <c r="A14">
        <v>13</v>
      </c>
      <c r="B14" s="1" t="s">
        <v>15</v>
      </c>
      <c r="C14" s="2" t="s">
        <v>271</v>
      </c>
      <c r="D14" t="s">
        <v>85</v>
      </c>
      <c r="E14" t="s">
        <v>391</v>
      </c>
      <c r="J14" t="str">
        <f t="shared" si="0"/>
        <v>no</v>
      </c>
      <c r="K14" s="1" t="s">
        <v>209</v>
      </c>
    </row>
    <row r="15" spans="1:11" ht="19">
      <c r="A15">
        <v>14</v>
      </c>
      <c r="B15" s="1" t="s">
        <v>207</v>
      </c>
      <c r="C15" s="2" t="s">
        <v>267</v>
      </c>
      <c r="D15" t="s">
        <v>84</v>
      </c>
      <c r="E15" t="s">
        <v>391</v>
      </c>
      <c r="J15" t="str">
        <f t="shared" si="0"/>
        <v>no</v>
      </c>
      <c r="K15" s="1" t="s">
        <v>210</v>
      </c>
    </row>
    <row r="16" spans="1:11" ht="19">
      <c r="A16">
        <v>15</v>
      </c>
      <c r="B16" s="1" t="s">
        <v>16</v>
      </c>
      <c r="C16" s="2" t="s">
        <v>271</v>
      </c>
      <c r="D16" t="s">
        <v>84</v>
      </c>
      <c r="E16" t="s">
        <v>391</v>
      </c>
      <c r="J16" t="str">
        <f t="shared" si="0"/>
        <v>no</v>
      </c>
      <c r="K16" s="1" t="s">
        <v>211</v>
      </c>
    </row>
    <row r="17" spans="1:11" ht="19">
      <c r="A17">
        <v>16</v>
      </c>
      <c r="B17" s="1" t="s">
        <v>17</v>
      </c>
      <c r="C17" s="2" t="s">
        <v>271</v>
      </c>
      <c r="D17" t="s">
        <v>84</v>
      </c>
      <c r="E17" t="s">
        <v>391</v>
      </c>
      <c r="J17" t="str">
        <f t="shared" si="0"/>
        <v>no</v>
      </c>
      <c r="K17" s="1" t="s">
        <v>212</v>
      </c>
    </row>
    <row r="18" spans="1:11" ht="19">
      <c r="A18">
        <v>17</v>
      </c>
      <c r="B18" s="1" t="s">
        <v>18</v>
      </c>
      <c r="C18" s="2" t="s">
        <v>271</v>
      </c>
      <c r="D18" t="s">
        <v>85</v>
      </c>
      <c r="E18" t="s">
        <v>391</v>
      </c>
      <c r="J18" t="str">
        <f t="shared" si="0"/>
        <v>no</v>
      </c>
      <c r="K18" s="1" t="s">
        <v>213</v>
      </c>
    </row>
    <row r="19" spans="1:11" ht="19">
      <c r="A19">
        <v>18</v>
      </c>
      <c r="B19" s="1" t="s">
        <v>208</v>
      </c>
      <c r="C19" s="2" t="s">
        <v>267</v>
      </c>
      <c r="D19" t="s">
        <v>84</v>
      </c>
      <c r="E19" t="s">
        <v>391</v>
      </c>
      <c r="F19" t="s">
        <v>192</v>
      </c>
      <c r="G19" t="s">
        <v>1074</v>
      </c>
      <c r="J19" t="str">
        <f t="shared" si="0"/>
        <v>segmented videos list</v>
      </c>
      <c r="K19" s="1" t="s">
        <v>21</v>
      </c>
    </row>
    <row r="20" spans="1:11" ht="19">
      <c r="A20">
        <v>19</v>
      </c>
      <c r="B20" s="1" t="s">
        <v>19</v>
      </c>
      <c r="C20" s="2" t="s">
        <v>271</v>
      </c>
      <c r="D20" t="s">
        <v>84</v>
      </c>
      <c r="E20" t="s">
        <v>391</v>
      </c>
      <c r="F20" t="s">
        <v>192</v>
      </c>
      <c r="G20" t="s">
        <v>1075</v>
      </c>
      <c r="J20" t="str">
        <f t="shared" si="0"/>
        <v>segmented videos list</v>
      </c>
      <c r="K20" s="1" t="s">
        <v>22</v>
      </c>
    </row>
    <row r="21" spans="1:11" ht="19">
      <c r="A21">
        <v>20</v>
      </c>
      <c r="B21" s="1" t="s">
        <v>20</v>
      </c>
      <c r="C21" s="2" t="s">
        <v>271</v>
      </c>
      <c r="D21" t="s">
        <v>84</v>
      </c>
      <c r="E21" t="s">
        <v>391</v>
      </c>
      <c r="F21" t="s">
        <v>192</v>
      </c>
      <c r="G21" t="s">
        <v>1075</v>
      </c>
      <c r="J21" t="str">
        <f t="shared" si="0"/>
        <v>segmented videos list</v>
      </c>
      <c r="K21" s="1" t="s">
        <v>217</v>
      </c>
    </row>
    <row r="22" spans="1:11" ht="19">
      <c r="A22">
        <v>21</v>
      </c>
      <c r="B22" s="1" t="s">
        <v>209</v>
      </c>
      <c r="C22" s="2" t="s">
        <v>272</v>
      </c>
      <c r="D22" t="s">
        <v>84</v>
      </c>
      <c r="E22" t="s">
        <v>391</v>
      </c>
      <c r="F22" t="s">
        <v>192</v>
      </c>
      <c r="G22" t="s">
        <v>1075</v>
      </c>
      <c r="J22" t="str">
        <f t="shared" si="0"/>
        <v>segmented videos list</v>
      </c>
      <c r="K22" s="1" t="s">
        <v>218</v>
      </c>
    </row>
    <row r="23" spans="1:11" ht="19">
      <c r="A23">
        <v>22</v>
      </c>
      <c r="B23" s="1" t="s">
        <v>210</v>
      </c>
      <c r="C23" s="2" t="s">
        <v>267</v>
      </c>
      <c r="D23" t="s">
        <v>84</v>
      </c>
      <c r="E23" t="s">
        <v>391</v>
      </c>
      <c r="F23" t="s">
        <v>192</v>
      </c>
      <c r="G23" t="s">
        <v>1075</v>
      </c>
      <c r="J23" t="str">
        <f t="shared" si="0"/>
        <v>segmented videos list</v>
      </c>
      <c r="K23" s="1" t="s">
        <v>220</v>
      </c>
    </row>
    <row r="24" spans="1:11" ht="19">
      <c r="A24">
        <v>23</v>
      </c>
      <c r="B24" s="1" t="s">
        <v>211</v>
      </c>
      <c r="C24" s="2" t="s">
        <v>271</v>
      </c>
      <c r="D24" t="s">
        <v>87</v>
      </c>
      <c r="E24" t="s">
        <v>391</v>
      </c>
      <c r="F24" t="s">
        <v>192</v>
      </c>
      <c r="G24" t="s">
        <v>1075</v>
      </c>
      <c r="J24" t="str">
        <f t="shared" si="0"/>
        <v>segmented videos list</v>
      </c>
      <c r="K24" s="1" t="s">
        <v>221</v>
      </c>
    </row>
    <row r="25" spans="1:11" ht="19">
      <c r="A25">
        <v>24</v>
      </c>
      <c r="B25" s="1" t="s">
        <v>212</v>
      </c>
      <c r="C25" s="2" t="s">
        <v>273</v>
      </c>
      <c r="D25" t="s">
        <v>84</v>
      </c>
      <c r="E25" t="s">
        <v>391</v>
      </c>
      <c r="F25" t="s">
        <v>192</v>
      </c>
      <c r="G25" t="s">
        <v>1075</v>
      </c>
      <c r="J25" t="str">
        <f t="shared" si="0"/>
        <v>segmented videos list</v>
      </c>
      <c r="K25" s="1" t="s">
        <v>222</v>
      </c>
    </row>
    <row r="26" spans="1:11" ht="19">
      <c r="A26">
        <v>25</v>
      </c>
      <c r="B26" s="1" t="s">
        <v>213</v>
      </c>
      <c r="C26" s="2" t="s">
        <v>273</v>
      </c>
      <c r="D26" t="s">
        <v>84</v>
      </c>
      <c r="E26" t="s">
        <v>391</v>
      </c>
      <c r="F26" t="s">
        <v>192</v>
      </c>
      <c r="G26" t="s">
        <v>1068</v>
      </c>
      <c r="J26" t="str">
        <f t="shared" si="0"/>
        <v>segmented videos list</v>
      </c>
      <c r="K26" s="1" t="s">
        <v>223</v>
      </c>
    </row>
    <row r="27" spans="1:11" ht="19">
      <c r="A27">
        <v>26</v>
      </c>
      <c r="B27" s="1" t="s">
        <v>21</v>
      </c>
      <c r="C27" s="2" t="s">
        <v>271</v>
      </c>
      <c r="D27" t="s">
        <v>86</v>
      </c>
      <c r="E27" t="s">
        <v>391</v>
      </c>
      <c r="F27" t="s">
        <v>201</v>
      </c>
      <c r="G27" t="s">
        <v>1072</v>
      </c>
      <c r="J27" t="str">
        <f t="shared" si="0"/>
        <v>segmented videos list</v>
      </c>
      <c r="K27" s="1" t="s">
        <v>27</v>
      </c>
    </row>
    <row r="28" spans="1:11" ht="19">
      <c r="A28">
        <v>27</v>
      </c>
      <c r="B28" s="1" t="s">
        <v>22</v>
      </c>
      <c r="C28" s="2" t="s">
        <v>271</v>
      </c>
      <c r="D28" t="s">
        <v>85</v>
      </c>
      <c r="E28" t="s">
        <v>391</v>
      </c>
      <c r="F28" t="s">
        <v>201</v>
      </c>
      <c r="G28" t="s">
        <v>1071</v>
      </c>
      <c r="J28" t="str">
        <f t="shared" si="0"/>
        <v>segmented videos list</v>
      </c>
      <c r="K28" s="1" t="s">
        <v>224</v>
      </c>
    </row>
    <row r="29" spans="1:11" ht="19">
      <c r="A29">
        <v>28</v>
      </c>
      <c r="B29" s="1" t="s">
        <v>214</v>
      </c>
      <c r="C29" s="2" t="s">
        <v>269</v>
      </c>
      <c r="D29" t="s">
        <v>84</v>
      </c>
      <c r="E29" t="s">
        <v>391</v>
      </c>
      <c r="J29" t="str">
        <f t="shared" si="0"/>
        <v>no</v>
      </c>
      <c r="K29" s="1" t="s">
        <v>225</v>
      </c>
    </row>
    <row r="30" spans="1:11" ht="19">
      <c r="A30">
        <v>29</v>
      </c>
      <c r="B30" s="1" t="s">
        <v>23</v>
      </c>
      <c r="C30" s="2" t="s">
        <v>271</v>
      </c>
      <c r="D30" t="s">
        <v>87</v>
      </c>
      <c r="E30" t="s">
        <v>391</v>
      </c>
      <c r="J30" t="str">
        <f t="shared" si="0"/>
        <v>no</v>
      </c>
      <c r="K30" s="1" t="s">
        <v>226</v>
      </c>
    </row>
    <row r="31" spans="1:11" ht="19">
      <c r="A31">
        <v>30</v>
      </c>
      <c r="B31" s="1" t="s">
        <v>215</v>
      </c>
      <c r="C31" s="2" t="s">
        <v>269</v>
      </c>
      <c r="D31" t="s">
        <v>84</v>
      </c>
      <c r="E31" t="s">
        <v>391</v>
      </c>
      <c r="J31" t="str">
        <f t="shared" si="0"/>
        <v>no</v>
      </c>
      <c r="K31" s="1" t="s">
        <v>227</v>
      </c>
    </row>
    <row r="32" spans="1:11" ht="19">
      <c r="A32">
        <v>31</v>
      </c>
      <c r="B32" s="1" t="s">
        <v>216</v>
      </c>
      <c r="C32" s="2" t="s">
        <v>269</v>
      </c>
      <c r="D32" t="s">
        <v>84</v>
      </c>
      <c r="E32" t="s">
        <v>391</v>
      </c>
      <c r="J32" t="str">
        <f t="shared" si="0"/>
        <v>no</v>
      </c>
      <c r="K32" s="1" t="s">
        <v>228</v>
      </c>
    </row>
    <row r="33" spans="1:11" ht="19">
      <c r="A33">
        <v>32</v>
      </c>
      <c r="B33" s="1" t="s">
        <v>24</v>
      </c>
      <c r="C33" s="2" t="s">
        <v>271</v>
      </c>
      <c r="D33" t="s">
        <v>84</v>
      </c>
      <c r="E33" t="s">
        <v>391</v>
      </c>
      <c r="J33" t="str">
        <f t="shared" si="0"/>
        <v>no</v>
      </c>
      <c r="K33" s="1" t="s">
        <v>229</v>
      </c>
    </row>
    <row r="34" spans="1:11" ht="19">
      <c r="A34">
        <v>33</v>
      </c>
      <c r="B34" s="1" t="s">
        <v>25</v>
      </c>
      <c r="C34" s="2" t="s">
        <v>271</v>
      </c>
      <c r="D34" t="s">
        <v>84</v>
      </c>
      <c r="E34" t="s">
        <v>391</v>
      </c>
      <c r="J34" t="str">
        <f t="shared" si="0"/>
        <v>no</v>
      </c>
      <c r="K34" s="1" t="s">
        <v>230</v>
      </c>
    </row>
    <row r="35" spans="1:11" ht="19">
      <c r="A35">
        <v>34</v>
      </c>
      <c r="B35" s="1" t="s">
        <v>217</v>
      </c>
      <c r="C35" s="2" t="s">
        <v>267</v>
      </c>
      <c r="D35" t="s">
        <v>84</v>
      </c>
      <c r="E35" t="s">
        <v>391</v>
      </c>
      <c r="F35" t="s">
        <v>192</v>
      </c>
      <c r="G35" t="s">
        <v>1068</v>
      </c>
      <c r="J35" t="str">
        <f t="shared" si="0"/>
        <v>segmented videos list</v>
      </c>
      <c r="K35" s="1" t="s">
        <v>231</v>
      </c>
    </row>
    <row r="36" spans="1:11" ht="19">
      <c r="A36">
        <v>35</v>
      </c>
      <c r="B36" s="1" t="s">
        <v>218</v>
      </c>
      <c r="C36" s="2" t="s">
        <v>269</v>
      </c>
      <c r="D36" t="s">
        <v>84</v>
      </c>
      <c r="E36" t="s">
        <v>391</v>
      </c>
      <c r="F36" t="s">
        <v>192</v>
      </c>
      <c r="G36" t="s">
        <v>1075</v>
      </c>
      <c r="J36" t="str">
        <f t="shared" si="0"/>
        <v>segmented videos list</v>
      </c>
      <c r="K36" s="1" t="s">
        <v>232</v>
      </c>
    </row>
    <row r="37" spans="1:11" ht="19">
      <c r="A37">
        <v>36</v>
      </c>
      <c r="B37" s="1" t="s">
        <v>219</v>
      </c>
      <c r="C37" s="2" t="s">
        <v>269</v>
      </c>
      <c r="D37" t="s">
        <v>84</v>
      </c>
      <c r="E37" t="s">
        <v>391</v>
      </c>
      <c r="J37" t="str">
        <f t="shared" si="0"/>
        <v>no</v>
      </c>
      <c r="K37" s="1" t="s">
        <v>233</v>
      </c>
    </row>
    <row r="38" spans="1:11" ht="19">
      <c r="A38">
        <v>37</v>
      </c>
      <c r="B38" s="1" t="s">
        <v>220</v>
      </c>
      <c r="C38" s="2" t="s">
        <v>269</v>
      </c>
      <c r="D38" t="s">
        <v>84</v>
      </c>
      <c r="E38" t="s">
        <v>391</v>
      </c>
      <c r="F38" t="s">
        <v>192</v>
      </c>
      <c r="G38" t="s">
        <v>1075</v>
      </c>
      <c r="J38" t="str">
        <f t="shared" si="0"/>
        <v>segmented videos list</v>
      </c>
      <c r="K38" s="1" t="s">
        <v>234</v>
      </c>
    </row>
    <row r="39" spans="1:11" ht="19">
      <c r="A39">
        <v>38</v>
      </c>
      <c r="B39" s="1" t="s">
        <v>221</v>
      </c>
      <c r="C39" s="2" t="s">
        <v>269</v>
      </c>
      <c r="D39" t="s">
        <v>84</v>
      </c>
      <c r="E39" t="s">
        <v>391</v>
      </c>
      <c r="F39" t="s">
        <v>192</v>
      </c>
      <c r="G39" t="s">
        <v>1075</v>
      </c>
      <c r="J39" t="str">
        <f t="shared" si="0"/>
        <v>segmented videos list</v>
      </c>
      <c r="K39" s="1" t="s">
        <v>235</v>
      </c>
    </row>
    <row r="40" spans="1:11" ht="19">
      <c r="A40">
        <v>39</v>
      </c>
      <c r="B40" s="1" t="s">
        <v>222</v>
      </c>
      <c r="C40" s="2" t="s">
        <v>267</v>
      </c>
      <c r="D40" t="s">
        <v>84</v>
      </c>
      <c r="E40" t="s">
        <v>391</v>
      </c>
      <c r="F40" t="s">
        <v>192</v>
      </c>
      <c r="G40" t="s">
        <v>1075</v>
      </c>
      <c r="J40" t="str">
        <f t="shared" si="0"/>
        <v>segmented videos list</v>
      </c>
      <c r="K40" s="1" t="s">
        <v>236</v>
      </c>
    </row>
    <row r="41" spans="1:11" ht="19">
      <c r="A41">
        <v>40</v>
      </c>
      <c r="B41" s="1" t="s">
        <v>26</v>
      </c>
      <c r="C41" s="2" t="s">
        <v>271</v>
      </c>
      <c r="D41" t="s">
        <v>84</v>
      </c>
      <c r="E41" t="s">
        <v>391</v>
      </c>
      <c r="J41" t="str">
        <f t="shared" si="0"/>
        <v>no</v>
      </c>
      <c r="K41" s="1" t="s">
        <v>237</v>
      </c>
    </row>
    <row r="42" spans="1:11" ht="19">
      <c r="A42">
        <v>41</v>
      </c>
      <c r="B42" s="1" t="s">
        <v>223</v>
      </c>
      <c r="C42" s="2" t="s">
        <v>269</v>
      </c>
      <c r="D42" t="s">
        <v>84</v>
      </c>
      <c r="E42" t="s">
        <v>391</v>
      </c>
      <c r="F42" t="s">
        <v>192</v>
      </c>
      <c r="G42" t="s">
        <v>1075</v>
      </c>
      <c r="J42" t="str">
        <f t="shared" si="0"/>
        <v>segmented videos list</v>
      </c>
      <c r="K42" s="1" t="s">
        <v>238</v>
      </c>
    </row>
    <row r="43" spans="1:11" ht="19">
      <c r="A43">
        <v>42</v>
      </c>
      <c r="B43" s="1" t="s">
        <v>27</v>
      </c>
      <c r="C43" s="2" t="s">
        <v>271</v>
      </c>
      <c r="D43" t="s">
        <v>84</v>
      </c>
      <c r="E43" t="s">
        <v>391</v>
      </c>
      <c r="F43" t="s">
        <v>192</v>
      </c>
      <c r="G43" t="s">
        <v>1075</v>
      </c>
      <c r="J43" t="str">
        <f t="shared" si="0"/>
        <v>segmented videos list</v>
      </c>
      <c r="K43" s="1" t="s">
        <v>28</v>
      </c>
    </row>
    <row r="44" spans="1:11" ht="19">
      <c r="A44">
        <v>43</v>
      </c>
      <c r="B44" s="1" t="s">
        <v>224</v>
      </c>
      <c r="C44" s="2" t="s">
        <v>267</v>
      </c>
      <c r="D44" t="s">
        <v>84</v>
      </c>
      <c r="E44" t="s">
        <v>391</v>
      </c>
      <c r="F44" t="s">
        <v>192</v>
      </c>
      <c r="G44" t="s">
        <v>1075</v>
      </c>
      <c r="J44" t="str">
        <f t="shared" si="0"/>
        <v>segmented videos list</v>
      </c>
      <c r="K44" s="1" t="s">
        <v>29</v>
      </c>
    </row>
    <row r="45" spans="1:11" ht="19">
      <c r="A45">
        <v>44</v>
      </c>
      <c r="B45" s="1" t="s">
        <v>225</v>
      </c>
      <c r="C45" s="2" t="s">
        <v>274</v>
      </c>
      <c r="D45" t="s">
        <v>84</v>
      </c>
      <c r="E45" t="s">
        <v>391</v>
      </c>
      <c r="F45" t="s">
        <v>192</v>
      </c>
      <c r="G45" t="s">
        <v>1076</v>
      </c>
      <c r="J45" t="str">
        <f t="shared" si="0"/>
        <v>segmented videos list</v>
      </c>
      <c r="K45" s="1" t="s">
        <v>239</v>
      </c>
    </row>
    <row r="46" spans="1:11" ht="19">
      <c r="A46">
        <v>45</v>
      </c>
      <c r="B46" s="1" t="s">
        <v>226</v>
      </c>
      <c r="C46" s="2" t="s">
        <v>274</v>
      </c>
      <c r="D46" t="s">
        <v>84</v>
      </c>
      <c r="E46" t="s">
        <v>391</v>
      </c>
      <c r="F46" t="s">
        <v>192</v>
      </c>
      <c r="G46" t="s">
        <v>1075</v>
      </c>
      <c r="J46" t="str">
        <f t="shared" si="0"/>
        <v>segmented videos list</v>
      </c>
      <c r="K46" s="1" t="s">
        <v>30</v>
      </c>
    </row>
    <row r="47" spans="1:11" ht="19">
      <c r="A47">
        <v>46</v>
      </c>
      <c r="B47" s="1" t="s">
        <v>227</v>
      </c>
      <c r="C47" s="2" t="s">
        <v>269</v>
      </c>
      <c r="D47" t="s">
        <v>84</v>
      </c>
      <c r="E47" t="s">
        <v>391</v>
      </c>
      <c r="F47" t="s">
        <v>192</v>
      </c>
      <c r="G47" t="s">
        <v>1075</v>
      </c>
      <c r="J47" t="str">
        <f t="shared" si="0"/>
        <v>segmented videos list</v>
      </c>
      <c r="K47" s="1" t="s">
        <v>240</v>
      </c>
    </row>
    <row r="48" spans="1:11" ht="19">
      <c r="A48">
        <v>47</v>
      </c>
      <c r="B48" s="1" t="s">
        <v>228</v>
      </c>
      <c r="C48" s="2" t="s">
        <v>269</v>
      </c>
      <c r="D48" t="s">
        <v>84</v>
      </c>
      <c r="E48" t="s">
        <v>391</v>
      </c>
      <c r="F48" t="s">
        <v>192</v>
      </c>
      <c r="G48" t="s">
        <v>1075</v>
      </c>
      <c r="J48" t="str">
        <f t="shared" si="0"/>
        <v>segmented videos list</v>
      </c>
      <c r="K48" s="1" t="s">
        <v>31</v>
      </c>
    </row>
    <row r="49" spans="1:11" ht="19">
      <c r="A49">
        <v>48</v>
      </c>
      <c r="B49" s="1" t="s">
        <v>229</v>
      </c>
      <c r="C49" s="2" t="s">
        <v>269</v>
      </c>
      <c r="D49" t="s">
        <v>84</v>
      </c>
      <c r="E49" t="s">
        <v>391</v>
      </c>
      <c r="F49" t="s">
        <v>192</v>
      </c>
      <c r="G49" t="s">
        <v>1075</v>
      </c>
      <c r="J49" t="str">
        <f t="shared" si="0"/>
        <v>segmented videos list</v>
      </c>
      <c r="K49" s="1" t="s">
        <v>241</v>
      </c>
    </row>
    <row r="50" spans="1:11" ht="19">
      <c r="A50">
        <v>49</v>
      </c>
      <c r="B50" s="1" t="s">
        <v>230</v>
      </c>
      <c r="C50" s="2" t="s">
        <v>269</v>
      </c>
      <c r="D50" t="s">
        <v>84</v>
      </c>
      <c r="E50" t="s">
        <v>391</v>
      </c>
      <c r="F50" t="s">
        <v>201</v>
      </c>
      <c r="G50" t="s">
        <v>1107</v>
      </c>
      <c r="J50" t="str">
        <f t="shared" si="0"/>
        <v>segmented videos list</v>
      </c>
      <c r="K50" s="1" t="s">
        <v>32</v>
      </c>
    </row>
    <row r="51" spans="1:11" ht="19">
      <c r="A51">
        <v>50</v>
      </c>
      <c r="B51" s="1" t="s">
        <v>231</v>
      </c>
      <c r="C51" s="2" t="s">
        <v>269</v>
      </c>
      <c r="D51" t="s">
        <v>84</v>
      </c>
      <c r="E51" t="s">
        <v>391</v>
      </c>
      <c r="F51" t="s">
        <v>192</v>
      </c>
      <c r="G51" t="s">
        <v>1108</v>
      </c>
      <c r="J51" t="str">
        <f t="shared" si="0"/>
        <v>segmented videos list</v>
      </c>
      <c r="K51" s="1" t="s">
        <v>33</v>
      </c>
    </row>
    <row r="52" spans="1:11" ht="19">
      <c r="A52">
        <v>51</v>
      </c>
      <c r="B52" s="1" t="s">
        <v>232</v>
      </c>
      <c r="C52" s="2" t="s">
        <v>274</v>
      </c>
      <c r="D52" t="s">
        <v>84</v>
      </c>
      <c r="E52" t="s">
        <v>391</v>
      </c>
      <c r="F52" t="s">
        <v>192</v>
      </c>
      <c r="G52" t="s">
        <v>1109</v>
      </c>
      <c r="J52" t="str">
        <f t="shared" si="0"/>
        <v>segmented videos list</v>
      </c>
      <c r="K52" s="1" t="s">
        <v>34</v>
      </c>
    </row>
    <row r="53" spans="1:11" ht="19">
      <c r="A53">
        <v>52</v>
      </c>
      <c r="B53" s="1" t="s">
        <v>233</v>
      </c>
      <c r="C53" s="2" t="s">
        <v>274</v>
      </c>
      <c r="D53" t="s">
        <v>84</v>
      </c>
      <c r="E53" t="s">
        <v>391</v>
      </c>
      <c r="F53" t="s">
        <v>192</v>
      </c>
      <c r="G53" t="s">
        <v>1110</v>
      </c>
      <c r="J53" t="str">
        <f t="shared" si="0"/>
        <v>segmented videos list</v>
      </c>
      <c r="K53" s="1" t="s">
        <v>35</v>
      </c>
    </row>
    <row r="54" spans="1:11" ht="19">
      <c r="A54">
        <v>53</v>
      </c>
      <c r="B54" s="1" t="s">
        <v>234</v>
      </c>
      <c r="C54" s="2" t="s">
        <v>274</v>
      </c>
      <c r="D54" t="s">
        <v>84</v>
      </c>
      <c r="E54" t="s">
        <v>391</v>
      </c>
      <c r="F54" t="s">
        <v>192</v>
      </c>
      <c r="G54" t="s">
        <v>1111</v>
      </c>
      <c r="J54" t="str">
        <f t="shared" si="0"/>
        <v>segmented videos list</v>
      </c>
      <c r="K54" s="1" t="s">
        <v>36</v>
      </c>
    </row>
    <row r="55" spans="1:11" ht="19">
      <c r="A55">
        <v>54</v>
      </c>
      <c r="B55" s="1" t="s">
        <v>235</v>
      </c>
      <c r="C55" s="2" t="s">
        <v>274</v>
      </c>
      <c r="D55" t="s">
        <v>84</v>
      </c>
      <c r="E55" t="s">
        <v>391</v>
      </c>
      <c r="F55" t="s">
        <v>192</v>
      </c>
      <c r="G55" t="s">
        <v>1112</v>
      </c>
      <c r="J55" t="str">
        <f t="shared" si="0"/>
        <v>segmented videos list</v>
      </c>
      <c r="K55" s="1" t="s">
        <v>37</v>
      </c>
    </row>
    <row r="56" spans="1:11" ht="19">
      <c r="A56">
        <v>55</v>
      </c>
      <c r="B56" s="1" t="s">
        <v>236</v>
      </c>
      <c r="C56" s="2" t="s">
        <v>269</v>
      </c>
      <c r="D56" t="s">
        <v>84</v>
      </c>
      <c r="E56" t="s">
        <v>391</v>
      </c>
      <c r="F56" t="s">
        <v>192</v>
      </c>
      <c r="G56" t="s">
        <v>1112</v>
      </c>
      <c r="J56" t="str">
        <f t="shared" si="0"/>
        <v>segmented videos list</v>
      </c>
      <c r="K56" s="1" t="s">
        <v>38</v>
      </c>
    </row>
    <row r="57" spans="1:11" ht="19">
      <c r="A57">
        <v>56</v>
      </c>
      <c r="B57" s="1" t="s">
        <v>237</v>
      </c>
      <c r="C57" s="2" t="s">
        <v>269</v>
      </c>
      <c r="D57" t="s">
        <v>84</v>
      </c>
      <c r="E57" t="s">
        <v>391</v>
      </c>
      <c r="F57" t="s">
        <v>192</v>
      </c>
      <c r="G57" t="s">
        <v>1113</v>
      </c>
      <c r="J57" t="str">
        <f t="shared" si="0"/>
        <v>segmented videos list</v>
      </c>
      <c r="K57" s="1" t="s">
        <v>39</v>
      </c>
    </row>
    <row r="58" spans="1:11" ht="19">
      <c r="A58">
        <v>57</v>
      </c>
      <c r="B58" s="1" t="s">
        <v>238</v>
      </c>
      <c r="C58" s="2" t="s">
        <v>269</v>
      </c>
      <c r="D58" t="s">
        <v>84</v>
      </c>
      <c r="E58" t="s">
        <v>391</v>
      </c>
      <c r="F58" t="s">
        <v>201</v>
      </c>
      <c r="G58" s="2" t="s">
        <v>1114</v>
      </c>
      <c r="J58" t="str">
        <f t="shared" si="0"/>
        <v>segmented videos list</v>
      </c>
      <c r="K58" s="1" t="s">
        <v>242</v>
      </c>
    </row>
    <row r="59" spans="1:11" ht="19">
      <c r="A59">
        <v>58</v>
      </c>
      <c r="B59" s="1" t="s">
        <v>28</v>
      </c>
      <c r="C59" s="2" t="s">
        <v>271</v>
      </c>
      <c r="D59" t="s">
        <v>84</v>
      </c>
      <c r="E59" t="s">
        <v>391</v>
      </c>
      <c r="F59" t="s">
        <v>201</v>
      </c>
      <c r="G59" t="s">
        <v>1115</v>
      </c>
      <c r="J59" t="str">
        <f t="shared" si="0"/>
        <v>segmented videos list</v>
      </c>
      <c r="K59" s="1" t="s">
        <v>40</v>
      </c>
    </row>
    <row r="60" spans="1:11" ht="19">
      <c r="A60">
        <v>59</v>
      </c>
      <c r="B60" s="1" t="s">
        <v>29</v>
      </c>
      <c r="C60" s="2" t="s">
        <v>271</v>
      </c>
      <c r="D60" t="s">
        <v>85</v>
      </c>
      <c r="E60" t="s">
        <v>391</v>
      </c>
      <c r="F60" t="s">
        <v>201</v>
      </c>
      <c r="G60" t="s">
        <v>1116</v>
      </c>
      <c r="J60" t="str">
        <f t="shared" si="0"/>
        <v>segmented videos list</v>
      </c>
      <c r="K60" s="1" t="s">
        <v>251</v>
      </c>
    </row>
    <row r="61" spans="1:11" ht="19">
      <c r="A61">
        <v>60</v>
      </c>
      <c r="B61" s="1" t="s">
        <v>239</v>
      </c>
      <c r="C61" s="2" t="s">
        <v>269</v>
      </c>
      <c r="D61" t="s">
        <v>84</v>
      </c>
      <c r="E61" t="s">
        <v>391</v>
      </c>
      <c r="F61" t="s">
        <v>192</v>
      </c>
      <c r="G61" t="s">
        <v>1117</v>
      </c>
      <c r="J61" t="str">
        <f t="shared" si="0"/>
        <v>segmented videos list</v>
      </c>
      <c r="K61" s="1" t="s">
        <v>54</v>
      </c>
    </row>
    <row r="62" spans="1:11" ht="19">
      <c r="A62">
        <v>61</v>
      </c>
      <c r="B62" s="1" t="s">
        <v>30</v>
      </c>
      <c r="C62" s="2" t="s">
        <v>271</v>
      </c>
      <c r="D62" t="s">
        <v>84</v>
      </c>
      <c r="E62" t="s">
        <v>391</v>
      </c>
      <c r="F62" t="s">
        <v>201</v>
      </c>
      <c r="G62" t="s">
        <v>1118</v>
      </c>
      <c r="J62" t="str">
        <f t="shared" si="0"/>
        <v>segmented videos list</v>
      </c>
      <c r="K62" s="1" t="s">
        <v>55</v>
      </c>
    </row>
    <row r="63" spans="1:11" ht="19">
      <c r="A63">
        <v>62</v>
      </c>
      <c r="B63" s="1" t="s">
        <v>240</v>
      </c>
      <c r="C63" s="2" t="s">
        <v>269</v>
      </c>
      <c r="D63" t="s">
        <v>84</v>
      </c>
      <c r="E63" t="s">
        <v>391</v>
      </c>
      <c r="F63" t="s">
        <v>192</v>
      </c>
      <c r="G63" t="s">
        <v>1112</v>
      </c>
      <c r="J63" t="str">
        <f t="shared" si="0"/>
        <v>segmented videos list</v>
      </c>
      <c r="K63" s="1" t="s">
        <v>252</v>
      </c>
    </row>
    <row r="64" spans="1:11" ht="19">
      <c r="A64">
        <v>63</v>
      </c>
      <c r="B64" s="1" t="s">
        <v>31</v>
      </c>
      <c r="C64" s="2" t="s">
        <v>271</v>
      </c>
      <c r="D64" t="s">
        <v>85</v>
      </c>
      <c r="E64" t="s">
        <v>391</v>
      </c>
      <c r="F64" t="s">
        <v>201</v>
      </c>
      <c r="G64" t="s">
        <v>1119</v>
      </c>
      <c r="J64" t="str">
        <f t="shared" si="0"/>
        <v>segmented videos list</v>
      </c>
      <c r="K64" s="1" t="s">
        <v>56</v>
      </c>
    </row>
    <row r="65" spans="1:11" ht="19">
      <c r="A65">
        <v>64</v>
      </c>
      <c r="B65" s="1" t="s">
        <v>241</v>
      </c>
      <c r="C65" s="2" t="s">
        <v>269</v>
      </c>
      <c r="D65" t="s">
        <v>84</v>
      </c>
      <c r="E65" t="s">
        <v>391</v>
      </c>
      <c r="F65" t="s">
        <v>391</v>
      </c>
      <c r="G65" t="s">
        <v>1112</v>
      </c>
      <c r="J65" t="str">
        <f t="shared" si="0"/>
        <v>segmented videos list</v>
      </c>
      <c r="K65" s="1" t="s">
        <v>253</v>
      </c>
    </row>
    <row r="66" spans="1:11" ht="19">
      <c r="A66">
        <v>65</v>
      </c>
      <c r="B66" s="1" t="s">
        <v>32</v>
      </c>
      <c r="C66" s="2" t="s">
        <v>271</v>
      </c>
      <c r="D66" t="s">
        <v>84</v>
      </c>
      <c r="E66" t="s">
        <v>391</v>
      </c>
      <c r="F66" t="s">
        <v>192</v>
      </c>
      <c r="G66" t="s">
        <v>1112</v>
      </c>
      <c r="J66" t="str">
        <f t="shared" si="0"/>
        <v>segmented videos list</v>
      </c>
      <c r="K66" s="1" t="s">
        <v>57</v>
      </c>
    </row>
    <row r="67" spans="1:11" ht="19">
      <c r="A67">
        <v>66</v>
      </c>
      <c r="B67" s="1" t="s">
        <v>33</v>
      </c>
      <c r="C67" s="2" t="s">
        <v>271</v>
      </c>
      <c r="D67" t="s">
        <v>85</v>
      </c>
      <c r="E67" t="s">
        <v>391</v>
      </c>
      <c r="F67" t="s">
        <v>192</v>
      </c>
      <c r="G67" t="s">
        <v>1077</v>
      </c>
      <c r="J67" t="str">
        <f t="shared" ref="J67:J130" si="1">IF(COUNTIF(K:K, B67)&gt;0,$K$1,"no")</f>
        <v>segmented videos list</v>
      </c>
      <c r="K67" s="1" t="s">
        <v>58</v>
      </c>
    </row>
    <row r="68" spans="1:11" ht="19">
      <c r="A68">
        <v>67</v>
      </c>
      <c r="B68" s="1" t="s">
        <v>34</v>
      </c>
      <c r="C68" s="2" t="s">
        <v>271</v>
      </c>
      <c r="D68" t="s">
        <v>87</v>
      </c>
      <c r="E68" t="s">
        <v>391</v>
      </c>
      <c r="F68" t="s">
        <v>201</v>
      </c>
      <c r="G68" t="s">
        <v>1078</v>
      </c>
      <c r="J68" t="str">
        <f t="shared" si="1"/>
        <v>segmented videos list</v>
      </c>
      <c r="K68" s="1" t="s">
        <v>254</v>
      </c>
    </row>
    <row r="69" spans="1:11" ht="19">
      <c r="A69">
        <v>68</v>
      </c>
      <c r="B69" s="1" t="s">
        <v>35</v>
      </c>
      <c r="C69" s="2" t="s">
        <v>271</v>
      </c>
      <c r="D69" t="s">
        <v>85</v>
      </c>
      <c r="E69" t="s">
        <v>391</v>
      </c>
      <c r="F69" t="s">
        <v>192</v>
      </c>
      <c r="G69" t="s">
        <v>1079</v>
      </c>
      <c r="J69" t="str">
        <f t="shared" si="1"/>
        <v>segmented videos list</v>
      </c>
      <c r="K69" s="1" t="s">
        <v>255</v>
      </c>
    </row>
    <row r="70" spans="1:11" ht="19">
      <c r="A70">
        <v>69</v>
      </c>
      <c r="B70" s="1" t="s">
        <v>36</v>
      </c>
      <c r="C70" s="2" t="s">
        <v>271</v>
      </c>
      <c r="D70" t="s">
        <v>85</v>
      </c>
      <c r="E70" t="s">
        <v>391</v>
      </c>
      <c r="F70" t="s">
        <v>192</v>
      </c>
      <c r="G70" t="s">
        <v>1080</v>
      </c>
      <c r="J70" t="str">
        <f t="shared" si="1"/>
        <v>segmented videos list</v>
      </c>
      <c r="K70" s="1" t="s">
        <v>257</v>
      </c>
    </row>
    <row r="71" spans="1:11" ht="19">
      <c r="A71">
        <v>70</v>
      </c>
      <c r="B71" s="1" t="s">
        <v>37</v>
      </c>
      <c r="C71" s="2" t="s">
        <v>271</v>
      </c>
      <c r="D71" t="s">
        <v>85</v>
      </c>
      <c r="E71" t="s">
        <v>391</v>
      </c>
      <c r="F71" t="s">
        <v>201</v>
      </c>
      <c r="G71" t="s">
        <v>1081</v>
      </c>
      <c r="J71" t="str">
        <f t="shared" si="1"/>
        <v>segmented videos list</v>
      </c>
      <c r="K71" s="1" t="s">
        <v>264</v>
      </c>
    </row>
    <row r="72" spans="1:11" ht="19">
      <c r="A72">
        <v>71</v>
      </c>
      <c r="B72" s="1" t="s">
        <v>38</v>
      </c>
      <c r="C72" s="2" t="s">
        <v>271</v>
      </c>
      <c r="D72" t="s">
        <v>84</v>
      </c>
      <c r="E72" t="s">
        <v>391</v>
      </c>
      <c r="F72" t="s">
        <v>201</v>
      </c>
      <c r="G72" t="s">
        <v>1082</v>
      </c>
      <c r="J72" t="str">
        <f t="shared" si="1"/>
        <v>segmented videos list</v>
      </c>
      <c r="K72" s="1" t="s">
        <v>59</v>
      </c>
    </row>
    <row r="73" spans="1:11" ht="19">
      <c r="A73">
        <v>72</v>
      </c>
      <c r="B73" s="1" t="s">
        <v>39</v>
      </c>
      <c r="C73" s="2" t="s">
        <v>271</v>
      </c>
      <c r="D73" t="s">
        <v>84</v>
      </c>
      <c r="E73" t="s">
        <v>391</v>
      </c>
      <c r="F73" t="s">
        <v>201</v>
      </c>
      <c r="G73" t="s">
        <v>1083</v>
      </c>
      <c r="J73" t="str">
        <f t="shared" si="1"/>
        <v>segmented videos list</v>
      </c>
      <c r="K73" s="1" t="s">
        <v>60</v>
      </c>
    </row>
    <row r="74" spans="1:11" ht="19">
      <c r="A74">
        <v>73</v>
      </c>
      <c r="B74" s="1" t="s">
        <v>242</v>
      </c>
      <c r="C74" s="2" t="s">
        <v>267</v>
      </c>
      <c r="D74" t="s">
        <v>84</v>
      </c>
      <c r="E74" t="s">
        <v>391</v>
      </c>
      <c r="F74" t="s">
        <v>192</v>
      </c>
      <c r="G74" t="s">
        <v>1084</v>
      </c>
      <c r="J74" t="str">
        <f t="shared" si="1"/>
        <v>segmented videos list</v>
      </c>
      <c r="K74" s="1" t="s">
        <v>265</v>
      </c>
    </row>
    <row r="75" spans="1:11" ht="19">
      <c r="A75">
        <v>74</v>
      </c>
      <c r="B75" s="1" t="s">
        <v>40</v>
      </c>
      <c r="C75" s="2" t="s">
        <v>271</v>
      </c>
      <c r="D75" t="s">
        <v>84</v>
      </c>
      <c r="E75" t="s">
        <v>391</v>
      </c>
      <c r="F75" t="s">
        <v>201</v>
      </c>
      <c r="G75" t="s">
        <v>1085</v>
      </c>
      <c r="J75" t="str">
        <f t="shared" si="1"/>
        <v>segmented videos list</v>
      </c>
      <c r="K75" s="1" t="s">
        <v>61</v>
      </c>
    </row>
    <row r="76" spans="1:11" ht="19">
      <c r="A76">
        <v>75</v>
      </c>
      <c r="B76" s="1" t="s">
        <v>243</v>
      </c>
      <c r="C76" s="2" t="s">
        <v>269</v>
      </c>
      <c r="D76" t="s">
        <v>84</v>
      </c>
      <c r="E76" t="s">
        <v>391</v>
      </c>
      <c r="J76" t="str">
        <f t="shared" si="1"/>
        <v>no</v>
      </c>
      <c r="K76" s="1" t="s">
        <v>266</v>
      </c>
    </row>
    <row r="77" spans="1:11" ht="19">
      <c r="A77">
        <v>76</v>
      </c>
      <c r="B77" s="1" t="s">
        <v>41</v>
      </c>
      <c r="C77" s="2" t="s">
        <v>271</v>
      </c>
      <c r="D77" t="s">
        <v>84</v>
      </c>
      <c r="E77" t="s">
        <v>391</v>
      </c>
      <c r="J77" t="str">
        <f t="shared" si="1"/>
        <v>no</v>
      </c>
      <c r="K77" s="1" t="s">
        <v>62</v>
      </c>
    </row>
    <row r="78" spans="1:11" ht="19">
      <c r="A78">
        <v>77</v>
      </c>
      <c r="B78" s="1" t="s">
        <v>244</v>
      </c>
      <c r="C78" s="2" t="s">
        <v>274</v>
      </c>
      <c r="D78" t="s">
        <v>84</v>
      </c>
      <c r="E78" t="s">
        <v>391</v>
      </c>
      <c r="J78" t="str">
        <f t="shared" si="1"/>
        <v>no</v>
      </c>
      <c r="K78" s="1" t="s">
        <v>63</v>
      </c>
    </row>
    <row r="79" spans="1:11" ht="19">
      <c r="A79">
        <v>78</v>
      </c>
      <c r="B79" s="1" t="s">
        <v>245</v>
      </c>
      <c r="C79" s="2" t="s">
        <v>269</v>
      </c>
      <c r="D79" t="s">
        <v>84</v>
      </c>
      <c r="E79" t="s">
        <v>391</v>
      </c>
      <c r="J79" t="str">
        <f t="shared" si="1"/>
        <v>no</v>
      </c>
      <c r="K79" s="1"/>
    </row>
    <row r="80" spans="1:11" ht="19">
      <c r="A80">
        <v>79</v>
      </c>
      <c r="B80" s="1" t="s">
        <v>42</v>
      </c>
      <c r="C80" s="2" t="s">
        <v>271</v>
      </c>
      <c r="D80" t="s">
        <v>87</v>
      </c>
      <c r="E80" t="s">
        <v>391</v>
      </c>
      <c r="J80" t="str">
        <f t="shared" si="1"/>
        <v>no</v>
      </c>
      <c r="K80" s="1"/>
    </row>
    <row r="81" spans="1:10" ht="19">
      <c r="A81">
        <v>80</v>
      </c>
      <c r="B81" s="1" t="s">
        <v>43</v>
      </c>
      <c r="C81" s="2" t="s">
        <v>271</v>
      </c>
      <c r="D81" t="s">
        <v>87</v>
      </c>
      <c r="E81" t="s">
        <v>391</v>
      </c>
      <c r="J81" t="str">
        <f t="shared" si="1"/>
        <v>no</v>
      </c>
    </row>
    <row r="82" spans="1:10" ht="19">
      <c r="A82">
        <v>81</v>
      </c>
      <c r="B82" s="1" t="s">
        <v>246</v>
      </c>
      <c r="C82" s="2" t="s">
        <v>273</v>
      </c>
      <c r="D82" t="s">
        <v>84</v>
      </c>
      <c r="E82" t="s">
        <v>391</v>
      </c>
      <c r="J82" t="str">
        <f t="shared" si="1"/>
        <v>no</v>
      </c>
    </row>
    <row r="83" spans="1:10" ht="19">
      <c r="A83">
        <v>82</v>
      </c>
      <c r="B83" s="1" t="s">
        <v>247</v>
      </c>
      <c r="C83" s="2" t="s">
        <v>269</v>
      </c>
      <c r="D83" t="s">
        <v>84</v>
      </c>
      <c r="E83" t="s">
        <v>391</v>
      </c>
      <c r="J83" t="str">
        <f t="shared" si="1"/>
        <v>no</v>
      </c>
    </row>
    <row r="84" spans="1:10" ht="19">
      <c r="A84">
        <v>83</v>
      </c>
      <c r="B84" s="1" t="s">
        <v>248</v>
      </c>
      <c r="C84" s="2" t="s">
        <v>269</v>
      </c>
      <c r="D84" t="s">
        <v>84</v>
      </c>
      <c r="E84" t="s">
        <v>391</v>
      </c>
      <c r="J84" t="str">
        <f t="shared" si="1"/>
        <v>no</v>
      </c>
    </row>
    <row r="85" spans="1:10" ht="19">
      <c r="A85">
        <v>84</v>
      </c>
      <c r="B85" s="1" t="s">
        <v>44</v>
      </c>
      <c r="C85" s="2" t="s">
        <v>271</v>
      </c>
      <c r="D85" t="s">
        <v>87</v>
      </c>
      <c r="E85" t="s">
        <v>391</v>
      </c>
      <c r="J85" t="str">
        <f t="shared" si="1"/>
        <v>no</v>
      </c>
    </row>
    <row r="86" spans="1:10" ht="19">
      <c r="A86">
        <v>85</v>
      </c>
      <c r="B86" s="1" t="s">
        <v>249</v>
      </c>
      <c r="C86" s="2" t="s">
        <v>274</v>
      </c>
      <c r="D86" t="s">
        <v>84</v>
      </c>
      <c r="E86" t="s">
        <v>391</v>
      </c>
      <c r="J86" t="str">
        <f t="shared" si="1"/>
        <v>no</v>
      </c>
    </row>
    <row r="87" spans="1:10" ht="19">
      <c r="A87">
        <v>86</v>
      </c>
      <c r="B87" s="1" t="s">
        <v>45</v>
      </c>
      <c r="C87" s="2" t="s">
        <v>271</v>
      </c>
      <c r="D87" t="s">
        <v>84</v>
      </c>
      <c r="E87" t="s">
        <v>391</v>
      </c>
      <c r="J87" t="str">
        <f t="shared" si="1"/>
        <v>no</v>
      </c>
    </row>
    <row r="88" spans="1:10" ht="19">
      <c r="A88">
        <v>87</v>
      </c>
      <c r="B88" s="1" t="s">
        <v>250</v>
      </c>
      <c r="C88" s="2" t="s">
        <v>268</v>
      </c>
      <c r="D88" t="s">
        <v>84</v>
      </c>
      <c r="E88" t="s">
        <v>391</v>
      </c>
      <c r="J88" t="str">
        <f t="shared" si="1"/>
        <v>no</v>
      </c>
    </row>
    <row r="89" spans="1:10" ht="19">
      <c r="A89">
        <v>88</v>
      </c>
      <c r="B89" s="1" t="s">
        <v>46</v>
      </c>
      <c r="C89" s="2" t="s">
        <v>271</v>
      </c>
      <c r="D89" t="s">
        <v>84</v>
      </c>
      <c r="E89" t="s">
        <v>391</v>
      </c>
      <c r="J89" t="str">
        <f t="shared" si="1"/>
        <v>no</v>
      </c>
    </row>
    <row r="90" spans="1:10" ht="19">
      <c r="A90">
        <v>89</v>
      </c>
      <c r="B90" s="1" t="s">
        <v>47</v>
      </c>
      <c r="C90" s="2" t="s">
        <v>271</v>
      </c>
      <c r="D90" t="s">
        <v>84</v>
      </c>
      <c r="E90" t="s">
        <v>391</v>
      </c>
      <c r="J90" t="str">
        <f t="shared" si="1"/>
        <v>no</v>
      </c>
    </row>
    <row r="91" spans="1:10" ht="19">
      <c r="A91">
        <v>90</v>
      </c>
      <c r="B91" s="1" t="s">
        <v>48</v>
      </c>
      <c r="C91" s="2" t="s">
        <v>271</v>
      </c>
      <c r="D91" t="s">
        <v>84</v>
      </c>
      <c r="E91" t="s">
        <v>391</v>
      </c>
      <c r="J91" t="str">
        <f t="shared" si="1"/>
        <v>no</v>
      </c>
    </row>
    <row r="92" spans="1:10" ht="19">
      <c r="A92">
        <v>91</v>
      </c>
      <c r="B92" s="1" t="s">
        <v>49</v>
      </c>
      <c r="C92" s="2" t="s">
        <v>271</v>
      </c>
      <c r="D92" t="s">
        <v>84</v>
      </c>
      <c r="E92" t="s">
        <v>391</v>
      </c>
      <c r="J92" t="str">
        <f t="shared" si="1"/>
        <v>no</v>
      </c>
    </row>
    <row r="93" spans="1:10" ht="19">
      <c r="A93">
        <v>92</v>
      </c>
      <c r="B93" s="1" t="s">
        <v>50</v>
      </c>
      <c r="C93" s="2" t="s">
        <v>271</v>
      </c>
      <c r="D93" t="s">
        <v>84</v>
      </c>
      <c r="E93" t="s">
        <v>391</v>
      </c>
      <c r="J93" t="str">
        <f t="shared" si="1"/>
        <v>no</v>
      </c>
    </row>
    <row r="94" spans="1:10" ht="19">
      <c r="A94">
        <v>93</v>
      </c>
      <c r="B94" s="1" t="s">
        <v>51</v>
      </c>
      <c r="C94" s="2" t="s">
        <v>271</v>
      </c>
      <c r="D94" t="s">
        <v>84</v>
      </c>
      <c r="E94" t="s">
        <v>391</v>
      </c>
      <c r="J94" t="str">
        <f t="shared" si="1"/>
        <v>no</v>
      </c>
    </row>
    <row r="95" spans="1:10" ht="19">
      <c r="A95">
        <v>94</v>
      </c>
      <c r="B95" s="1" t="s">
        <v>52</v>
      </c>
      <c r="C95" s="2" t="s">
        <v>271</v>
      </c>
      <c r="D95" t="s">
        <v>84</v>
      </c>
      <c r="E95" t="s">
        <v>391</v>
      </c>
      <c r="J95" t="str">
        <f t="shared" si="1"/>
        <v>no</v>
      </c>
    </row>
    <row r="96" spans="1:10" ht="19">
      <c r="A96">
        <v>95</v>
      </c>
      <c r="B96" s="1" t="s">
        <v>53</v>
      </c>
      <c r="C96" s="2" t="s">
        <v>271</v>
      </c>
      <c r="D96" t="s">
        <v>84</v>
      </c>
      <c r="E96" t="s">
        <v>391</v>
      </c>
      <c r="J96" t="str">
        <f t="shared" si="1"/>
        <v>no</v>
      </c>
    </row>
    <row r="97" spans="1:10" ht="19">
      <c r="A97">
        <v>96</v>
      </c>
      <c r="B97" s="1" t="s">
        <v>251</v>
      </c>
      <c r="C97" s="2" t="s">
        <v>267</v>
      </c>
      <c r="D97" t="s">
        <v>84</v>
      </c>
      <c r="E97" t="s">
        <v>391</v>
      </c>
      <c r="F97" t="s">
        <v>192</v>
      </c>
      <c r="G97" t="s">
        <v>1086</v>
      </c>
      <c r="J97" t="str">
        <f t="shared" si="1"/>
        <v>segmented videos list</v>
      </c>
    </row>
    <row r="98" spans="1:10" ht="19">
      <c r="A98">
        <v>97</v>
      </c>
      <c r="B98" s="1" t="s">
        <v>54</v>
      </c>
      <c r="C98" s="2" t="s">
        <v>271</v>
      </c>
      <c r="D98" t="s">
        <v>84</v>
      </c>
      <c r="E98" t="s">
        <v>391</v>
      </c>
      <c r="F98" t="s">
        <v>192</v>
      </c>
      <c r="G98" t="s">
        <v>1087</v>
      </c>
      <c r="J98" t="str">
        <f t="shared" si="1"/>
        <v>segmented videos list</v>
      </c>
    </row>
    <row r="99" spans="1:10" ht="19">
      <c r="A99">
        <v>98</v>
      </c>
      <c r="B99" s="1" t="s">
        <v>55</v>
      </c>
      <c r="C99" s="2" t="s">
        <v>271</v>
      </c>
      <c r="D99" t="s">
        <v>84</v>
      </c>
      <c r="E99" t="s">
        <v>391</v>
      </c>
      <c r="F99" t="s">
        <v>201</v>
      </c>
      <c r="G99" t="s">
        <v>1088</v>
      </c>
      <c r="J99" t="str">
        <f t="shared" si="1"/>
        <v>segmented videos list</v>
      </c>
    </row>
    <row r="100" spans="1:10" ht="19">
      <c r="A100">
        <v>99</v>
      </c>
      <c r="B100" s="1" t="s">
        <v>252</v>
      </c>
      <c r="C100" s="2" t="s">
        <v>274</v>
      </c>
      <c r="D100" t="s">
        <v>84</v>
      </c>
      <c r="E100" t="s">
        <v>391</v>
      </c>
      <c r="F100" t="s">
        <v>192</v>
      </c>
      <c r="G100" t="s">
        <v>1089</v>
      </c>
      <c r="J100" t="str">
        <f t="shared" si="1"/>
        <v>segmented videos list</v>
      </c>
    </row>
    <row r="101" spans="1:10" ht="19">
      <c r="A101">
        <v>100</v>
      </c>
      <c r="B101" s="1" t="s">
        <v>56</v>
      </c>
      <c r="C101" s="2" t="s">
        <v>271</v>
      </c>
      <c r="D101" t="s">
        <v>84</v>
      </c>
      <c r="E101" t="s">
        <v>391</v>
      </c>
      <c r="F101" t="s">
        <v>192</v>
      </c>
      <c r="G101" t="s">
        <v>1090</v>
      </c>
      <c r="J101" t="str">
        <f t="shared" si="1"/>
        <v>segmented videos list</v>
      </c>
    </row>
    <row r="102" spans="1:10" ht="19">
      <c r="A102">
        <v>101</v>
      </c>
      <c r="B102" s="1" t="s">
        <v>253</v>
      </c>
      <c r="C102" s="2" t="s">
        <v>267</v>
      </c>
      <c r="D102" t="s">
        <v>84</v>
      </c>
      <c r="E102" t="s">
        <v>391</v>
      </c>
      <c r="F102" t="s">
        <v>192</v>
      </c>
      <c r="G102" t="s">
        <v>1091</v>
      </c>
      <c r="J102" t="str">
        <f t="shared" si="1"/>
        <v>segmented videos list</v>
      </c>
    </row>
    <row r="103" spans="1:10" ht="19">
      <c r="A103">
        <v>102</v>
      </c>
      <c r="B103" s="1" t="s">
        <v>57</v>
      </c>
      <c r="C103" s="2" t="s">
        <v>271</v>
      </c>
      <c r="D103" t="s">
        <v>84</v>
      </c>
      <c r="E103" t="s">
        <v>391</v>
      </c>
      <c r="F103" t="s">
        <v>192</v>
      </c>
      <c r="G103" t="s">
        <v>1092</v>
      </c>
      <c r="J103" t="str">
        <f t="shared" si="1"/>
        <v>segmented videos list</v>
      </c>
    </row>
    <row r="104" spans="1:10" ht="19">
      <c r="A104">
        <v>103</v>
      </c>
      <c r="B104" s="1" t="s">
        <v>58</v>
      </c>
      <c r="C104" s="2" t="s">
        <v>271</v>
      </c>
      <c r="D104" t="s">
        <v>85</v>
      </c>
      <c r="E104" t="s">
        <v>391</v>
      </c>
      <c r="F104" t="s">
        <v>201</v>
      </c>
      <c r="G104" t="s">
        <v>1093</v>
      </c>
      <c r="J104" t="str">
        <f t="shared" si="1"/>
        <v>segmented videos list</v>
      </c>
    </row>
    <row r="105" spans="1:10" ht="19">
      <c r="A105">
        <v>104</v>
      </c>
      <c r="B105" s="1" t="s">
        <v>254</v>
      </c>
      <c r="C105" s="2" t="s">
        <v>269</v>
      </c>
      <c r="D105" t="s">
        <v>84</v>
      </c>
      <c r="E105" t="s">
        <v>391</v>
      </c>
      <c r="F105" t="s">
        <v>192</v>
      </c>
      <c r="G105" t="s">
        <v>1094</v>
      </c>
      <c r="J105" t="str">
        <f t="shared" si="1"/>
        <v>segmented videos list</v>
      </c>
    </row>
    <row r="106" spans="1:10" ht="19">
      <c r="A106">
        <v>105</v>
      </c>
      <c r="B106" s="1" t="s">
        <v>255</v>
      </c>
      <c r="C106" s="2" t="s">
        <v>269</v>
      </c>
      <c r="D106" t="s">
        <v>84</v>
      </c>
      <c r="E106" t="s">
        <v>391</v>
      </c>
      <c r="F106" t="s">
        <v>201</v>
      </c>
      <c r="G106" t="s">
        <v>1095</v>
      </c>
      <c r="J106" t="str">
        <f t="shared" si="1"/>
        <v>segmented videos list</v>
      </c>
    </row>
    <row r="107" spans="1:10" ht="19">
      <c r="A107">
        <v>106</v>
      </c>
      <c r="B107" s="1" t="s">
        <v>256</v>
      </c>
      <c r="C107" s="2" t="s">
        <v>269</v>
      </c>
      <c r="D107" t="s">
        <v>84</v>
      </c>
      <c r="E107" t="s">
        <v>391</v>
      </c>
      <c r="J107" t="str">
        <f t="shared" si="1"/>
        <v>no</v>
      </c>
    </row>
    <row r="108" spans="1:10" ht="19">
      <c r="A108">
        <v>107</v>
      </c>
      <c r="B108" s="1" t="s">
        <v>257</v>
      </c>
      <c r="C108" s="2" t="s">
        <v>274</v>
      </c>
      <c r="D108" t="s">
        <v>84</v>
      </c>
      <c r="E108" t="s">
        <v>391</v>
      </c>
      <c r="F108" t="s">
        <v>192</v>
      </c>
      <c r="G108" t="s">
        <v>1096</v>
      </c>
      <c r="J108" t="str">
        <f t="shared" si="1"/>
        <v>segmented videos list</v>
      </c>
    </row>
    <row r="109" spans="1:10" ht="19">
      <c r="A109">
        <v>108</v>
      </c>
      <c r="B109" s="1" t="s">
        <v>258</v>
      </c>
      <c r="C109" s="2" t="s">
        <v>267</v>
      </c>
      <c r="D109" t="s">
        <v>84</v>
      </c>
      <c r="E109" t="s">
        <v>391</v>
      </c>
      <c r="J109" t="str">
        <f t="shared" si="1"/>
        <v>no</v>
      </c>
    </row>
    <row r="110" spans="1:10" ht="19">
      <c r="A110">
        <v>109</v>
      </c>
      <c r="B110" s="1" t="s">
        <v>259</v>
      </c>
      <c r="C110" s="2" t="s">
        <v>274</v>
      </c>
      <c r="D110" t="s">
        <v>84</v>
      </c>
      <c r="E110" t="s">
        <v>391</v>
      </c>
      <c r="J110" t="str">
        <f t="shared" si="1"/>
        <v>no</v>
      </c>
    </row>
    <row r="111" spans="1:10" ht="19">
      <c r="A111">
        <v>110</v>
      </c>
      <c r="B111" s="1" t="s">
        <v>260</v>
      </c>
      <c r="C111" s="2" t="s">
        <v>269</v>
      </c>
      <c r="D111" t="s">
        <v>84</v>
      </c>
      <c r="E111" t="s">
        <v>391</v>
      </c>
      <c r="J111" t="str">
        <f t="shared" si="1"/>
        <v>no</v>
      </c>
    </row>
    <row r="112" spans="1:10" ht="19">
      <c r="A112">
        <v>111</v>
      </c>
      <c r="B112" s="1" t="s">
        <v>261</v>
      </c>
      <c r="C112" s="2" t="s">
        <v>274</v>
      </c>
      <c r="D112" t="s">
        <v>84</v>
      </c>
      <c r="E112" t="s">
        <v>391</v>
      </c>
      <c r="J112" t="str">
        <f t="shared" si="1"/>
        <v>no</v>
      </c>
    </row>
    <row r="113" spans="1:10" ht="19">
      <c r="A113">
        <v>112</v>
      </c>
      <c r="B113" s="1" t="s">
        <v>262</v>
      </c>
      <c r="C113" s="2" t="s">
        <v>269</v>
      </c>
      <c r="D113" t="s">
        <v>84</v>
      </c>
      <c r="E113" t="s">
        <v>391</v>
      </c>
      <c r="J113" t="str">
        <f t="shared" si="1"/>
        <v>no</v>
      </c>
    </row>
    <row r="114" spans="1:10" ht="19">
      <c r="A114">
        <v>113</v>
      </c>
      <c r="B114" s="1" t="s">
        <v>263</v>
      </c>
      <c r="C114" s="2" t="s">
        <v>269</v>
      </c>
      <c r="D114" t="s">
        <v>84</v>
      </c>
      <c r="E114" t="s">
        <v>391</v>
      </c>
      <c r="J114" t="str">
        <f t="shared" si="1"/>
        <v>no</v>
      </c>
    </row>
    <row r="115" spans="1:10" ht="19">
      <c r="A115">
        <v>114</v>
      </c>
      <c r="B115" s="1" t="s">
        <v>264</v>
      </c>
      <c r="C115" s="2" t="s">
        <v>267</v>
      </c>
      <c r="D115" t="s">
        <v>85</v>
      </c>
      <c r="E115" t="s">
        <v>391</v>
      </c>
      <c r="F115" t="s">
        <v>192</v>
      </c>
      <c r="G115" t="s">
        <v>1097</v>
      </c>
      <c r="J115" t="str">
        <f t="shared" si="1"/>
        <v>segmented videos list</v>
      </c>
    </row>
    <row r="116" spans="1:10" ht="19">
      <c r="A116">
        <v>115</v>
      </c>
      <c r="B116" s="1" t="s">
        <v>59</v>
      </c>
      <c r="C116" s="2" t="s">
        <v>271</v>
      </c>
      <c r="D116" t="s">
        <v>85</v>
      </c>
      <c r="E116" t="s">
        <v>391</v>
      </c>
      <c r="F116" t="s">
        <v>201</v>
      </c>
      <c r="G116" t="s">
        <v>1098</v>
      </c>
      <c r="J116" t="str">
        <f t="shared" si="1"/>
        <v>segmented videos list</v>
      </c>
    </row>
    <row r="117" spans="1:10" ht="19">
      <c r="A117">
        <v>116</v>
      </c>
      <c r="B117" s="1" t="s">
        <v>60</v>
      </c>
      <c r="C117" s="2" t="s">
        <v>271</v>
      </c>
      <c r="D117" t="s">
        <v>84</v>
      </c>
      <c r="E117" t="s">
        <v>391</v>
      </c>
      <c r="F117" t="s">
        <v>192</v>
      </c>
      <c r="G117" t="s">
        <v>1099</v>
      </c>
      <c r="J117" t="str">
        <f t="shared" si="1"/>
        <v>segmented videos list</v>
      </c>
    </row>
    <row r="118" spans="1:10" ht="19">
      <c r="A118">
        <v>117</v>
      </c>
      <c r="B118" s="1" t="s">
        <v>265</v>
      </c>
      <c r="C118" s="2" t="s">
        <v>267</v>
      </c>
      <c r="D118" t="s">
        <v>84</v>
      </c>
      <c r="E118" t="s">
        <v>391</v>
      </c>
      <c r="F118" t="s">
        <v>192</v>
      </c>
      <c r="G118" t="s">
        <v>1100</v>
      </c>
      <c r="J118" t="str">
        <f t="shared" si="1"/>
        <v>segmented videos list</v>
      </c>
    </row>
    <row r="119" spans="1:10" ht="19">
      <c r="A119">
        <v>118</v>
      </c>
      <c r="B119" s="1" t="s">
        <v>61</v>
      </c>
      <c r="C119" s="2" t="s">
        <v>271</v>
      </c>
      <c r="D119" t="s">
        <v>85</v>
      </c>
      <c r="E119" t="s">
        <v>391</v>
      </c>
      <c r="F119" t="s">
        <v>201</v>
      </c>
      <c r="G119" t="s">
        <v>1101</v>
      </c>
      <c r="J119" t="str">
        <f t="shared" si="1"/>
        <v>segmented videos list</v>
      </c>
    </row>
    <row r="120" spans="1:10" ht="19">
      <c r="A120">
        <v>119</v>
      </c>
      <c r="B120" s="1" t="s">
        <v>266</v>
      </c>
      <c r="C120" s="2" t="s">
        <v>269</v>
      </c>
      <c r="D120" t="s">
        <v>84</v>
      </c>
      <c r="E120" t="s">
        <v>391</v>
      </c>
      <c r="F120" t="s">
        <v>192</v>
      </c>
      <c r="G120" t="s">
        <v>1102</v>
      </c>
      <c r="J120" t="str">
        <f t="shared" si="1"/>
        <v>segmented videos list</v>
      </c>
    </row>
    <row r="121" spans="1:10" ht="19">
      <c r="A121">
        <v>120</v>
      </c>
      <c r="B121" s="1" t="s">
        <v>62</v>
      </c>
      <c r="C121" s="2" t="s">
        <v>271</v>
      </c>
      <c r="D121" t="s">
        <v>84</v>
      </c>
      <c r="E121" t="s">
        <v>391</v>
      </c>
      <c r="F121" t="s">
        <v>192</v>
      </c>
      <c r="G121" t="s">
        <v>1103</v>
      </c>
      <c r="J121" t="str">
        <f t="shared" si="1"/>
        <v>segmented videos list</v>
      </c>
    </row>
    <row r="122" spans="1:10" ht="19">
      <c r="A122">
        <v>121</v>
      </c>
      <c r="B122" s="1" t="s">
        <v>63</v>
      </c>
      <c r="C122" s="2" t="s">
        <v>271</v>
      </c>
      <c r="D122" t="s">
        <v>84</v>
      </c>
      <c r="E122" t="s">
        <v>391</v>
      </c>
      <c r="F122" t="s">
        <v>192</v>
      </c>
      <c r="G122" t="s">
        <v>1104</v>
      </c>
      <c r="J122" t="str">
        <f t="shared" si="1"/>
        <v>segmented videos list</v>
      </c>
    </row>
    <row r="123" spans="1:10" ht="19">
      <c r="A123">
        <v>122</v>
      </c>
      <c r="B123" s="1" t="s">
        <v>64</v>
      </c>
      <c r="C123" s="2" t="s">
        <v>271</v>
      </c>
      <c r="D123" t="s">
        <v>84</v>
      </c>
      <c r="E123" t="s">
        <v>391</v>
      </c>
      <c r="J123" t="str">
        <f t="shared" si="1"/>
        <v>no</v>
      </c>
    </row>
    <row r="124" spans="1:10" ht="19">
      <c r="A124">
        <v>123</v>
      </c>
      <c r="B124" s="1" t="s">
        <v>65</v>
      </c>
      <c r="C124" s="2" t="s">
        <v>271</v>
      </c>
      <c r="D124" t="s">
        <v>84</v>
      </c>
      <c r="E124" t="s">
        <v>391</v>
      </c>
      <c r="J124" t="str">
        <f t="shared" si="1"/>
        <v>no</v>
      </c>
    </row>
    <row r="125" spans="1:10" ht="19">
      <c r="A125">
        <v>124</v>
      </c>
      <c r="B125" s="1" t="s">
        <v>66</v>
      </c>
      <c r="C125" s="2" t="s">
        <v>271</v>
      </c>
      <c r="D125" t="s">
        <v>84</v>
      </c>
      <c r="E125" t="s">
        <v>391</v>
      </c>
      <c r="J125" t="str">
        <f t="shared" si="1"/>
        <v>no</v>
      </c>
    </row>
    <row r="126" spans="1:10" ht="19">
      <c r="A126">
        <v>125</v>
      </c>
      <c r="B126" s="1" t="s">
        <v>67</v>
      </c>
      <c r="C126" s="2" t="s">
        <v>271</v>
      </c>
      <c r="D126" t="s">
        <v>84</v>
      </c>
      <c r="E126" t="s">
        <v>391</v>
      </c>
      <c r="J126" t="str">
        <f t="shared" si="1"/>
        <v>no</v>
      </c>
    </row>
    <row r="127" spans="1:10" ht="19">
      <c r="A127">
        <v>126</v>
      </c>
      <c r="B127" s="1" t="s">
        <v>68</v>
      </c>
      <c r="C127" s="2" t="s">
        <v>271</v>
      </c>
      <c r="D127" t="s">
        <v>84</v>
      </c>
      <c r="E127" t="s">
        <v>391</v>
      </c>
      <c r="J127" t="str">
        <f t="shared" si="1"/>
        <v>no</v>
      </c>
    </row>
    <row r="128" spans="1:10" ht="19">
      <c r="A128">
        <v>127</v>
      </c>
      <c r="B128" s="1" t="s">
        <v>69</v>
      </c>
      <c r="C128" s="2" t="s">
        <v>271</v>
      </c>
      <c r="D128" t="s">
        <v>84</v>
      </c>
      <c r="E128" t="s">
        <v>391</v>
      </c>
      <c r="J128" t="str">
        <f t="shared" si="1"/>
        <v>no</v>
      </c>
    </row>
    <row r="129" spans="1:10" ht="19">
      <c r="A129">
        <v>128</v>
      </c>
      <c r="B129" s="1" t="s">
        <v>70</v>
      </c>
      <c r="C129" s="2" t="s">
        <v>271</v>
      </c>
      <c r="D129" t="s">
        <v>84</v>
      </c>
      <c r="E129" t="s">
        <v>391</v>
      </c>
      <c r="J129" t="str">
        <f t="shared" si="1"/>
        <v>no</v>
      </c>
    </row>
    <row r="130" spans="1:10" ht="19">
      <c r="A130">
        <v>129</v>
      </c>
      <c r="B130" s="1" t="s">
        <v>71</v>
      </c>
      <c r="C130" s="2" t="s">
        <v>271</v>
      </c>
      <c r="D130" t="s">
        <v>84</v>
      </c>
      <c r="E130" t="s">
        <v>391</v>
      </c>
      <c r="J130" t="str">
        <f t="shared" si="1"/>
        <v>no</v>
      </c>
    </row>
    <row r="131" spans="1:10" ht="19">
      <c r="A131">
        <v>130</v>
      </c>
      <c r="B131" s="1" t="s">
        <v>72</v>
      </c>
      <c r="C131" s="2" t="s">
        <v>271</v>
      </c>
      <c r="D131" t="s">
        <v>84</v>
      </c>
      <c r="E131" t="s">
        <v>391</v>
      </c>
      <c r="J131" t="str">
        <f t="shared" ref="J131:J142" si="2">IF(COUNTIF(K:K, B131)&gt;0,$K$1,"no")</f>
        <v>no</v>
      </c>
    </row>
    <row r="132" spans="1:10" ht="19">
      <c r="A132">
        <v>131</v>
      </c>
      <c r="B132" s="1" t="s">
        <v>73</v>
      </c>
      <c r="C132" s="2" t="s">
        <v>271</v>
      </c>
      <c r="D132" t="s">
        <v>84</v>
      </c>
      <c r="E132" t="s">
        <v>391</v>
      </c>
      <c r="J132" t="str">
        <f t="shared" si="2"/>
        <v>no</v>
      </c>
    </row>
    <row r="133" spans="1:10" ht="19">
      <c r="A133">
        <v>132</v>
      </c>
      <c r="B133" s="1" t="s">
        <v>74</v>
      </c>
      <c r="C133" s="2" t="s">
        <v>271</v>
      </c>
      <c r="D133" t="s">
        <v>84</v>
      </c>
      <c r="E133" t="s">
        <v>391</v>
      </c>
      <c r="J133" t="str">
        <f t="shared" si="2"/>
        <v>no</v>
      </c>
    </row>
    <row r="134" spans="1:10" ht="19">
      <c r="A134">
        <v>133</v>
      </c>
      <c r="B134" s="1" t="s">
        <v>75</v>
      </c>
      <c r="C134" s="2" t="s">
        <v>271</v>
      </c>
      <c r="D134" t="s">
        <v>84</v>
      </c>
      <c r="E134" t="s">
        <v>391</v>
      </c>
      <c r="J134" t="str">
        <f t="shared" si="2"/>
        <v>no</v>
      </c>
    </row>
    <row r="135" spans="1:10" ht="19">
      <c r="A135">
        <v>134</v>
      </c>
      <c r="B135" s="1" t="s">
        <v>76</v>
      </c>
      <c r="C135" s="2" t="s">
        <v>271</v>
      </c>
      <c r="D135" t="s">
        <v>84</v>
      </c>
      <c r="E135" t="s">
        <v>391</v>
      </c>
      <c r="J135" t="str">
        <f t="shared" si="2"/>
        <v>no</v>
      </c>
    </row>
    <row r="136" spans="1:10" ht="19">
      <c r="A136">
        <v>135</v>
      </c>
      <c r="B136" s="1" t="s">
        <v>77</v>
      </c>
      <c r="C136" s="2" t="s">
        <v>271</v>
      </c>
      <c r="D136" t="s">
        <v>84</v>
      </c>
      <c r="E136" t="s">
        <v>391</v>
      </c>
      <c r="J136" t="str">
        <f t="shared" si="2"/>
        <v>no</v>
      </c>
    </row>
    <row r="137" spans="1:10" ht="19">
      <c r="A137">
        <v>136</v>
      </c>
      <c r="B137" s="1" t="s">
        <v>78</v>
      </c>
      <c r="C137" s="2" t="s">
        <v>271</v>
      </c>
      <c r="D137" t="s">
        <v>84</v>
      </c>
      <c r="E137" t="s">
        <v>391</v>
      </c>
      <c r="J137" t="str">
        <f t="shared" si="2"/>
        <v>no</v>
      </c>
    </row>
    <row r="138" spans="1:10" ht="19">
      <c r="A138">
        <v>137</v>
      </c>
      <c r="B138" s="1" t="s">
        <v>79</v>
      </c>
      <c r="C138" s="2" t="s">
        <v>271</v>
      </c>
      <c r="D138" t="s">
        <v>84</v>
      </c>
      <c r="E138" t="s">
        <v>391</v>
      </c>
      <c r="J138" t="str">
        <f t="shared" si="2"/>
        <v>no</v>
      </c>
    </row>
    <row r="139" spans="1:10" ht="19">
      <c r="A139">
        <v>138</v>
      </c>
      <c r="B139" s="1" t="s">
        <v>80</v>
      </c>
      <c r="C139" s="2" t="s">
        <v>271</v>
      </c>
      <c r="D139" t="s">
        <v>84</v>
      </c>
      <c r="E139" t="s">
        <v>391</v>
      </c>
      <c r="J139" t="str">
        <f t="shared" si="2"/>
        <v>no</v>
      </c>
    </row>
    <row r="140" spans="1:10" ht="19">
      <c r="A140">
        <v>139</v>
      </c>
      <c r="B140" s="1" t="s">
        <v>81</v>
      </c>
      <c r="C140" s="2" t="s">
        <v>271</v>
      </c>
      <c r="D140" t="s">
        <v>84</v>
      </c>
      <c r="E140" t="s">
        <v>391</v>
      </c>
      <c r="J140" t="str">
        <f t="shared" si="2"/>
        <v>no</v>
      </c>
    </row>
    <row r="141" spans="1:10" ht="19">
      <c r="A141">
        <v>140</v>
      </c>
      <c r="B141" s="1" t="s">
        <v>82</v>
      </c>
      <c r="C141" s="2" t="s">
        <v>271</v>
      </c>
      <c r="D141" t="s">
        <v>84</v>
      </c>
      <c r="E141" t="s">
        <v>391</v>
      </c>
      <c r="J141" t="str">
        <f t="shared" si="2"/>
        <v>no</v>
      </c>
    </row>
    <row r="142" spans="1:10" ht="19">
      <c r="A142">
        <v>141</v>
      </c>
      <c r="B142" s="1" t="s">
        <v>83</v>
      </c>
      <c r="C142" s="2" t="s">
        <v>271</v>
      </c>
      <c r="D142" t="s">
        <v>84</v>
      </c>
      <c r="E142" t="s">
        <v>391</v>
      </c>
      <c r="J142" t="str">
        <f t="shared" si="2"/>
        <v>no</v>
      </c>
    </row>
    <row r="143" spans="1:10" ht="19">
      <c r="B143" s="1"/>
    </row>
    <row r="144" spans="1:10" ht="19">
      <c r="B144" s="1"/>
    </row>
  </sheetData>
  <autoFilter ref="A1:K142" xr:uid="{CDC925AE-7FF0-3244-95F6-37B0F343D4FE}"/>
  <phoneticPr fontId="1" type="noConversion"/>
  <conditionalFormatting sqref="E1:E1048576">
    <cfRule type="cellIs" dxfId="44" priority="2" operator="equal">
      <formula>"no"</formula>
    </cfRule>
    <cfRule type="cellIs" dxfId="43" priority="3" operator="equal">
      <formula>"yes"</formula>
    </cfRule>
  </conditionalFormatting>
  <conditionalFormatting sqref="F2:F142">
    <cfRule type="expression" dxfId="42" priority="1">
      <formula>F2&lt;&gt;E2</formula>
    </cfRule>
  </conditionalFormatting>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6B4BD-7F37-5148-95AF-17A163F1BBD5}">
  <sheetPr codeName="工作表11"/>
  <dimension ref="A1:K144"/>
  <sheetViews>
    <sheetView workbookViewId="0">
      <selection activeCell="J1" sqref="J1:J1048576"/>
    </sheetView>
  </sheetViews>
  <sheetFormatPr baseColWidth="10" defaultRowHeight="15"/>
  <cols>
    <col min="2" max="2" width="12.5" customWidth="1"/>
    <col min="3" max="3" width="4.83203125" style="2" customWidth="1"/>
    <col min="5" max="6" width="11.33203125" customWidth="1"/>
    <col min="7" max="7" width="13.1640625" style="13" customWidth="1"/>
    <col min="8" max="8" width="13.1640625" customWidth="1"/>
    <col min="9" max="10" width="14.33203125" customWidth="1"/>
  </cols>
  <sheetData>
    <row r="1" spans="1:11">
      <c r="A1" t="s">
        <v>88</v>
      </c>
      <c r="B1" t="s">
        <v>0</v>
      </c>
      <c r="C1" s="2" t="s">
        <v>202</v>
      </c>
      <c r="D1" t="s">
        <v>6</v>
      </c>
      <c r="E1" t="s">
        <v>1</v>
      </c>
      <c r="F1" t="s">
        <v>605</v>
      </c>
      <c r="G1" s="13" t="s">
        <v>2</v>
      </c>
      <c r="H1" t="s">
        <v>5</v>
      </c>
      <c r="I1" t="s">
        <v>3</v>
      </c>
      <c r="J1" t="s">
        <v>1067</v>
      </c>
      <c r="K1" t="s">
        <v>1105</v>
      </c>
    </row>
    <row r="2" spans="1:11" ht="19">
      <c r="A2">
        <v>1</v>
      </c>
      <c r="B2" s="1" t="s">
        <v>7</v>
      </c>
      <c r="C2" s="2" t="s">
        <v>271</v>
      </c>
      <c r="D2" t="s">
        <v>84</v>
      </c>
      <c r="E2" t="s">
        <v>391</v>
      </c>
      <c r="F2" t="s">
        <v>192</v>
      </c>
      <c r="G2" s="13" t="s">
        <v>516</v>
      </c>
      <c r="J2" t="s">
        <v>192</v>
      </c>
      <c r="K2" s="1" t="s">
        <v>7</v>
      </c>
    </row>
    <row r="3" spans="1:11" ht="19">
      <c r="A3">
        <v>2</v>
      </c>
      <c r="B3" s="1" t="s">
        <v>8</v>
      </c>
      <c r="C3" s="2" t="s">
        <v>271</v>
      </c>
      <c r="D3" t="s">
        <v>86</v>
      </c>
      <c r="E3" t="s">
        <v>391</v>
      </c>
      <c r="F3" t="s">
        <v>192</v>
      </c>
      <c r="G3" s="13" t="s">
        <v>517</v>
      </c>
      <c r="J3" t="s">
        <v>192</v>
      </c>
      <c r="K3" s="1" t="s">
        <v>8</v>
      </c>
    </row>
    <row r="4" spans="1:11" ht="19">
      <c r="A4">
        <v>3</v>
      </c>
      <c r="B4" s="1" t="s">
        <v>9</v>
      </c>
      <c r="C4" s="2" t="s">
        <v>271</v>
      </c>
      <c r="D4" t="s">
        <v>84</v>
      </c>
      <c r="E4" t="s">
        <v>391</v>
      </c>
      <c r="F4" t="s">
        <v>201</v>
      </c>
      <c r="G4" s="13" t="s">
        <v>518</v>
      </c>
      <c r="J4" t="s">
        <v>192</v>
      </c>
      <c r="K4" s="1" t="s">
        <v>9</v>
      </c>
    </row>
    <row r="5" spans="1:11" ht="19">
      <c r="A5">
        <v>4</v>
      </c>
      <c r="B5" s="1" t="s">
        <v>10</v>
      </c>
      <c r="C5" s="2" t="s">
        <v>271</v>
      </c>
      <c r="D5" t="s">
        <v>85</v>
      </c>
      <c r="E5" t="s">
        <v>391</v>
      </c>
      <c r="F5" t="s">
        <v>201</v>
      </c>
      <c r="G5" s="13" t="s">
        <v>519</v>
      </c>
      <c r="J5" t="s">
        <v>192</v>
      </c>
      <c r="K5" s="1" t="s">
        <v>10</v>
      </c>
    </row>
    <row r="6" spans="1:11" ht="19">
      <c r="A6">
        <v>5</v>
      </c>
      <c r="B6" s="1" t="s">
        <v>203</v>
      </c>
      <c r="C6" s="2" t="s">
        <v>267</v>
      </c>
      <c r="D6" t="s">
        <v>85</v>
      </c>
      <c r="E6" t="s">
        <v>391</v>
      </c>
      <c r="F6" t="s">
        <v>201</v>
      </c>
      <c r="G6" s="13" t="s">
        <v>520</v>
      </c>
      <c r="J6" t="s">
        <v>192</v>
      </c>
      <c r="K6" s="1" t="s">
        <v>203</v>
      </c>
    </row>
    <row r="7" spans="1:11" ht="19">
      <c r="A7">
        <v>6</v>
      </c>
      <c r="B7" s="1" t="s">
        <v>11</v>
      </c>
      <c r="C7" s="2" t="s">
        <v>271</v>
      </c>
      <c r="D7" t="s">
        <v>85</v>
      </c>
      <c r="E7" t="s">
        <v>391</v>
      </c>
      <c r="F7" t="s">
        <v>201</v>
      </c>
      <c r="G7" s="13" t="s">
        <v>519</v>
      </c>
      <c r="J7" t="s">
        <v>192</v>
      </c>
      <c r="K7" s="1" t="s">
        <v>11</v>
      </c>
    </row>
    <row r="8" spans="1:11" ht="19">
      <c r="A8">
        <v>7</v>
      </c>
      <c r="B8" s="1" t="s">
        <v>12</v>
      </c>
      <c r="C8" s="2" t="s">
        <v>271</v>
      </c>
      <c r="D8" t="s">
        <v>86</v>
      </c>
      <c r="E8" t="s">
        <v>391</v>
      </c>
      <c r="F8" t="s">
        <v>192</v>
      </c>
      <c r="G8" s="13" t="s">
        <v>517</v>
      </c>
      <c r="J8" t="s">
        <v>201</v>
      </c>
      <c r="K8" s="1" t="s">
        <v>204</v>
      </c>
    </row>
    <row r="9" spans="1:11" ht="19">
      <c r="A9">
        <v>8</v>
      </c>
      <c r="B9" s="1" t="s">
        <v>204</v>
      </c>
      <c r="C9" s="2" t="s">
        <v>271</v>
      </c>
      <c r="D9" t="s">
        <v>85</v>
      </c>
      <c r="E9" t="s">
        <v>391</v>
      </c>
      <c r="F9" t="s">
        <v>201</v>
      </c>
      <c r="G9" s="13" t="s">
        <v>519</v>
      </c>
      <c r="J9" t="s">
        <v>192</v>
      </c>
      <c r="K9" s="1" t="s">
        <v>13</v>
      </c>
    </row>
    <row r="10" spans="1:11" ht="19">
      <c r="A10">
        <v>9</v>
      </c>
      <c r="B10" s="1" t="s">
        <v>13</v>
      </c>
      <c r="C10" s="2" t="s">
        <v>271</v>
      </c>
      <c r="D10" t="s">
        <v>85</v>
      </c>
      <c r="E10" t="s">
        <v>391</v>
      </c>
      <c r="F10" t="s">
        <v>201</v>
      </c>
      <c r="G10" s="13" t="s">
        <v>521</v>
      </c>
      <c r="J10" t="s">
        <v>192</v>
      </c>
      <c r="K10" s="1" t="s">
        <v>14</v>
      </c>
    </row>
    <row r="11" spans="1:11" ht="19">
      <c r="A11">
        <v>10</v>
      </c>
      <c r="B11" s="1" t="s">
        <v>14</v>
      </c>
      <c r="C11" s="2" t="s">
        <v>271</v>
      </c>
      <c r="D11" t="s">
        <v>84</v>
      </c>
      <c r="E11" t="s">
        <v>391</v>
      </c>
      <c r="F11" t="s">
        <v>201</v>
      </c>
      <c r="G11" s="13" t="s">
        <v>520</v>
      </c>
      <c r="J11" t="s">
        <v>192</v>
      </c>
      <c r="K11" s="1" t="s">
        <v>208</v>
      </c>
    </row>
    <row r="12" spans="1:11" ht="19">
      <c r="A12">
        <v>11</v>
      </c>
      <c r="B12" s="1" t="s">
        <v>205</v>
      </c>
      <c r="C12" s="2" t="s">
        <v>269</v>
      </c>
      <c r="D12" t="s">
        <v>84</v>
      </c>
      <c r="E12" t="s">
        <v>391</v>
      </c>
      <c r="F12" t="s">
        <v>192</v>
      </c>
      <c r="G12" s="13" t="s">
        <v>522</v>
      </c>
      <c r="J12" t="s">
        <v>201</v>
      </c>
      <c r="K12" s="1" t="s">
        <v>19</v>
      </c>
    </row>
    <row r="13" spans="1:11" ht="19">
      <c r="A13">
        <v>12</v>
      </c>
      <c r="B13" s="1" t="s">
        <v>206</v>
      </c>
      <c r="C13" s="2" t="s">
        <v>267</v>
      </c>
      <c r="D13" t="s">
        <v>84</v>
      </c>
      <c r="E13" t="s">
        <v>391</v>
      </c>
      <c r="F13" t="s">
        <v>192</v>
      </c>
      <c r="G13" s="13" t="s">
        <v>523</v>
      </c>
      <c r="J13" t="s">
        <v>201</v>
      </c>
      <c r="K13" s="1" t="s">
        <v>20</v>
      </c>
    </row>
    <row r="14" spans="1:11" ht="19">
      <c r="A14">
        <v>13</v>
      </c>
      <c r="B14" s="1" t="s">
        <v>15</v>
      </c>
      <c r="C14" s="2" t="s">
        <v>271</v>
      </c>
      <c r="D14" t="s">
        <v>85</v>
      </c>
      <c r="E14" t="s">
        <v>391</v>
      </c>
      <c r="F14" t="s">
        <v>201</v>
      </c>
      <c r="G14" s="13" t="s">
        <v>524</v>
      </c>
      <c r="J14" t="s">
        <v>201</v>
      </c>
      <c r="K14" s="1" t="s">
        <v>209</v>
      </c>
    </row>
    <row r="15" spans="1:11" ht="19">
      <c r="A15">
        <v>14</v>
      </c>
      <c r="B15" s="1" t="s">
        <v>207</v>
      </c>
      <c r="C15" s="2" t="s">
        <v>267</v>
      </c>
      <c r="D15" t="s">
        <v>84</v>
      </c>
      <c r="E15" t="s">
        <v>391</v>
      </c>
      <c r="F15" t="s">
        <v>192</v>
      </c>
      <c r="G15" s="13" t="s">
        <v>525</v>
      </c>
      <c r="J15" t="s">
        <v>201</v>
      </c>
      <c r="K15" s="1" t="s">
        <v>210</v>
      </c>
    </row>
    <row r="16" spans="1:11" ht="19">
      <c r="A16">
        <v>15</v>
      </c>
      <c r="B16" s="1" t="s">
        <v>16</v>
      </c>
      <c r="C16" s="2" t="s">
        <v>271</v>
      </c>
      <c r="D16" t="s">
        <v>84</v>
      </c>
      <c r="E16" t="s">
        <v>391</v>
      </c>
      <c r="F16" t="s">
        <v>192</v>
      </c>
      <c r="G16" s="13" t="s">
        <v>528</v>
      </c>
      <c r="J16" t="s">
        <v>201</v>
      </c>
      <c r="K16" s="1" t="s">
        <v>211</v>
      </c>
    </row>
    <row r="17" spans="1:11" ht="19">
      <c r="A17">
        <v>16</v>
      </c>
      <c r="B17" s="1" t="s">
        <v>17</v>
      </c>
      <c r="C17" s="2" t="s">
        <v>271</v>
      </c>
      <c r="D17" t="s">
        <v>84</v>
      </c>
      <c r="E17" t="s">
        <v>391</v>
      </c>
      <c r="F17" t="s">
        <v>192</v>
      </c>
      <c r="G17" s="13" t="s">
        <v>523</v>
      </c>
      <c r="J17" t="s">
        <v>201</v>
      </c>
      <c r="K17" s="1" t="s">
        <v>212</v>
      </c>
    </row>
    <row r="18" spans="1:11" ht="19">
      <c r="A18">
        <v>17</v>
      </c>
      <c r="B18" s="1" t="s">
        <v>18</v>
      </c>
      <c r="C18" s="2" t="s">
        <v>271</v>
      </c>
      <c r="D18" t="s">
        <v>85</v>
      </c>
      <c r="E18" t="s">
        <v>391</v>
      </c>
      <c r="F18" t="s">
        <v>201</v>
      </c>
      <c r="G18" s="13" t="s">
        <v>520</v>
      </c>
      <c r="J18" t="s">
        <v>201</v>
      </c>
      <c r="K18" s="1" t="s">
        <v>213</v>
      </c>
    </row>
    <row r="19" spans="1:11" ht="19">
      <c r="A19">
        <v>18</v>
      </c>
      <c r="B19" s="1" t="s">
        <v>208</v>
      </c>
      <c r="C19" s="2" t="s">
        <v>267</v>
      </c>
      <c r="D19" t="s">
        <v>84</v>
      </c>
      <c r="E19" t="s">
        <v>391</v>
      </c>
      <c r="F19" t="s">
        <v>192</v>
      </c>
      <c r="G19" s="13" t="s">
        <v>528</v>
      </c>
      <c r="J19" t="s">
        <v>192</v>
      </c>
      <c r="K19" s="1" t="s">
        <v>21</v>
      </c>
    </row>
    <row r="20" spans="1:11" ht="19">
      <c r="A20">
        <v>19</v>
      </c>
      <c r="B20" s="1" t="s">
        <v>19</v>
      </c>
      <c r="C20" s="2" t="s">
        <v>271</v>
      </c>
      <c r="D20" t="s">
        <v>84</v>
      </c>
      <c r="E20" t="s">
        <v>391</v>
      </c>
      <c r="F20" t="s">
        <v>192</v>
      </c>
      <c r="G20" s="13" t="s">
        <v>528</v>
      </c>
      <c r="J20" t="s">
        <v>192</v>
      </c>
      <c r="K20" s="1" t="s">
        <v>22</v>
      </c>
    </row>
    <row r="21" spans="1:11" ht="19">
      <c r="A21">
        <v>20</v>
      </c>
      <c r="B21" s="1" t="s">
        <v>20</v>
      </c>
      <c r="C21" s="2" t="s">
        <v>271</v>
      </c>
      <c r="D21" t="s">
        <v>84</v>
      </c>
      <c r="E21" t="s">
        <v>391</v>
      </c>
      <c r="F21" t="s">
        <v>192</v>
      </c>
      <c r="G21" s="13" t="s">
        <v>528</v>
      </c>
      <c r="J21" t="s">
        <v>192</v>
      </c>
      <c r="K21" s="1" t="s">
        <v>217</v>
      </c>
    </row>
    <row r="22" spans="1:11" ht="19">
      <c r="A22">
        <v>21</v>
      </c>
      <c r="B22" s="1" t="s">
        <v>209</v>
      </c>
      <c r="C22" s="2" t="s">
        <v>272</v>
      </c>
      <c r="D22" t="s">
        <v>84</v>
      </c>
      <c r="E22" t="s">
        <v>391</v>
      </c>
      <c r="F22" t="s">
        <v>192</v>
      </c>
      <c r="G22" s="13" t="s">
        <v>528</v>
      </c>
      <c r="J22" t="s">
        <v>192</v>
      </c>
      <c r="K22" s="1" t="s">
        <v>218</v>
      </c>
    </row>
    <row r="23" spans="1:11" ht="19">
      <c r="A23">
        <v>22</v>
      </c>
      <c r="B23" s="1" t="s">
        <v>210</v>
      </c>
      <c r="C23" s="2" t="s">
        <v>267</v>
      </c>
      <c r="D23" t="s">
        <v>84</v>
      </c>
      <c r="E23" t="s">
        <v>391</v>
      </c>
      <c r="F23" t="s">
        <v>192</v>
      </c>
      <c r="G23" s="13" t="s">
        <v>528</v>
      </c>
      <c r="J23" t="s">
        <v>192</v>
      </c>
      <c r="K23" s="1" t="s">
        <v>220</v>
      </c>
    </row>
    <row r="24" spans="1:11" ht="19">
      <c r="A24">
        <v>23</v>
      </c>
      <c r="B24" s="1" t="s">
        <v>211</v>
      </c>
      <c r="C24" s="2" t="s">
        <v>271</v>
      </c>
      <c r="D24" t="s">
        <v>87</v>
      </c>
      <c r="E24" t="s">
        <v>391</v>
      </c>
      <c r="F24" t="s">
        <v>201</v>
      </c>
      <c r="G24" s="13" t="s">
        <v>524</v>
      </c>
      <c r="J24" t="s">
        <v>192</v>
      </c>
      <c r="K24" s="1" t="s">
        <v>221</v>
      </c>
    </row>
    <row r="25" spans="1:11" ht="19">
      <c r="A25">
        <v>24</v>
      </c>
      <c r="B25" s="1" t="s">
        <v>212</v>
      </c>
      <c r="C25" s="2" t="s">
        <v>273</v>
      </c>
      <c r="D25" t="s">
        <v>84</v>
      </c>
      <c r="E25" t="s">
        <v>391</v>
      </c>
      <c r="F25" t="s">
        <v>192</v>
      </c>
      <c r="G25" s="13" t="s">
        <v>528</v>
      </c>
      <c r="J25" t="s">
        <v>192</v>
      </c>
      <c r="K25" s="1" t="s">
        <v>222</v>
      </c>
    </row>
    <row r="26" spans="1:11" ht="19">
      <c r="A26">
        <v>25</v>
      </c>
      <c r="B26" s="1" t="s">
        <v>213</v>
      </c>
      <c r="C26" s="2" t="s">
        <v>273</v>
      </c>
      <c r="D26" t="s">
        <v>84</v>
      </c>
      <c r="E26" t="s">
        <v>391</v>
      </c>
      <c r="F26" t="s">
        <v>192</v>
      </c>
      <c r="G26" s="13" t="s">
        <v>528</v>
      </c>
      <c r="J26" t="s">
        <v>192</v>
      </c>
      <c r="K26" s="1" t="s">
        <v>223</v>
      </c>
    </row>
    <row r="27" spans="1:11" ht="19">
      <c r="A27">
        <v>26</v>
      </c>
      <c r="B27" s="1" t="s">
        <v>21</v>
      </c>
      <c r="C27" s="2" t="s">
        <v>271</v>
      </c>
      <c r="D27" t="s">
        <v>86</v>
      </c>
      <c r="E27" t="s">
        <v>391</v>
      </c>
      <c r="F27" t="s">
        <v>201</v>
      </c>
      <c r="G27" s="13" t="s">
        <v>524</v>
      </c>
      <c r="J27" t="s">
        <v>192</v>
      </c>
      <c r="K27" s="1" t="s">
        <v>27</v>
      </c>
    </row>
    <row r="28" spans="1:11" ht="19">
      <c r="A28">
        <v>27</v>
      </c>
      <c r="B28" s="1" t="s">
        <v>22</v>
      </c>
      <c r="C28" s="2" t="s">
        <v>271</v>
      </c>
      <c r="D28" t="s">
        <v>85</v>
      </c>
      <c r="E28" t="s">
        <v>391</v>
      </c>
      <c r="F28" t="s">
        <v>192</v>
      </c>
      <c r="G28" s="13" t="s">
        <v>525</v>
      </c>
      <c r="J28" t="s">
        <v>192</v>
      </c>
      <c r="K28" s="1" t="s">
        <v>224</v>
      </c>
    </row>
    <row r="29" spans="1:11" ht="19">
      <c r="A29">
        <v>28</v>
      </c>
      <c r="B29" s="1" t="s">
        <v>214</v>
      </c>
      <c r="C29" s="2" t="s">
        <v>269</v>
      </c>
      <c r="D29" t="s">
        <v>84</v>
      </c>
      <c r="E29" t="s">
        <v>391</v>
      </c>
      <c r="F29" t="s">
        <v>192</v>
      </c>
      <c r="G29" s="13" t="s">
        <v>528</v>
      </c>
      <c r="J29" t="s">
        <v>201</v>
      </c>
      <c r="K29" s="1" t="s">
        <v>225</v>
      </c>
    </row>
    <row r="30" spans="1:11" ht="19">
      <c r="A30">
        <v>29</v>
      </c>
      <c r="B30" s="1" t="s">
        <v>23</v>
      </c>
      <c r="C30" s="2" t="s">
        <v>271</v>
      </c>
      <c r="D30" t="s">
        <v>87</v>
      </c>
      <c r="E30" t="s">
        <v>391</v>
      </c>
      <c r="F30" t="s">
        <v>201</v>
      </c>
      <c r="G30" s="13" t="s">
        <v>529</v>
      </c>
      <c r="J30" t="s">
        <v>201</v>
      </c>
      <c r="K30" s="1" t="s">
        <v>226</v>
      </c>
    </row>
    <row r="31" spans="1:11" ht="19">
      <c r="A31">
        <v>30</v>
      </c>
      <c r="B31" s="1" t="s">
        <v>215</v>
      </c>
      <c r="C31" s="2" t="s">
        <v>269</v>
      </c>
      <c r="D31" t="s">
        <v>84</v>
      </c>
      <c r="E31" t="s">
        <v>391</v>
      </c>
      <c r="F31" t="s">
        <v>192</v>
      </c>
      <c r="G31" s="13" t="s">
        <v>530</v>
      </c>
      <c r="J31" t="s">
        <v>201</v>
      </c>
      <c r="K31" s="1" t="s">
        <v>227</v>
      </c>
    </row>
    <row r="32" spans="1:11" ht="19">
      <c r="A32">
        <v>31</v>
      </c>
      <c r="B32" s="1" t="s">
        <v>216</v>
      </c>
      <c r="C32" s="2" t="s">
        <v>269</v>
      </c>
      <c r="D32" t="s">
        <v>84</v>
      </c>
      <c r="E32" t="s">
        <v>391</v>
      </c>
      <c r="F32" t="s">
        <v>192</v>
      </c>
      <c r="G32" s="13" t="s">
        <v>531</v>
      </c>
      <c r="J32" t="s">
        <v>201</v>
      </c>
      <c r="K32" s="1" t="s">
        <v>228</v>
      </c>
    </row>
    <row r="33" spans="1:11" ht="19">
      <c r="A33">
        <v>32</v>
      </c>
      <c r="B33" s="1" t="s">
        <v>24</v>
      </c>
      <c r="C33" s="2" t="s">
        <v>271</v>
      </c>
      <c r="D33" t="s">
        <v>84</v>
      </c>
      <c r="E33" t="s">
        <v>391</v>
      </c>
      <c r="F33" t="s">
        <v>192</v>
      </c>
      <c r="G33" s="13" t="s">
        <v>532</v>
      </c>
      <c r="J33" t="s">
        <v>201</v>
      </c>
      <c r="K33" s="1" t="s">
        <v>229</v>
      </c>
    </row>
    <row r="34" spans="1:11" ht="19">
      <c r="A34">
        <v>33</v>
      </c>
      <c r="B34" s="1" t="s">
        <v>25</v>
      </c>
      <c r="C34" s="2" t="s">
        <v>271</v>
      </c>
      <c r="D34" t="s">
        <v>84</v>
      </c>
      <c r="E34" t="s">
        <v>391</v>
      </c>
      <c r="F34" t="s">
        <v>192</v>
      </c>
      <c r="G34" s="13" t="s">
        <v>533</v>
      </c>
      <c r="J34" t="s">
        <v>201</v>
      </c>
      <c r="K34" s="1" t="s">
        <v>230</v>
      </c>
    </row>
    <row r="35" spans="1:11" ht="19">
      <c r="A35">
        <v>34</v>
      </c>
      <c r="B35" s="1" t="s">
        <v>217</v>
      </c>
      <c r="C35" s="2" t="s">
        <v>267</v>
      </c>
      <c r="D35" t="s">
        <v>84</v>
      </c>
      <c r="E35" t="s">
        <v>391</v>
      </c>
      <c r="F35" t="s">
        <v>192</v>
      </c>
      <c r="G35" s="13" t="s">
        <v>534</v>
      </c>
      <c r="J35" t="s">
        <v>192</v>
      </c>
      <c r="K35" s="1" t="s">
        <v>231</v>
      </c>
    </row>
    <row r="36" spans="1:11" ht="19">
      <c r="A36">
        <v>35</v>
      </c>
      <c r="B36" s="1" t="s">
        <v>218</v>
      </c>
      <c r="C36" s="2" t="s">
        <v>269</v>
      </c>
      <c r="D36" t="s">
        <v>84</v>
      </c>
      <c r="E36" t="s">
        <v>391</v>
      </c>
      <c r="F36" t="s">
        <v>192</v>
      </c>
      <c r="G36" s="13" t="s">
        <v>535</v>
      </c>
      <c r="J36" t="s">
        <v>192</v>
      </c>
      <c r="K36" s="1" t="s">
        <v>232</v>
      </c>
    </row>
    <row r="37" spans="1:11" ht="19">
      <c r="A37">
        <v>36</v>
      </c>
      <c r="B37" s="1" t="s">
        <v>219</v>
      </c>
      <c r="C37" s="2" t="s">
        <v>269</v>
      </c>
      <c r="D37" t="s">
        <v>84</v>
      </c>
      <c r="E37" t="s">
        <v>391</v>
      </c>
      <c r="F37" t="s">
        <v>192</v>
      </c>
      <c r="G37" s="13" t="s">
        <v>536</v>
      </c>
      <c r="J37" t="s">
        <v>201</v>
      </c>
      <c r="K37" s="1" t="s">
        <v>233</v>
      </c>
    </row>
    <row r="38" spans="1:11" ht="19">
      <c r="A38">
        <v>37</v>
      </c>
      <c r="B38" s="1" t="s">
        <v>220</v>
      </c>
      <c r="C38" s="2" t="s">
        <v>269</v>
      </c>
      <c r="D38" t="s">
        <v>84</v>
      </c>
      <c r="E38" t="s">
        <v>391</v>
      </c>
      <c r="F38" t="s">
        <v>192</v>
      </c>
      <c r="G38" s="13" t="s">
        <v>537</v>
      </c>
      <c r="J38" t="s">
        <v>192</v>
      </c>
      <c r="K38" s="1" t="s">
        <v>234</v>
      </c>
    </row>
    <row r="39" spans="1:11" ht="19">
      <c r="A39">
        <v>38</v>
      </c>
      <c r="B39" s="1" t="s">
        <v>221</v>
      </c>
      <c r="C39" s="2" t="s">
        <v>269</v>
      </c>
      <c r="D39" t="s">
        <v>84</v>
      </c>
      <c r="E39" t="s">
        <v>391</v>
      </c>
      <c r="F39" t="s">
        <v>192</v>
      </c>
      <c r="G39" s="13" t="s">
        <v>538</v>
      </c>
      <c r="J39" t="s">
        <v>192</v>
      </c>
      <c r="K39" s="1" t="s">
        <v>235</v>
      </c>
    </row>
    <row r="40" spans="1:11" ht="19">
      <c r="A40">
        <v>39</v>
      </c>
      <c r="B40" s="1" t="s">
        <v>222</v>
      </c>
      <c r="C40" s="2" t="s">
        <v>267</v>
      </c>
      <c r="D40" t="s">
        <v>84</v>
      </c>
      <c r="E40" t="s">
        <v>391</v>
      </c>
      <c r="F40" t="s">
        <v>192</v>
      </c>
      <c r="G40" s="13" t="s">
        <v>539</v>
      </c>
      <c r="J40" t="s">
        <v>192</v>
      </c>
      <c r="K40" s="1" t="s">
        <v>236</v>
      </c>
    </row>
    <row r="41" spans="1:11" ht="19">
      <c r="A41">
        <v>40</v>
      </c>
      <c r="B41" s="1" t="s">
        <v>26</v>
      </c>
      <c r="C41" s="2" t="s">
        <v>271</v>
      </c>
      <c r="D41" t="s">
        <v>84</v>
      </c>
      <c r="E41" t="s">
        <v>391</v>
      </c>
      <c r="F41" t="s">
        <v>192</v>
      </c>
      <c r="G41" s="13" t="s">
        <v>540</v>
      </c>
      <c r="J41" t="s">
        <v>201</v>
      </c>
      <c r="K41" s="1" t="s">
        <v>237</v>
      </c>
    </row>
    <row r="42" spans="1:11" ht="19">
      <c r="A42">
        <v>41</v>
      </c>
      <c r="B42" s="1" t="s">
        <v>223</v>
      </c>
      <c r="C42" s="2" t="s">
        <v>269</v>
      </c>
      <c r="D42" t="s">
        <v>84</v>
      </c>
      <c r="E42" t="s">
        <v>391</v>
      </c>
      <c r="F42" t="s">
        <v>192</v>
      </c>
      <c r="G42" s="13" t="s">
        <v>541</v>
      </c>
      <c r="J42" t="s">
        <v>192</v>
      </c>
      <c r="K42" s="1" t="s">
        <v>238</v>
      </c>
    </row>
    <row r="43" spans="1:11" ht="19">
      <c r="A43">
        <v>42</v>
      </c>
      <c r="B43" s="1" t="s">
        <v>27</v>
      </c>
      <c r="C43" s="2" t="s">
        <v>271</v>
      </c>
      <c r="D43" t="s">
        <v>84</v>
      </c>
      <c r="E43" t="s">
        <v>391</v>
      </c>
      <c r="F43" t="s">
        <v>192</v>
      </c>
      <c r="G43" s="13" t="s">
        <v>542</v>
      </c>
      <c r="J43" t="s">
        <v>192</v>
      </c>
      <c r="K43" s="1" t="s">
        <v>28</v>
      </c>
    </row>
    <row r="44" spans="1:11" ht="19">
      <c r="A44">
        <v>43</v>
      </c>
      <c r="B44" s="1" t="s">
        <v>224</v>
      </c>
      <c r="C44" s="2" t="s">
        <v>267</v>
      </c>
      <c r="D44" t="s">
        <v>84</v>
      </c>
      <c r="E44" t="s">
        <v>391</v>
      </c>
      <c r="F44" t="s">
        <v>192</v>
      </c>
      <c r="G44" s="13" t="s">
        <v>543</v>
      </c>
      <c r="J44" t="s">
        <v>192</v>
      </c>
      <c r="K44" s="1" t="s">
        <v>29</v>
      </c>
    </row>
    <row r="45" spans="1:11" ht="19">
      <c r="A45">
        <v>44</v>
      </c>
      <c r="B45" s="1" t="s">
        <v>225</v>
      </c>
      <c r="C45" s="2" t="s">
        <v>274</v>
      </c>
      <c r="D45" t="s">
        <v>84</v>
      </c>
      <c r="E45" t="s">
        <v>391</v>
      </c>
      <c r="F45" t="s">
        <v>192</v>
      </c>
      <c r="G45" s="13" t="s">
        <v>544</v>
      </c>
      <c r="J45" t="s">
        <v>192</v>
      </c>
      <c r="K45" s="1" t="s">
        <v>239</v>
      </c>
    </row>
    <row r="46" spans="1:11" ht="19">
      <c r="A46">
        <v>45</v>
      </c>
      <c r="B46" s="1" t="s">
        <v>226</v>
      </c>
      <c r="C46" s="2" t="s">
        <v>274</v>
      </c>
      <c r="D46" t="s">
        <v>84</v>
      </c>
      <c r="E46" t="s">
        <v>391</v>
      </c>
      <c r="F46" t="s">
        <v>192</v>
      </c>
      <c r="G46" s="13" t="s">
        <v>545</v>
      </c>
      <c r="J46" t="s">
        <v>192</v>
      </c>
      <c r="K46" s="1" t="s">
        <v>30</v>
      </c>
    </row>
    <row r="47" spans="1:11" ht="19">
      <c r="A47">
        <v>46</v>
      </c>
      <c r="B47" s="1" t="s">
        <v>227</v>
      </c>
      <c r="C47" s="2" t="s">
        <v>269</v>
      </c>
      <c r="D47" t="s">
        <v>84</v>
      </c>
      <c r="E47" t="s">
        <v>391</v>
      </c>
      <c r="F47" t="s">
        <v>192</v>
      </c>
      <c r="G47" s="13" t="s">
        <v>546</v>
      </c>
      <c r="J47" t="s">
        <v>192</v>
      </c>
      <c r="K47" s="1" t="s">
        <v>240</v>
      </c>
    </row>
    <row r="48" spans="1:11" ht="19">
      <c r="A48">
        <v>47</v>
      </c>
      <c r="B48" s="1" t="s">
        <v>228</v>
      </c>
      <c r="C48" s="2" t="s">
        <v>269</v>
      </c>
      <c r="D48" t="s">
        <v>84</v>
      </c>
      <c r="E48" t="s">
        <v>391</v>
      </c>
      <c r="F48" t="s">
        <v>192</v>
      </c>
      <c r="G48" s="13" t="s">
        <v>547</v>
      </c>
      <c r="J48" t="s">
        <v>192</v>
      </c>
      <c r="K48" s="1" t="s">
        <v>31</v>
      </c>
    </row>
    <row r="49" spans="1:11" ht="19">
      <c r="A49">
        <v>48</v>
      </c>
      <c r="B49" s="1" t="s">
        <v>229</v>
      </c>
      <c r="C49" s="2" t="s">
        <v>269</v>
      </c>
      <c r="D49" t="s">
        <v>84</v>
      </c>
      <c r="E49" t="s">
        <v>391</v>
      </c>
      <c r="F49" t="s">
        <v>192</v>
      </c>
      <c r="G49" s="13" t="s">
        <v>548</v>
      </c>
      <c r="J49" t="s">
        <v>192</v>
      </c>
      <c r="K49" s="1" t="s">
        <v>241</v>
      </c>
    </row>
    <row r="50" spans="1:11" ht="19">
      <c r="A50">
        <v>49</v>
      </c>
      <c r="B50" s="1" t="s">
        <v>230</v>
      </c>
      <c r="C50" s="2" t="s">
        <v>269</v>
      </c>
      <c r="D50" t="s">
        <v>84</v>
      </c>
      <c r="E50" t="s">
        <v>391</v>
      </c>
      <c r="F50" t="s">
        <v>192</v>
      </c>
      <c r="G50" s="13" t="s">
        <v>549</v>
      </c>
      <c r="J50" t="s">
        <v>192</v>
      </c>
      <c r="K50" s="1" t="s">
        <v>32</v>
      </c>
    </row>
    <row r="51" spans="1:11" ht="19">
      <c r="A51">
        <v>50</v>
      </c>
      <c r="B51" s="1" t="s">
        <v>231</v>
      </c>
      <c r="C51" s="2" t="s">
        <v>269</v>
      </c>
      <c r="D51" t="s">
        <v>84</v>
      </c>
      <c r="E51" t="s">
        <v>391</v>
      </c>
      <c r="F51" t="s">
        <v>192</v>
      </c>
      <c r="G51" s="13" t="s">
        <v>550</v>
      </c>
      <c r="J51" t="s">
        <v>192</v>
      </c>
      <c r="K51" s="1" t="s">
        <v>33</v>
      </c>
    </row>
    <row r="52" spans="1:11" ht="19">
      <c r="A52">
        <v>51</v>
      </c>
      <c r="B52" s="1" t="s">
        <v>232</v>
      </c>
      <c r="C52" s="2" t="s">
        <v>274</v>
      </c>
      <c r="D52" t="s">
        <v>84</v>
      </c>
      <c r="E52" t="s">
        <v>391</v>
      </c>
      <c r="F52" t="s">
        <v>192</v>
      </c>
      <c r="G52" s="13" t="s">
        <v>550</v>
      </c>
      <c r="J52" t="s">
        <v>192</v>
      </c>
      <c r="K52" s="1" t="s">
        <v>34</v>
      </c>
    </row>
    <row r="53" spans="1:11" ht="19">
      <c r="A53">
        <v>52</v>
      </c>
      <c r="B53" s="1" t="s">
        <v>233</v>
      </c>
      <c r="C53" s="2" t="s">
        <v>274</v>
      </c>
      <c r="D53" t="s">
        <v>84</v>
      </c>
      <c r="E53" t="s">
        <v>391</v>
      </c>
      <c r="F53" t="s">
        <v>192</v>
      </c>
      <c r="G53" s="13" t="s">
        <v>551</v>
      </c>
      <c r="J53" t="s">
        <v>192</v>
      </c>
      <c r="K53" s="1" t="s">
        <v>35</v>
      </c>
    </row>
    <row r="54" spans="1:11" ht="19">
      <c r="A54">
        <v>53</v>
      </c>
      <c r="B54" s="1" t="s">
        <v>234</v>
      </c>
      <c r="C54" s="2" t="s">
        <v>274</v>
      </c>
      <c r="D54" t="s">
        <v>84</v>
      </c>
      <c r="E54" t="s">
        <v>391</v>
      </c>
      <c r="F54" t="s">
        <v>192</v>
      </c>
      <c r="G54" s="13" t="s">
        <v>551</v>
      </c>
      <c r="J54" t="s">
        <v>192</v>
      </c>
      <c r="K54" s="1" t="s">
        <v>36</v>
      </c>
    </row>
    <row r="55" spans="1:11" ht="19">
      <c r="A55">
        <v>54</v>
      </c>
      <c r="B55" s="1" t="s">
        <v>235</v>
      </c>
      <c r="C55" s="2" t="s">
        <v>274</v>
      </c>
      <c r="D55" t="s">
        <v>84</v>
      </c>
      <c r="E55" t="s">
        <v>391</v>
      </c>
      <c r="F55" t="s">
        <v>192</v>
      </c>
      <c r="G55" s="13" t="s">
        <v>552</v>
      </c>
      <c r="J55" t="s">
        <v>192</v>
      </c>
      <c r="K55" s="1" t="s">
        <v>37</v>
      </c>
    </row>
    <row r="56" spans="1:11" ht="19">
      <c r="A56">
        <v>55</v>
      </c>
      <c r="B56" s="1" t="s">
        <v>236</v>
      </c>
      <c r="C56" s="2" t="s">
        <v>269</v>
      </c>
      <c r="D56" t="s">
        <v>84</v>
      </c>
      <c r="E56" t="s">
        <v>391</v>
      </c>
      <c r="F56" t="s">
        <v>192</v>
      </c>
      <c r="G56" s="13" t="s">
        <v>553</v>
      </c>
      <c r="J56" t="s">
        <v>192</v>
      </c>
      <c r="K56" s="1" t="s">
        <v>38</v>
      </c>
    </row>
    <row r="57" spans="1:11" ht="19">
      <c r="A57">
        <v>56</v>
      </c>
      <c r="B57" s="1" t="s">
        <v>237</v>
      </c>
      <c r="C57" s="2" t="s">
        <v>269</v>
      </c>
      <c r="D57" t="s">
        <v>84</v>
      </c>
      <c r="E57" t="s">
        <v>391</v>
      </c>
      <c r="F57" t="s">
        <v>192</v>
      </c>
      <c r="G57" s="13" t="s">
        <v>554</v>
      </c>
      <c r="J57" t="s">
        <v>192</v>
      </c>
      <c r="K57" s="1" t="s">
        <v>39</v>
      </c>
    </row>
    <row r="58" spans="1:11" ht="19">
      <c r="A58">
        <v>57</v>
      </c>
      <c r="B58" s="1" t="s">
        <v>238</v>
      </c>
      <c r="C58" s="2" t="s">
        <v>269</v>
      </c>
      <c r="D58" t="s">
        <v>84</v>
      </c>
      <c r="E58" t="s">
        <v>391</v>
      </c>
      <c r="F58" t="s">
        <v>201</v>
      </c>
      <c r="G58" s="13" t="s">
        <v>555</v>
      </c>
      <c r="J58" t="s">
        <v>192</v>
      </c>
      <c r="K58" s="1" t="s">
        <v>242</v>
      </c>
    </row>
    <row r="59" spans="1:11" ht="19">
      <c r="A59">
        <v>58</v>
      </c>
      <c r="B59" s="1" t="s">
        <v>28</v>
      </c>
      <c r="C59" s="2" t="s">
        <v>271</v>
      </c>
      <c r="D59" t="s">
        <v>84</v>
      </c>
      <c r="E59" t="s">
        <v>391</v>
      </c>
      <c r="F59" t="s">
        <v>201</v>
      </c>
      <c r="G59" s="13" t="s">
        <v>556</v>
      </c>
      <c r="J59" t="s">
        <v>192</v>
      </c>
      <c r="K59" s="1" t="s">
        <v>40</v>
      </c>
    </row>
    <row r="60" spans="1:11" ht="19">
      <c r="A60">
        <v>59</v>
      </c>
      <c r="B60" s="1" t="s">
        <v>29</v>
      </c>
      <c r="C60" s="2" t="s">
        <v>271</v>
      </c>
      <c r="D60" t="s">
        <v>85</v>
      </c>
      <c r="E60" t="s">
        <v>391</v>
      </c>
      <c r="F60" t="s">
        <v>201</v>
      </c>
      <c r="G60" s="13" t="s">
        <v>556</v>
      </c>
      <c r="J60" t="s">
        <v>192</v>
      </c>
      <c r="K60" s="1" t="s">
        <v>251</v>
      </c>
    </row>
    <row r="61" spans="1:11" ht="19">
      <c r="A61">
        <v>60</v>
      </c>
      <c r="B61" s="1" t="s">
        <v>239</v>
      </c>
      <c r="C61" s="2" t="s">
        <v>269</v>
      </c>
      <c r="D61" t="s">
        <v>84</v>
      </c>
      <c r="E61" t="s">
        <v>391</v>
      </c>
      <c r="F61" t="s">
        <v>192</v>
      </c>
      <c r="G61" s="13" t="s">
        <v>557</v>
      </c>
      <c r="J61" t="s">
        <v>192</v>
      </c>
      <c r="K61" s="1" t="s">
        <v>54</v>
      </c>
    </row>
    <row r="62" spans="1:11" ht="19">
      <c r="A62">
        <v>61</v>
      </c>
      <c r="B62" s="1" t="s">
        <v>30</v>
      </c>
      <c r="C62" s="2" t="s">
        <v>271</v>
      </c>
      <c r="D62" t="s">
        <v>84</v>
      </c>
      <c r="E62" t="s">
        <v>391</v>
      </c>
      <c r="F62" t="s">
        <v>201</v>
      </c>
      <c r="G62" s="13" t="s">
        <v>556</v>
      </c>
      <c r="J62" t="s">
        <v>192</v>
      </c>
      <c r="K62" s="1" t="s">
        <v>55</v>
      </c>
    </row>
    <row r="63" spans="1:11" ht="19">
      <c r="A63">
        <v>62</v>
      </c>
      <c r="B63" s="1" t="s">
        <v>240</v>
      </c>
      <c r="C63" s="2" t="s">
        <v>269</v>
      </c>
      <c r="D63" t="s">
        <v>84</v>
      </c>
      <c r="E63" t="s">
        <v>391</v>
      </c>
      <c r="F63" t="s">
        <v>192</v>
      </c>
      <c r="G63" s="13" t="s">
        <v>558</v>
      </c>
      <c r="J63" t="s">
        <v>192</v>
      </c>
      <c r="K63" s="1" t="s">
        <v>252</v>
      </c>
    </row>
    <row r="64" spans="1:11" ht="19">
      <c r="A64">
        <v>63</v>
      </c>
      <c r="B64" s="1" t="s">
        <v>31</v>
      </c>
      <c r="C64" s="2" t="s">
        <v>271</v>
      </c>
      <c r="D64" t="s">
        <v>85</v>
      </c>
      <c r="E64" t="s">
        <v>391</v>
      </c>
      <c r="F64" t="s">
        <v>201</v>
      </c>
      <c r="G64" s="13" t="s">
        <v>559</v>
      </c>
      <c r="J64" t="s">
        <v>192</v>
      </c>
      <c r="K64" s="1" t="s">
        <v>56</v>
      </c>
    </row>
    <row r="65" spans="1:11" ht="19">
      <c r="A65">
        <v>64</v>
      </c>
      <c r="B65" s="1" t="s">
        <v>241</v>
      </c>
      <c r="C65" s="2" t="s">
        <v>269</v>
      </c>
      <c r="D65" t="s">
        <v>84</v>
      </c>
      <c r="E65" t="s">
        <v>391</v>
      </c>
      <c r="F65" t="s">
        <v>192</v>
      </c>
      <c r="G65" s="13" t="s">
        <v>558</v>
      </c>
      <c r="J65" t="s">
        <v>192</v>
      </c>
      <c r="K65" s="1" t="s">
        <v>253</v>
      </c>
    </row>
    <row r="66" spans="1:11" ht="19">
      <c r="A66">
        <v>65</v>
      </c>
      <c r="B66" s="1" t="s">
        <v>32</v>
      </c>
      <c r="C66" s="2" t="s">
        <v>271</v>
      </c>
      <c r="D66" t="s">
        <v>84</v>
      </c>
      <c r="E66" t="s">
        <v>391</v>
      </c>
      <c r="F66" t="s">
        <v>192</v>
      </c>
      <c r="G66" s="13" t="s">
        <v>558</v>
      </c>
      <c r="J66" t="s">
        <v>192</v>
      </c>
      <c r="K66" s="1" t="s">
        <v>57</v>
      </c>
    </row>
    <row r="67" spans="1:11" ht="19">
      <c r="A67">
        <v>66</v>
      </c>
      <c r="B67" s="1" t="s">
        <v>33</v>
      </c>
      <c r="C67" s="2" t="s">
        <v>271</v>
      </c>
      <c r="D67" t="s">
        <v>85</v>
      </c>
      <c r="E67" t="s">
        <v>391</v>
      </c>
      <c r="F67" t="s">
        <v>201</v>
      </c>
      <c r="G67" s="13" t="s">
        <v>559</v>
      </c>
      <c r="J67" t="s">
        <v>192</v>
      </c>
      <c r="K67" s="1" t="s">
        <v>58</v>
      </c>
    </row>
    <row r="68" spans="1:11" ht="19">
      <c r="A68">
        <v>67</v>
      </c>
      <c r="B68" s="1" t="s">
        <v>34</v>
      </c>
      <c r="C68" s="2" t="s">
        <v>271</v>
      </c>
      <c r="D68" t="s">
        <v>87</v>
      </c>
      <c r="E68" t="s">
        <v>391</v>
      </c>
      <c r="F68" t="s">
        <v>201</v>
      </c>
      <c r="G68" s="13" t="s">
        <v>560</v>
      </c>
      <c r="J68" t="s">
        <v>192</v>
      </c>
      <c r="K68" s="1" t="s">
        <v>254</v>
      </c>
    </row>
    <row r="69" spans="1:11" ht="19">
      <c r="A69">
        <v>68</v>
      </c>
      <c r="B69" s="1" t="s">
        <v>35</v>
      </c>
      <c r="C69" s="2" t="s">
        <v>271</v>
      </c>
      <c r="D69" t="s">
        <v>85</v>
      </c>
      <c r="E69" t="s">
        <v>391</v>
      </c>
      <c r="F69" t="s">
        <v>192</v>
      </c>
      <c r="G69" s="13" t="s">
        <v>561</v>
      </c>
      <c r="J69" t="s">
        <v>192</v>
      </c>
      <c r="K69" s="1" t="s">
        <v>255</v>
      </c>
    </row>
    <row r="70" spans="1:11" ht="19">
      <c r="A70">
        <v>69</v>
      </c>
      <c r="B70" s="1" t="s">
        <v>36</v>
      </c>
      <c r="C70" s="2" t="s">
        <v>271</v>
      </c>
      <c r="D70" t="s">
        <v>85</v>
      </c>
      <c r="E70" t="s">
        <v>391</v>
      </c>
      <c r="F70" t="s">
        <v>192</v>
      </c>
      <c r="G70" s="13" t="s">
        <v>562</v>
      </c>
      <c r="J70" t="s">
        <v>192</v>
      </c>
      <c r="K70" s="1" t="s">
        <v>257</v>
      </c>
    </row>
    <row r="71" spans="1:11" ht="19">
      <c r="A71">
        <v>70</v>
      </c>
      <c r="B71" s="1" t="s">
        <v>37</v>
      </c>
      <c r="C71" s="2" t="s">
        <v>271</v>
      </c>
      <c r="D71" t="s">
        <v>85</v>
      </c>
      <c r="E71" t="s">
        <v>391</v>
      </c>
      <c r="F71" t="s">
        <v>192</v>
      </c>
      <c r="G71" s="13" t="s">
        <v>563</v>
      </c>
      <c r="J71" t="s">
        <v>192</v>
      </c>
      <c r="K71" s="1" t="s">
        <v>264</v>
      </c>
    </row>
    <row r="72" spans="1:11" ht="19">
      <c r="A72">
        <v>71</v>
      </c>
      <c r="B72" s="1" t="s">
        <v>38</v>
      </c>
      <c r="C72" s="2" t="s">
        <v>271</v>
      </c>
      <c r="D72" t="s">
        <v>84</v>
      </c>
      <c r="E72" t="s">
        <v>391</v>
      </c>
      <c r="F72" t="s">
        <v>192</v>
      </c>
      <c r="G72" s="13" t="s">
        <v>564</v>
      </c>
      <c r="J72" t="s">
        <v>192</v>
      </c>
      <c r="K72" s="1" t="s">
        <v>59</v>
      </c>
    </row>
    <row r="73" spans="1:11" ht="19">
      <c r="A73">
        <v>72</v>
      </c>
      <c r="B73" s="1" t="s">
        <v>39</v>
      </c>
      <c r="C73" s="2" t="s">
        <v>271</v>
      </c>
      <c r="D73" t="s">
        <v>84</v>
      </c>
      <c r="E73" t="s">
        <v>391</v>
      </c>
      <c r="F73" t="s">
        <v>192</v>
      </c>
      <c r="G73" s="13" t="s">
        <v>565</v>
      </c>
      <c r="J73" t="s">
        <v>192</v>
      </c>
      <c r="K73" s="1" t="s">
        <v>60</v>
      </c>
    </row>
    <row r="74" spans="1:11" ht="19">
      <c r="A74">
        <v>73</v>
      </c>
      <c r="B74" s="1" t="s">
        <v>242</v>
      </c>
      <c r="C74" s="2" t="s">
        <v>267</v>
      </c>
      <c r="D74" t="s">
        <v>84</v>
      </c>
      <c r="E74" t="s">
        <v>391</v>
      </c>
      <c r="F74" t="s">
        <v>192</v>
      </c>
      <c r="G74" s="13" t="s">
        <v>566</v>
      </c>
      <c r="J74" t="s">
        <v>192</v>
      </c>
      <c r="K74" s="1" t="s">
        <v>265</v>
      </c>
    </row>
    <row r="75" spans="1:11" ht="19">
      <c r="A75">
        <v>74</v>
      </c>
      <c r="B75" s="1" t="s">
        <v>40</v>
      </c>
      <c r="C75" s="2" t="s">
        <v>271</v>
      </c>
      <c r="D75" t="s">
        <v>84</v>
      </c>
      <c r="E75" t="s">
        <v>391</v>
      </c>
      <c r="F75" t="s">
        <v>201</v>
      </c>
      <c r="G75" s="13" t="s">
        <v>567</v>
      </c>
      <c r="J75" t="s">
        <v>192</v>
      </c>
      <c r="K75" s="1" t="s">
        <v>61</v>
      </c>
    </row>
    <row r="76" spans="1:11" ht="19">
      <c r="A76">
        <v>75</v>
      </c>
      <c r="B76" s="1" t="s">
        <v>243</v>
      </c>
      <c r="C76" s="2" t="s">
        <v>269</v>
      </c>
      <c r="D76" t="s">
        <v>84</v>
      </c>
      <c r="E76" t="s">
        <v>391</v>
      </c>
      <c r="F76" t="s">
        <v>192</v>
      </c>
      <c r="G76" s="13" t="s">
        <v>568</v>
      </c>
      <c r="J76" t="s">
        <v>201</v>
      </c>
      <c r="K76" s="1" t="s">
        <v>266</v>
      </c>
    </row>
    <row r="77" spans="1:11" ht="19">
      <c r="A77">
        <v>76</v>
      </c>
      <c r="B77" s="1" t="s">
        <v>41</v>
      </c>
      <c r="C77" s="2" t="s">
        <v>271</v>
      </c>
      <c r="D77" t="s">
        <v>84</v>
      </c>
      <c r="E77" t="s">
        <v>391</v>
      </c>
      <c r="F77" t="s">
        <v>192</v>
      </c>
      <c r="G77" s="13" t="s">
        <v>569</v>
      </c>
      <c r="J77" t="s">
        <v>201</v>
      </c>
      <c r="K77" s="1" t="s">
        <v>62</v>
      </c>
    </row>
    <row r="78" spans="1:11" ht="19">
      <c r="A78">
        <v>77</v>
      </c>
      <c r="B78" s="1" t="s">
        <v>244</v>
      </c>
      <c r="C78" s="2" t="s">
        <v>274</v>
      </c>
      <c r="D78" t="s">
        <v>84</v>
      </c>
      <c r="E78" t="s">
        <v>391</v>
      </c>
      <c r="F78" t="s">
        <v>192</v>
      </c>
      <c r="G78" s="5" t="s">
        <v>570</v>
      </c>
      <c r="J78" t="s">
        <v>201</v>
      </c>
      <c r="K78" s="1" t="s">
        <v>63</v>
      </c>
    </row>
    <row r="79" spans="1:11" ht="19">
      <c r="A79">
        <v>78</v>
      </c>
      <c r="B79" s="1" t="s">
        <v>245</v>
      </c>
      <c r="C79" s="2" t="s">
        <v>269</v>
      </c>
      <c r="D79" t="s">
        <v>84</v>
      </c>
      <c r="E79" t="s">
        <v>391</v>
      </c>
      <c r="F79" t="s">
        <v>192</v>
      </c>
      <c r="G79" s="5" t="s">
        <v>571</v>
      </c>
      <c r="J79" t="s">
        <v>201</v>
      </c>
      <c r="K79" s="1"/>
    </row>
    <row r="80" spans="1:11" ht="19">
      <c r="A80">
        <v>79</v>
      </c>
      <c r="B80" s="1" t="s">
        <v>42</v>
      </c>
      <c r="C80" s="2" t="s">
        <v>271</v>
      </c>
      <c r="D80" t="s">
        <v>87</v>
      </c>
      <c r="E80" t="s">
        <v>391</v>
      </c>
      <c r="F80" t="s">
        <v>192</v>
      </c>
      <c r="G80" s="5" t="s">
        <v>572</v>
      </c>
      <c r="J80" t="s">
        <v>201</v>
      </c>
      <c r="K80" s="1"/>
    </row>
    <row r="81" spans="1:10" ht="19">
      <c r="A81">
        <v>80</v>
      </c>
      <c r="B81" s="1" t="s">
        <v>43</v>
      </c>
      <c r="C81" s="2" t="s">
        <v>271</v>
      </c>
      <c r="D81" t="s">
        <v>87</v>
      </c>
      <c r="E81" t="s">
        <v>391</v>
      </c>
      <c r="F81" t="s">
        <v>201</v>
      </c>
      <c r="G81" s="13" t="s">
        <v>573</v>
      </c>
      <c r="J81" t="s">
        <v>201</v>
      </c>
    </row>
    <row r="82" spans="1:10" ht="19">
      <c r="A82">
        <v>81</v>
      </c>
      <c r="B82" s="1" t="s">
        <v>246</v>
      </c>
      <c r="C82" s="2" t="s">
        <v>273</v>
      </c>
      <c r="D82" t="s">
        <v>84</v>
      </c>
      <c r="E82" t="s">
        <v>391</v>
      </c>
      <c r="F82" t="s">
        <v>192</v>
      </c>
      <c r="G82" s="13" t="s">
        <v>574</v>
      </c>
      <c r="J82" t="s">
        <v>201</v>
      </c>
    </row>
    <row r="83" spans="1:10" ht="19">
      <c r="A83">
        <v>82</v>
      </c>
      <c r="B83" s="1" t="s">
        <v>247</v>
      </c>
      <c r="C83" s="2" t="s">
        <v>269</v>
      </c>
      <c r="D83" t="s">
        <v>84</v>
      </c>
      <c r="E83" t="s">
        <v>391</v>
      </c>
      <c r="F83" t="s">
        <v>192</v>
      </c>
      <c r="G83" s="13" t="s">
        <v>575</v>
      </c>
      <c r="J83" t="s">
        <v>201</v>
      </c>
    </row>
    <row r="84" spans="1:10" ht="19">
      <c r="A84">
        <v>83</v>
      </c>
      <c r="B84" s="1" t="s">
        <v>248</v>
      </c>
      <c r="C84" s="2" t="s">
        <v>269</v>
      </c>
      <c r="D84" t="s">
        <v>84</v>
      </c>
      <c r="E84" t="s">
        <v>391</v>
      </c>
      <c r="F84" t="s">
        <v>192</v>
      </c>
      <c r="G84" s="13" t="s">
        <v>576</v>
      </c>
      <c r="J84" t="s">
        <v>201</v>
      </c>
    </row>
    <row r="85" spans="1:10" ht="19">
      <c r="A85">
        <v>84</v>
      </c>
      <c r="B85" s="1" t="s">
        <v>44</v>
      </c>
      <c r="C85" s="2" t="s">
        <v>271</v>
      </c>
      <c r="D85" t="s">
        <v>87</v>
      </c>
      <c r="E85" t="s">
        <v>391</v>
      </c>
      <c r="F85" t="s">
        <v>201</v>
      </c>
      <c r="G85" s="13" t="s">
        <v>577</v>
      </c>
      <c r="J85" t="s">
        <v>201</v>
      </c>
    </row>
    <row r="86" spans="1:10" ht="19">
      <c r="A86">
        <v>85</v>
      </c>
      <c r="B86" s="1" t="s">
        <v>249</v>
      </c>
      <c r="C86" s="2" t="s">
        <v>274</v>
      </c>
      <c r="D86" t="s">
        <v>84</v>
      </c>
      <c r="E86" t="s">
        <v>391</v>
      </c>
      <c r="F86" t="s">
        <v>192</v>
      </c>
      <c r="G86" s="13" t="s">
        <v>578</v>
      </c>
      <c r="J86" t="s">
        <v>201</v>
      </c>
    </row>
    <row r="87" spans="1:10" ht="19">
      <c r="A87">
        <v>86</v>
      </c>
      <c r="B87" s="1" t="s">
        <v>45</v>
      </c>
      <c r="C87" s="2" t="s">
        <v>271</v>
      </c>
      <c r="D87" t="s">
        <v>84</v>
      </c>
      <c r="E87" t="s">
        <v>391</v>
      </c>
      <c r="F87" t="s">
        <v>192</v>
      </c>
      <c r="G87" s="13" t="s">
        <v>579</v>
      </c>
      <c r="J87" t="s">
        <v>201</v>
      </c>
    </row>
    <row r="88" spans="1:10" ht="19">
      <c r="A88">
        <v>87</v>
      </c>
      <c r="B88" s="1" t="s">
        <v>250</v>
      </c>
      <c r="C88" s="2" t="s">
        <v>268</v>
      </c>
      <c r="D88" t="s">
        <v>84</v>
      </c>
      <c r="E88" t="s">
        <v>391</v>
      </c>
      <c r="F88" t="s">
        <v>192</v>
      </c>
      <c r="G88" s="13" t="s">
        <v>580</v>
      </c>
      <c r="J88" t="s">
        <v>201</v>
      </c>
    </row>
    <row r="89" spans="1:10" ht="19">
      <c r="A89">
        <v>88</v>
      </c>
      <c r="B89" s="1" t="s">
        <v>46</v>
      </c>
      <c r="C89" s="2" t="s">
        <v>271</v>
      </c>
      <c r="D89" t="s">
        <v>84</v>
      </c>
      <c r="E89" t="s">
        <v>391</v>
      </c>
      <c r="F89" t="s">
        <v>192</v>
      </c>
      <c r="G89" s="13" t="s">
        <v>581</v>
      </c>
      <c r="J89" t="s">
        <v>201</v>
      </c>
    </row>
    <row r="90" spans="1:10" ht="19">
      <c r="A90">
        <v>89</v>
      </c>
      <c r="B90" s="1" t="s">
        <v>47</v>
      </c>
      <c r="C90" s="2" t="s">
        <v>271</v>
      </c>
      <c r="D90" t="s">
        <v>84</v>
      </c>
      <c r="E90" t="s">
        <v>391</v>
      </c>
      <c r="F90" t="s">
        <v>192</v>
      </c>
      <c r="G90" s="13" t="s">
        <v>582</v>
      </c>
      <c r="J90" t="s">
        <v>201</v>
      </c>
    </row>
    <row r="91" spans="1:10" ht="19">
      <c r="A91">
        <v>90</v>
      </c>
      <c r="B91" s="1" t="s">
        <v>48</v>
      </c>
      <c r="C91" s="2" t="s">
        <v>271</v>
      </c>
      <c r="D91" t="s">
        <v>84</v>
      </c>
      <c r="E91" t="s">
        <v>391</v>
      </c>
      <c r="F91" t="s">
        <v>192</v>
      </c>
      <c r="G91" s="13" t="s">
        <v>583</v>
      </c>
      <c r="J91" t="s">
        <v>201</v>
      </c>
    </row>
    <row r="92" spans="1:10" ht="19">
      <c r="A92">
        <v>91</v>
      </c>
      <c r="B92" s="1" t="s">
        <v>49</v>
      </c>
      <c r="C92" s="2" t="s">
        <v>271</v>
      </c>
      <c r="D92" t="s">
        <v>84</v>
      </c>
      <c r="E92" t="s">
        <v>391</v>
      </c>
      <c r="F92" t="s">
        <v>192</v>
      </c>
      <c r="G92" s="13" t="s">
        <v>583</v>
      </c>
      <c r="J92" t="s">
        <v>201</v>
      </c>
    </row>
    <row r="93" spans="1:10" ht="19">
      <c r="A93">
        <v>92</v>
      </c>
      <c r="B93" s="1" t="s">
        <v>50</v>
      </c>
      <c r="C93" s="2" t="s">
        <v>271</v>
      </c>
      <c r="D93" t="s">
        <v>84</v>
      </c>
      <c r="E93" t="s">
        <v>391</v>
      </c>
      <c r="F93" t="s">
        <v>192</v>
      </c>
      <c r="G93" s="13" t="s">
        <v>583</v>
      </c>
      <c r="J93" t="s">
        <v>201</v>
      </c>
    </row>
    <row r="94" spans="1:10" ht="19">
      <c r="A94">
        <v>93</v>
      </c>
      <c r="B94" s="1" t="s">
        <v>51</v>
      </c>
      <c r="C94" s="2" t="s">
        <v>271</v>
      </c>
      <c r="D94" t="s">
        <v>84</v>
      </c>
      <c r="E94" t="s">
        <v>391</v>
      </c>
      <c r="F94" t="s">
        <v>192</v>
      </c>
      <c r="G94" s="13" t="s">
        <v>583</v>
      </c>
      <c r="J94" t="s">
        <v>201</v>
      </c>
    </row>
    <row r="95" spans="1:10" ht="19">
      <c r="A95">
        <v>94</v>
      </c>
      <c r="B95" s="1" t="s">
        <v>52</v>
      </c>
      <c r="C95" s="2" t="s">
        <v>271</v>
      </c>
      <c r="D95" t="s">
        <v>84</v>
      </c>
      <c r="E95" t="s">
        <v>391</v>
      </c>
      <c r="F95" t="s">
        <v>192</v>
      </c>
      <c r="G95" s="13" t="s">
        <v>583</v>
      </c>
      <c r="J95" t="s">
        <v>201</v>
      </c>
    </row>
    <row r="96" spans="1:10" ht="19">
      <c r="A96">
        <v>95</v>
      </c>
      <c r="B96" s="1" t="s">
        <v>53</v>
      </c>
      <c r="C96" s="2" t="s">
        <v>271</v>
      </c>
      <c r="D96" t="s">
        <v>84</v>
      </c>
      <c r="E96" t="s">
        <v>391</v>
      </c>
      <c r="F96" t="s">
        <v>192</v>
      </c>
      <c r="G96" s="13" t="s">
        <v>584</v>
      </c>
      <c r="J96" t="s">
        <v>201</v>
      </c>
    </row>
    <row r="97" spans="1:10" ht="19">
      <c r="A97">
        <v>96</v>
      </c>
      <c r="B97" s="1" t="s">
        <v>251</v>
      </c>
      <c r="C97" s="2" t="s">
        <v>267</v>
      </c>
      <c r="D97" t="s">
        <v>84</v>
      </c>
      <c r="E97" t="s">
        <v>391</v>
      </c>
      <c r="F97" t="s">
        <v>192</v>
      </c>
      <c r="G97" s="13" t="s">
        <v>585</v>
      </c>
      <c r="J97" t="s">
        <v>192</v>
      </c>
    </row>
    <row r="98" spans="1:10" ht="19">
      <c r="A98">
        <v>97</v>
      </c>
      <c r="B98" s="1" t="s">
        <v>54</v>
      </c>
      <c r="C98" s="2" t="s">
        <v>271</v>
      </c>
      <c r="D98" t="s">
        <v>84</v>
      </c>
      <c r="E98" t="s">
        <v>391</v>
      </c>
      <c r="F98" t="s">
        <v>192</v>
      </c>
      <c r="G98" s="13" t="s">
        <v>583</v>
      </c>
      <c r="J98" t="s">
        <v>192</v>
      </c>
    </row>
    <row r="99" spans="1:10" ht="19">
      <c r="A99">
        <v>98</v>
      </c>
      <c r="B99" s="1" t="s">
        <v>55</v>
      </c>
      <c r="C99" s="2" t="s">
        <v>271</v>
      </c>
      <c r="D99" t="s">
        <v>84</v>
      </c>
      <c r="E99" t="s">
        <v>391</v>
      </c>
      <c r="F99" t="s">
        <v>192</v>
      </c>
      <c r="G99" s="13" t="s">
        <v>586</v>
      </c>
      <c r="J99" t="s">
        <v>192</v>
      </c>
    </row>
    <row r="100" spans="1:10" ht="19">
      <c r="A100">
        <v>99</v>
      </c>
      <c r="B100" s="1" t="s">
        <v>252</v>
      </c>
      <c r="C100" s="2" t="s">
        <v>274</v>
      </c>
      <c r="D100" t="s">
        <v>84</v>
      </c>
      <c r="E100" t="s">
        <v>391</v>
      </c>
      <c r="F100" t="s">
        <v>192</v>
      </c>
      <c r="G100" s="13" t="s">
        <v>583</v>
      </c>
      <c r="J100" t="s">
        <v>192</v>
      </c>
    </row>
    <row r="101" spans="1:10" ht="19">
      <c r="A101">
        <v>100</v>
      </c>
      <c r="B101" s="1" t="s">
        <v>56</v>
      </c>
      <c r="C101" s="2" t="s">
        <v>271</v>
      </c>
      <c r="D101" t="s">
        <v>84</v>
      </c>
      <c r="E101" t="s">
        <v>391</v>
      </c>
      <c r="F101" t="s">
        <v>192</v>
      </c>
      <c r="G101" s="13" t="s">
        <v>583</v>
      </c>
      <c r="J101" t="s">
        <v>192</v>
      </c>
    </row>
    <row r="102" spans="1:10" ht="19">
      <c r="A102">
        <v>101</v>
      </c>
      <c r="B102" s="1" t="s">
        <v>253</v>
      </c>
      <c r="C102" s="2" t="s">
        <v>267</v>
      </c>
      <c r="D102" t="s">
        <v>84</v>
      </c>
      <c r="E102" t="s">
        <v>391</v>
      </c>
      <c r="F102" t="s">
        <v>192</v>
      </c>
      <c r="G102" s="13" t="s">
        <v>583</v>
      </c>
      <c r="J102" t="s">
        <v>192</v>
      </c>
    </row>
    <row r="103" spans="1:10" ht="19">
      <c r="A103">
        <v>102</v>
      </c>
      <c r="B103" s="1" t="s">
        <v>57</v>
      </c>
      <c r="C103" s="2" t="s">
        <v>271</v>
      </c>
      <c r="D103" t="s">
        <v>84</v>
      </c>
      <c r="E103" t="s">
        <v>391</v>
      </c>
      <c r="F103" t="s">
        <v>192</v>
      </c>
      <c r="G103" s="13" t="s">
        <v>585</v>
      </c>
      <c r="J103" t="s">
        <v>192</v>
      </c>
    </row>
    <row r="104" spans="1:10" ht="19">
      <c r="A104">
        <v>103</v>
      </c>
      <c r="B104" s="1" t="s">
        <v>58</v>
      </c>
      <c r="C104" s="2" t="s">
        <v>271</v>
      </c>
      <c r="D104" t="s">
        <v>85</v>
      </c>
      <c r="E104" t="s">
        <v>391</v>
      </c>
      <c r="F104" t="s">
        <v>192</v>
      </c>
      <c r="G104" s="13" t="s">
        <v>583</v>
      </c>
      <c r="J104" t="s">
        <v>192</v>
      </c>
    </row>
    <row r="105" spans="1:10" ht="19">
      <c r="A105">
        <v>104</v>
      </c>
      <c r="B105" s="1" t="s">
        <v>254</v>
      </c>
      <c r="C105" s="2" t="s">
        <v>269</v>
      </c>
      <c r="D105" t="s">
        <v>84</v>
      </c>
      <c r="E105" t="s">
        <v>391</v>
      </c>
      <c r="F105" t="s">
        <v>192</v>
      </c>
      <c r="G105" s="13" t="s">
        <v>587</v>
      </c>
      <c r="J105" t="s">
        <v>192</v>
      </c>
    </row>
    <row r="106" spans="1:10" ht="19">
      <c r="A106">
        <v>105</v>
      </c>
      <c r="B106" s="1" t="s">
        <v>255</v>
      </c>
      <c r="C106" s="2" t="s">
        <v>269</v>
      </c>
      <c r="D106" t="s">
        <v>84</v>
      </c>
      <c r="E106" t="s">
        <v>391</v>
      </c>
      <c r="F106" t="s">
        <v>201</v>
      </c>
      <c r="G106" s="13" t="s">
        <v>588</v>
      </c>
      <c r="J106" t="s">
        <v>192</v>
      </c>
    </row>
    <row r="107" spans="1:10" ht="19">
      <c r="A107">
        <v>106</v>
      </c>
      <c r="B107" s="1" t="s">
        <v>256</v>
      </c>
      <c r="C107" s="2" t="s">
        <v>269</v>
      </c>
      <c r="D107" t="s">
        <v>84</v>
      </c>
      <c r="E107" t="s">
        <v>391</v>
      </c>
      <c r="F107" t="s">
        <v>192</v>
      </c>
      <c r="G107" s="13" t="s">
        <v>589</v>
      </c>
      <c r="J107" t="s">
        <v>201</v>
      </c>
    </row>
    <row r="108" spans="1:10" ht="19">
      <c r="A108">
        <v>107</v>
      </c>
      <c r="B108" s="1" t="s">
        <v>257</v>
      </c>
      <c r="C108" s="2" t="s">
        <v>274</v>
      </c>
      <c r="D108" t="s">
        <v>84</v>
      </c>
      <c r="E108" t="s">
        <v>391</v>
      </c>
      <c r="F108" t="s">
        <v>192</v>
      </c>
      <c r="G108" s="13" t="s">
        <v>590</v>
      </c>
      <c r="J108" t="s">
        <v>192</v>
      </c>
    </row>
    <row r="109" spans="1:10" ht="19">
      <c r="A109">
        <v>108</v>
      </c>
      <c r="B109" s="1" t="s">
        <v>258</v>
      </c>
      <c r="C109" s="2" t="s">
        <v>267</v>
      </c>
      <c r="D109" t="s">
        <v>84</v>
      </c>
      <c r="E109" t="s">
        <v>391</v>
      </c>
      <c r="F109" t="s">
        <v>201</v>
      </c>
      <c r="G109" s="13" t="s">
        <v>591</v>
      </c>
      <c r="J109" t="s">
        <v>201</v>
      </c>
    </row>
    <row r="110" spans="1:10" ht="19">
      <c r="A110">
        <v>109</v>
      </c>
      <c r="B110" s="1" t="s">
        <v>259</v>
      </c>
      <c r="C110" s="2" t="s">
        <v>274</v>
      </c>
      <c r="D110" t="s">
        <v>84</v>
      </c>
      <c r="E110" t="s">
        <v>391</v>
      </c>
      <c r="F110" t="s">
        <v>192</v>
      </c>
      <c r="G110" s="13" t="s">
        <v>592</v>
      </c>
      <c r="J110" t="s">
        <v>201</v>
      </c>
    </row>
    <row r="111" spans="1:10" ht="19">
      <c r="A111">
        <v>110</v>
      </c>
      <c r="B111" s="1" t="s">
        <v>260</v>
      </c>
      <c r="C111" s="2" t="s">
        <v>269</v>
      </c>
      <c r="D111" t="s">
        <v>84</v>
      </c>
      <c r="E111" t="s">
        <v>391</v>
      </c>
      <c r="F111" t="s">
        <v>201</v>
      </c>
      <c r="G111" s="13" t="s">
        <v>593</v>
      </c>
      <c r="J111" t="s">
        <v>201</v>
      </c>
    </row>
    <row r="112" spans="1:10" ht="19">
      <c r="A112">
        <v>111</v>
      </c>
      <c r="B112" s="1" t="s">
        <v>261</v>
      </c>
      <c r="C112" s="2" t="s">
        <v>274</v>
      </c>
      <c r="D112" t="s">
        <v>84</v>
      </c>
      <c r="E112" t="s">
        <v>391</v>
      </c>
      <c r="F112" t="s">
        <v>192</v>
      </c>
      <c r="G112" s="13" t="s">
        <v>594</v>
      </c>
      <c r="J112" t="s">
        <v>201</v>
      </c>
    </row>
    <row r="113" spans="1:10" ht="19">
      <c r="A113">
        <v>112</v>
      </c>
      <c r="B113" s="1" t="s">
        <v>262</v>
      </c>
      <c r="C113" s="2" t="s">
        <v>269</v>
      </c>
      <c r="D113" t="s">
        <v>84</v>
      </c>
      <c r="E113" t="s">
        <v>391</v>
      </c>
      <c r="F113" t="s">
        <v>192</v>
      </c>
      <c r="G113" s="13" t="s">
        <v>598</v>
      </c>
      <c r="J113" t="s">
        <v>201</v>
      </c>
    </row>
    <row r="114" spans="1:10" ht="19">
      <c r="A114">
        <v>113</v>
      </c>
      <c r="B114" s="1" t="s">
        <v>263</v>
      </c>
      <c r="C114" s="2" t="s">
        <v>269</v>
      </c>
      <c r="D114" t="s">
        <v>84</v>
      </c>
      <c r="E114" t="s">
        <v>391</v>
      </c>
      <c r="F114" t="s">
        <v>192</v>
      </c>
      <c r="G114" s="13" t="s">
        <v>595</v>
      </c>
      <c r="J114" t="s">
        <v>201</v>
      </c>
    </row>
    <row r="115" spans="1:10" ht="19">
      <c r="A115">
        <v>114</v>
      </c>
      <c r="B115" s="1" t="s">
        <v>264</v>
      </c>
      <c r="C115" s="2" t="s">
        <v>267</v>
      </c>
      <c r="D115" t="s">
        <v>85</v>
      </c>
      <c r="E115" t="s">
        <v>391</v>
      </c>
      <c r="F115" t="s">
        <v>192</v>
      </c>
      <c r="G115" s="13" t="s">
        <v>596</v>
      </c>
      <c r="J115" t="s">
        <v>192</v>
      </c>
    </row>
    <row r="116" spans="1:10" ht="19">
      <c r="A116">
        <v>115</v>
      </c>
      <c r="B116" s="1" t="s">
        <v>59</v>
      </c>
      <c r="C116" s="2" t="s">
        <v>271</v>
      </c>
      <c r="D116" t="s">
        <v>85</v>
      </c>
      <c r="E116" t="s">
        <v>391</v>
      </c>
      <c r="F116" t="s">
        <v>201</v>
      </c>
      <c r="G116" s="13" t="s">
        <v>597</v>
      </c>
      <c r="J116" t="s">
        <v>192</v>
      </c>
    </row>
    <row r="117" spans="1:10" ht="19">
      <c r="A117">
        <v>116</v>
      </c>
      <c r="B117" s="1" t="s">
        <v>60</v>
      </c>
      <c r="C117" s="2" t="s">
        <v>271</v>
      </c>
      <c r="D117" t="s">
        <v>84</v>
      </c>
      <c r="E117" t="s">
        <v>391</v>
      </c>
      <c r="F117" t="s">
        <v>192</v>
      </c>
      <c r="G117" s="13" t="s">
        <v>599</v>
      </c>
      <c r="J117" t="s">
        <v>192</v>
      </c>
    </row>
    <row r="118" spans="1:10" ht="19">
      <c r="A118">
        <v>117</v>
      </c>
      <c r="B118" s="1" t="s">
        <v>265</v>
      </c>
      <c r="C118" s="2" t="s">
        <v>267</v>
      </c>
      <c r="D118" t="s">
        <v>84</v>
      </c>
      <c r="E118" t="s">
        <v>391</v>
      </c>
      <c r="F118" t="s">
        <v>192</v>
      </c>
      <c r="G118" s="13" t="s">
        <v>600</v>
      </c>
      <c r="J118" t="s">
        <v>192</v>
      </c>
    </row>
    <row r="119" spans="1:10" ht="19">
      <c r="A119">
        <v>118</v>
      </c>
      <c r="B119" s="1" t="s">
        <v>61</v>
      </c>
      <c r="C119" s="2" t="s">
        <v>271</v>
      </c>
      <c r="D119" t="s">
        <v>85</v>
      </c>
      <c r="E119" t="s">
        <v>391</v>
      </c>
      <c r="F119" t="s">
        <v>201</v>
      </c>
      <c r="G119" s="13" t="s">
        <v>597</v>
      </c>
      <c r="J119" t="s">
        <v>192</v>
      </c>
    </row>
    <row r="120" spans="1:10" ht="19">
      <c r="A120">
        <v>119</v>
      </c>
      <c r="B120" s="1" t="s">
        <v>266</v>
      </c>
      <c r="C120" s="2" t="s">
        <v>269</v>
      </c>
      <c r="D120" t="s">
        <v>84</v>
      </c>
      <c r="E120" t="s">
        <v>391</v>
      </c>
      <c r="F120" t="s">
        <v>192</v>
      </c>
      <c r="G120" s="13" t="s">
        <v>601</v>
      </c>
      <c r="J120" t="s">
        <v>192</v>
      </c>
    </row>
    <row r="121" spans="1:10" ht="19">
      <c r="A121">
        <v>120</v>
      </c>
      <c r="B121" s="1" t="s">
        <v>62</v>
      </c>
      <c r="C121" s="2" t="s">
        <v>271</v>
      </c>
      <c r="D121" t="s">
        <v>84</v>
      </c>
      <c r="E121" t="s">
        <v>391</v>
      </c>
      <c r="F121" t="s">
        <v>192</v>
      </c>
      <c r="G121" s="13" t="s">
        <v>602</v>
      </c>
      <c r="J121" t="s">
        <v>192</v>
      </c>
    </row>
    <row r="122" spans="1:10" ht="19">
      <c r="A122">
        <v>121</v>
      </c>
      <c r="B122" s="1" t="s">
        <v>63</v>
      </c>
      <c r="C122" s="2" t="s">
        <v>271</v>
      </c>
      <c r="D122" t="s">
        <v>84</v>
      </c>
      <c r="E122" t="s">
        <v>391</v>
      </c>
      <c r="F122" t="s">
        <v>192</v>
      </c>
      <c r="G122" s="5" t="s">
        <v>603</v>
      </c>
      <c r="J122" t="s">
        <v>192</v>
      </c>
    </row>
    <row r="123" spans="1:10" ht="19">
      <c r="A123">
        <v>122</v>
      </c>
      <c r="B123" s="1" t="s">
        <v>64</v>
      </c>
      <c r="C123" s="2" t="s">
        <v>271</v>
      </c>
      <c r="D123" t="s">
        <v>84</v>
      </c>
      <c r="E123" t="s">
        <v>391</v>
      </c>
      <c r="F123" t="s">
        <v>201</v>
      </c>
      <c r="G123" s="5" t="s">
        <v>597</v>
      </c>
      <c r="J123" t="s">
        <v>201</v>
      </c>
    </row>
    <row r="124" spans="1:10" ht="19">
      <c r="A124">
        <v>123</v>
      </c>
      <c r="B124" s="1" t="s">
        <v>65</v>
      </c>
      <c r="C124" s="2" t="s">
        <v>271</v>
      </c>
      <c r="D124" t="s">
        <v>84</v>
      </c>
      <c r="E124" t="s">
        <v>391</v>
      </c>
      <c r="F124" t="s">
        <v>201</v>
      </c>
      <c r="G124" s="5" t="s">
        <v>597</v>
      </c>
      <c r="J124" t="s">
        <v>201</v>
      </c>
    </row>
    <row r="125" spans="1:10" ht="19">
      <c r="A125">
        <v>124</v>
      </c>
      <c r="B125" s="1" t="s">
        <v>66</v>
      </c>
      <c r="C125" s="2" t="s">
        <v>271</v>
      </c>
      <c r="D125" t="s">
        <v>84</v>
      </c>
      <c r="E125" t="s">
        <v>391</v>
      </c>
      <c r="F125" t="s">
        <v>201</v>
      </c>
      <c r="G125" s="5" t="s">
        <v>597</v>
      </c>
      <c r="J125" t="s">
        <v>201</v>
      </c>
    </row>
    <row r="126" spans="1:10" ht="19">
      <c r="A126">
        <v>125</v>
      </c>
      <c r="B126" s="1" t="s">
        <v>67</v>
      </c>
      <c r="C126" s="2" t="s">
        <v>271</v>
      </c>
      <c r="D126" t="s">
        <v>84</v>
      </c>
      <c r="E126" t="s">
        <v>391</v>
      </c>
      <c r="F126" t="s">
        <v>201</v>
      </c>
      <c r="G126" s="5" t="s">
        <v>597</v>
      </c>
      <c r="J126" t="s">
        <v>201</v>
      </c>
    </row>
    <row r="127" spans="1:10" ht="19">
      <c r="A127">
        <v>126</v>
      </c>
      <c r="B127" s="1" t="s">
        <v>68</v>
      </c>
      <c r="C127" s="2" t="s">
        <v>271</v>
      </c>
      <c r="D127" t="s">
        <v>84</v>
      </c>
      <c r="E127" t="s">
        <v>391</v>
      </c>
      <c r="F127" t="s">
        <v>201</v>
      </c>
      <c r="G127" s="5" t="s">
        <v>597</v>
      </c>
      <c r="J127" t="s">
        <v>201</v>
      </c>
    </row>
    <row r="128" spans="1:10" ht="19">
      <c r="A128">
        <v>127</v>
      </c>
      <c r="B128" s="1" t="s">
        <v>69</v>
      </c>
      <c r="C128" s="2" t="s">
        <v>271</v>
      </c>
      <c r="D128" t="s">
        <v>84</v>
      </c>
      <c r="E128" t="s">
        <v>391</v>
      </c>
      <c r="F128" t="s">
        <v>201</v>
      </c>
      <c r="G128" s="5" t="s">
        <v>597</v>
      </c>
      <c r="J128" t="s">
        <v>201</v>
      </c>
    </row>
    <row r="129" spans="1:10" ht="19">
      <c r="A129">
        <v>128</v>
      </c>
      <c r="B129" s="1" t="s">
        <v>70</v>
      </c>
      <c r="C129" s="2" t="s">
        <v>271</v>
      </c>
      <c r="D129" t="s">
        <v>84</v>
      </c>
      <c r="E129" t="s">
        <v>391</v>
      </c>
      <c r="F129" t="s">
        <v>201</v>
      </c>
      <c r="G129" s="5" t="s">
        <v>597</v>
      </c>
      <c r="J129" t="s">
        <v>201</v>
      </c>
    </row>
    <row r="130" spans="1:10" ht="19">
      <c r="A130">
        <v>129</v>
      </c>
      <c r="B130" s="1" t="s">
        <v>71</v>
      </c>
      <c r="C130" s="2" t="s">
        <v>271</v>
      </c>
      <c r="D130" t="s">
        <v>84</v>
      </c>
      <c r="E130" t="s">
        <v>391</v>
      </c>
      <c r="F130" t="s">
        <v>201</v>
      </c>
      <c r="G130" s="5" t="s">
        <v>597</v>
      </c>
      <c r="J130" t="s">
        <v>201</v>
      </c>
    </row>
    <row r="131" spans="1:10" ht="19">
      <c r="A131">
        <v>130</v>
      </c>
      <c r="B131" s="1" t="s">
        <v>72</v>
      </c>
      <c r="C131" s="2" t="s">
        <v>271</v>
      </c>
      <c r="D131" t="s">
        <v>84</v>
      </c>
      <c r="E131" t="s">
        <v>391</v>
      </c>
      <c r="F131" t="s">
        <v>201</v>
      </c>
      <c r="G131" s="5" t="s">
        <v>597</v>
      </c>
      <c r="J131" t="s">
        <v>201</v>
      </c>
    </row>
    <row r="132" spans="1:10" ht="19">
      <c r="A132">
        <v>131</v>
      </c>
      <c r="B132" s="1" t="s">
        <v>73</v>
      </c>
      <c r="C132" s="2" t="s">
        <v>271</v>
      </c>
      <c r="D132" t="s">
        <v>84</v>
      </c>
      <c r="E132" t="s">
        <v>391</v>
      </c>
      <c r="F132" t="s">
        <v>201</v>
      </c>
      <c r="G132" s="5" t="s">
        <v>597</v>
      </c>
      <c r="J132" t="s">
        <v>201</v>
      </c>
    </row>
    <row r="133" spans="1:10" ht="19">
      <c r="A133">
        <v>132</v>
      </c>
      <c r="B133" s="1" t="s">
        <v>74</v>
      </c>
      <c r="C133" s="2" t="s">
        <v>271</v>
      </c>
      <c r="D133" t="s">
        <v>84</v>
      </c>
      <c r="E133" t="s">
        <v>391</v>
      </c>
      <c r="F133" t="s">
        <v>201</v>
      </c>
      <c r="G133" s="5" t="s">
        <v>597</v>
      </c>
      <c r="J133" t="s">
        <v>201</v>
      </c>
    </row>
    <row r="134" spans="1:10" ht="19">
      <c r="A134">
        <v>133</v>
      </c>
      <c r="B134" s="1" t="s">
        <v>75</v>
      </c>
      <c r="C134" s="2" t="s">
        <v>271</v>
      </c>
      <c r="D134" t="s">
        <v>84</v>
      </c>
      <c r="E134" t="s">
        <v>391</v>
      </c>
      <c r="F134" t="s">
        <v>201</v>
      </c>
      <c r="G134" s="5" t="s">
        <v>597</v>
      </c>
      <c r="J134" t="s">
        <v>201</v>
      </c>
    </row>
    <row r="135" spans="1:10" ht="19">
      <c r="A135">
        <v>134</v>
      </c>
      <c r="B135" s="1" t="s">
        <v>76</v>
      </c>
      <c r="C135" s="2" t="s">
        <v>271</v>
      </c>
      <c r="D135" t="s">
        <v>84</v>
      </c>
      <c r="E135" t="s">
        <v>391</v>
      </c>
      <c r="F135" t="s">
        <v>192</v>
      </c>
      <c r="G135" s="16" t="s">
        <v>604</v>
      </c>
      <c r="J135" t="s">
        <v>201</v>
      </c>
    </row>
    <row r="136" spans="1:10" ht="19">
      <c r="A136">
        <v>135</v>
      </c>
      <c r="B136" s="1" t="s">
        <v>77</v>
      </c>
      <c r="C136" s="2" t="s">
        <v>271</v>
      </c>
      <c r="D136" t="s">
        <v>84</v>
      </c>
      <c r="E136" t="s">
        <v>391</v>
      </c>
      <c r="F136" t="s">
        <v>201</v>
      </c>
      <c r="G136" s="5" t="s">
        <v>597</v>
      </c>
      <c r="J136" t="s">
        <v>201</v>
      </c>
    </row>
    <row r="137" spans="1:10" ht="19">
      <c r="A137">
        <v>136</v>
      </c>
      <c r="B137" s="1" t="s">
        <v>78</v>
      </c>
      <c r="C137" s="2" t="s">
        <v>271</v>
      </c>
      <c r="D137" t="s">
        <v>84</v>
      </c>
      <c r="E137" t="s">
        <v>391</v>
      </c>
      <c r="F137" t="s">
        <v>201</v>
      </c>
      <c r="G137" s="5" t="s">
        <v>597</v>
      </c>
      <c r="J137" t="s">
        <v>201</v>
      </c>
    </row>
    <row r="138" spans="1:10" ht="19">
      <c r="A138">
        <v>137</v>
      </c>
      <c r="B138" s="1" t="s">
        <v>79</v>
      </c>
      <c r="C138" s="2" t="s">
        <v>271</v>
      </c>
      <c r="D138" t="s">
        <v>84</v>
      </c>
      <c r="E138" t="s">
        <v>391</v>
      </c>
      <c r="F138" t="s">
        <v>201</v>
      </c>
      <c r="G138" s="5" t="s">
        <v>597</v>
      </c>
      <c r="J138" t="s">
        <v>201</v>
      </c>
    </row>
    <row r="139" spans="1:10" ht="19">
      <c r="A139">
        <v>138</v>
      </c>
      <c r="B139" s="1" t="s">
        <v>80</v>
      </c>
      <c r="C139" s="2" t="s">
        <v>271</v>
      </c>
      <c r="D139" t="s">
        <v>84</v>
      </c>
      <c r="E139" t="s">
        <v>391</v>
      </c>
      <c r="F139" t="s">
        <v>201</v>
      </c>
      <c r="G139" s="5" t="s">
        <v>597</v>
      </c>
      <c r="J139" t="s">
        <v>201</v>
      </c>
    </row>
    <row r="140" spans="1:10" ht="19">
      <c r="A140">
        <v>139</v>
      </c>
      <c r="B140" s="1" t="s">
        <v>81</v>
      </c>
      <c r="C140" s="2" t="s">
        <v>271</v>
      </c>
      <c r="D140" t="s">
        <v>84</v>
      </c>
      <c r="E140" t="s">
        <v>391</v>
      </c>
      <c r="F140" t="s">
        <v>201</v>
      </c>
      <c r="G140" s="5" t="s">
        <v>597</v>
      </c>
      <c r="J140" t="s">
        <v>201</v>
      </c>
    </row>
    <row r="141" spans="1:10" ht="19">
      <c r="A141">
        <v>140</v>
      </c>
      <c r="B141" s="1" t="s">
        <v>82</v>
      </c>
      <c r="C141" s="2" t="s">
        <v>271</v>
      </c>
      <c r="D141" t="s">
        <v>84</v>
      </c>
      <c r="E141" t="s">
        <v>391</v>
      </c>
      <c r="F141" t="s">
        <v>201</v>
      </c>
      <c r="G141" s="5" t="s">
        <v>597</v>
      </c>
      <c r="J141" t="s">
        <v>201</v>
      </c>
    </row>
    <row r="142" spans="1:10" ht="19">
      <c r="A142">
        <v>141</v>
      </c>
      <c r="B142" s="1" t="s">
        <v>83</v>
      </c>
      <c r="C142" s="2" t="s">
        <v>271</v>
      </c>
      <c r="D142" t="s">
        <v>84</v>
      </c>
      <c r="E142" t="s">
        <v>391</v>
      </c>
      <c r="F142" t="s">
        <v>201</v>
      </c>
      <c r="G142" s="5" t="s">
        <v>597</v>
      </c>
      <c r="J142" t="s">
        <v>201</v>
      </c>
    </row>
    <row r="143" spans="1:10" ht="19">
      <c r="B143" s="1"/>
    </row>
    <row r="144" spans="1:10" ht="19">
      <c r="B144" s="1"/>
    </row>
  </sheetData>
  <autoFilter ref="A1:K142" xr:uid="{3216B4BD-7F37-5148-95AF-17A163F1BBD5}"/>
  <phoneticPr fontId="1" type="noConversion"/>
  <conditionalFormatting sqref="E1:E1048576">
    <cfRule type="cellIs" dxfId="41" priority="2" operator="equal">
      <formula>"no"</formula>
    </cfRule>
    <cfRule type="cellIs" dxfId="40" priority="3" operator="equal">
      <formula>"yes"</formula>
    </cfRule>
  </conditionalFormatting>
  <conditionalFormatting sqref="F2:F142">
    <cfRule type="expression" dxfId="39" priority="1">
      <formula>F2&lt;&gt;E2</formula>
    </cfRule>
  </conditionalFormatting>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8B7AD-82D5-954F-9814-CF561E8E144C}">
  <sheetPr codeName="工作表10" filterMode="1"/>
  <dimension ref="A1:I144"/>
  <sheetViews>
    <sheetView workbookViewId="0">
      <selection sqref="A1:I144"/>
    </sheetView>
  </sheetViews>
  <sheetFormatPr baseColWidth="10" defaultRowHeight="15"/>
  <cols>
    <col min="2" max="2" width="12.5" customWidth="1"/>
    <col min="3" max="3" width="4.83203125" style="2" customWidth="1"/>
    <col min="5" max="6" width="11.33203125" customWidth="1"/>
    <col min="7" max="7" width="13.1640625" style="13" customWidth="1"/>
    <col min="8" max="8" width="13.1640625" customWidth="1"/>
    <col min="9" max="9" width="14.33203125" customWidth="1"/>
  </cols>
  <sheetData>
    <row r="1" spans="1:9">
      <c r="A1" t="s">
        <v>88</v>
      </c>
      <c r="B1" t="s">
        <v>0</v>
      </c>
      <c r="C1" s="2" t="s">
        <v>202</v>
      </c>
      <c r="D1" t="s">
        <v>6</v>
      </c>
      <c r="E1" t="s">
        <v>1</v>
      </c>
      <c r="F1" t="s">
        <v>500</v>
      </c>
      <c r="G1" s="13" t="s">
        <v>2</v>
      </c>
      <c r="H1" t="s">
        <v>5</v>
      </c>
      <c r="I1" t="s">
        <v>3</v>
      </c>
    </row>
    <row r="2" spans="1:9" ht="19">
      <c r="A2">
        <v>1</v>
      </c>
      <c r="B2" s="1" t="s">
        <v>7</v>
      </c>
      <c r="C2" s="2" t="s">
        <v>271</v>
      </c>
      <c r="D2" t="s">
        <v>84</v>
      </c>
      <c r="E2" t="s">
        <v>391</v>
      </c>
      <c r="F2" t="s">
        <v>192</v>
      </c>
      <c r="G2" s="17" t="s">
        <v>670</v>
      </c>
    </row>
    <row r="3" spans="1:9" ht="19" hidden="1">
      <c r="A3">
        <v>2</v>
      </c>
      <c r="B3" s="1" t="s">
        <v>8</v>
      </c>
      <c r="C3" s="2" t="s">
        <v>271</v>
      </c>
      <c r="D3" t="s">
        <v>86</v>
      </c>
      <c r="E3" t="s">
        <v>391</v>
      </c>
      <c r="F3" t="s">
        <v>201</v>
      </c>
      <c r="G3" s="17" t="s">
        <v>671</v>
      </c>
    </row>
    <row r="4" spans="1:9" ht="19" hidden="1">
      <c r="A4">
        <v>3</v>
      </c>
      <c r="B4" s="1" t="s">
        <v>9</v>
      </c>
      <c r="C4" s="2" t="s">
        <v>271</v>
      </c>
      <c r="D4" t="s">
        <v>84</v>
      </c>
      <c r="E4" t="s">
        <v>391</v>
      </c>
      <c r="F4" t="s">
        <v>201</v>
      </c>
      <c r="G4" s="17" t="s">
        <v>672</v>
      </c>
    </row>
    <row r="5" spans="1:9" ht="19" hidden="1">
      <c r="A5">
        <v>4</v>
      </c>
      <c r="B5" s="1" t="s">
        <v>10</v>
      </c>
      <c r="C5" s="2" t="s">
        <v>271</v>
      </c>
      <c r="D5" t="s">
        <v>85</v>
      </c>
      <c r="E5" t="s">
        <v>391</v>
      </c>
      <c r="F5" t="s">
        <v>201</v>
      </c>
      <c r="G5" s="17" t="s">
        <v>673</v>
      </c>
    </row>
    <row r="6" spans="1:9" ht="19" hidden="1">
      <c r="A6">
        <v>5</v>
      </c>
      <c r="B6" s="1" t="s">
        <v>203</v>
      </c>
      <c r="C6" s="2" t="s">
        <v>267</v>
      </c>
      <c r="D6" t="s">
        <v>85</v>
      </c>
      <c r="E6" t="s">
        <v>391</v>
      </c>
      <c r="F6" t="s">
        <v>201</v>
      </c>
      <c r="G6" s="17" t="s">
        <v>674</v>
      </c>
    </row>
    <row r="7" spans="1:9" ht="19" hidden="1">
      <c r="A7">
        <v>6</v>
      </c>
      <c r="B7" s="1" t="s">
        <v>11</v>
      </c>
      <c r="C7" s="2" t="s">
        <v>271</v>
      </c>
      <c r="D7" t="s">
        <v>85</v>
      </c>
      <c r="E7" t="s">
        <v>391</v>
      </c>
      <c r="F7" t="s">
        <v>201</v>
      </c>
      <c r="G7" s="17" t="s">
        <v>675</v>
      </c>
    </row>
    <row r="8" spans="1:9" ht="19">
      <c r="A8">
        <v>7</v>
      </c>
      <c r="B8" s="1" t="s">
        <v>12</v>
      </c>
      <c r="C8" s="2" t="s">
        <v>271</v>
      </c>
      <c r="D8" t="s">
        <v>86</v>
      </c>
      <c r="E8" t="s">
        <v>391</v>
      </c>
      <c r="F8" t="s">
        <v>192</v>
      </c>
      <c r="G8" s="17" t="s">
        <v>676</v>
      </c>
    </row>
    <row r="9" spans="1:9" ht="19" hidden="1">
      <c r="A9">
        <v>8</v>
      </c>
      <c r="B9" s="1" t="s">
        <v>204</v>
      </c>
      <c r="C9" s="2" t="s">
        <v>271</v>
      </c>
      <c r="D9" t="s">
        <v>85</v>
      </c>
      <c r="E9" t="s">
        <v>391</v>
      </c>
      <c r="F9" t="s">
        <v>201</v>
      </c>
      <c r="G9" s="17" t="s">
        <v>677</v>
      </c>
    </row>
    <row r="10" spans="1:9" ht="19" hidden="1">
      <c r="A10">
        <v>9</v>
      </c>
      <c r="B10" s="1" t="s">
        <v>13</v>
      </c>
      <c r="C10" s="2" t="s">
        <v>271</v>
      </c>
      <c r="D10" t="s">
        <v>85</v>
      </c>
      <c r="E10" t="s">
        <v>391</v>
      </c>
      <c r="F10" t="s">
        <v>201</v>
      </c>
      <c r="G10" s="17" t="s">
        <v>675</v>
      </c>
    </row>
    <row r="11" spans="1:9" ht="19">
      <c r="A11">
        <v>10</v>
      </c>
      <c r="B11" s="1" t="s">
        <v>14</v>
      </c>
      <c r="C11" s="2" t="s">
        <v>271</v>
      </c>
      <c r="D11" t="s">
        <v>84</v>
      </c>
      <c r="E11" t="s">
        <v>391</v>
      </c>
      <c r="F11" t="s">
        <v>192</v>
      </c>
      <c r="G11" s="17" t="s">
        <v>678</v>
      </c>
    </row>
    <row r="12" spans="1:9" ht="19">
      <c r="A12">
        <v>11</v>
      </c>
      <c r="B12" s="1" t="s">
        <v>205</v>
      </c>
      <c r="C12" s="2" t="s">
        <v>269</v>
      </c>
      <c r="D12" t="s">
        <v>84</v>
      </c>
      <c r="E12" t="s">
        <v>391</v>
      </c>
      <c r="F12" t="s">
        <v>192</v>
      </c>
      <c r="G12" s="17" t="s">
        <v>679</v>
      </c>
    </row>
    <row r="13" spans="1:9" ht="19">
      <c r="A13">
        <v>12</v>
      </c>
      <c r="B13" s="1" t="s">
        <v>206</v>
      </c>
      <c r="C13" s="2" t="s">
        <v>267</v>
      </c>
      <c r="D13" t="s">
        <v>84</v>
      </c>
      <c r="E13" t="s">
        <v>391</v>
      </c>
      <c r="F13" t="s">
        <v>192</v>
      </c>
      <c r="G13" s="17" t="s">
        <v>680</v>
      </c>
    </row>
    <row r="14" spans="1:9" ht="19" hidden="1">
      <c r="A14">
        <v>13</v>
      </c>
      <c r="B14" s="1" t="s">
        <v>15</v>
      </c>
      <c r="C14" s="2" t="s">
        <v>271</v>
      </c>
      <c r="D14" t="s">
        <v>85</v>
      </c>
      <c r="E14" t="s">
        <v>391</v>
      </c>
      <c r="F14" t="s">
        <v>201</v>
      </c>
      <c r="G14" s="17" t="s">
        <v>675</v>
      </c>
    </row>
    <row r="15" spans="1:9" ht="19">
      <c r="A15">
        <v>14</v>
      </c>
      <c r="B15" s="1" t="s">
        <v>207</v>
      </c>
      <c r="C15" s="2" t="s">
        <v>267</v>
      </c>
      <c r="D15" t="s">
        <v>84</v>
      </c>
      <c r="E15" t="s">
        <v>391</v>
      </c>
      <c r="F15" t="s">
        <v>192</v>
      </c>
      <c r="G15" s="17" t="s">
        <v>681</v>
      </c>
    </row>
    <row r="16" spans="1:9" ht="19">
      <c r="A16">
        <v>15</v>
      </c>
      <c r="B16" s="1" t="s">
        <v>16</v>
      </c>
      <c r="C16" s="2" t="s">
        <v>271</v>
      </c>
      <c r="D16" t="s">
        <v>84</v>
      </c>
      <c r="E16" t="s">
        <v>391</v>
      </c>
      <c r="F16" t="s">
        <v>192</v>
      </c>
      <c r="G16" s="17" t="s">
        <v>682</v>
      </c>
    </row>
    <row r="17" spans="1:7" ht="19">
      <c r="A17">
        <v>16</v>
      </c>
      <c r="B17" s="1" t="s">
        <v>17</v>
      </c>
      <c r="C17" s="2" t="s">
        <v>271</v>
      </c>
      <c r="D17" t="s">
        <v>84</v>
      </c>
      <c r="E17" t="s">
        <v>391</v>
      </c>
      <c r="F17" t="s">
        <v>192</v>
      </c>
      <c r="G17" s="17" t="s">
        <v>683</v>
      </c>
    </row>
    <row r="18" spans="1:7" ht="19" hidden="1">
      <c r="A18">
        <v>17</v>
      </c>
      <c r="B18" s="1" t="s">
        <v>18</v>
      </c>
      <c r="C18" s="2" t="s">
        <v>271</v>
      </c>
      <c r="D18" t="s">
        <v>85</v>
      </c>
      <c r="E18" t="s">
        <v>391</v>
      </c>
      <c r="F18" t="s">
        <v>201</v>
      </c>
      <c r="G18" s="17" t="s">
        <v>675</v>
      </c>
    </row>
    <row r="19" spans="1:7" ht="19">
      <c r="A19">
        <v>18</v>
      </c>
      <c r="B19" s="1" t="s">
        <v>208</v>
      </c>
      <c r="C19" s="2" t="s">
        <v>267</v>
      </c>
      <c r="D19" t="s">
        <v>84</v>
      </c>
      <c r="E19" t="s">
        <v>391</v>
      </c>
      <c r="F19" t="s">
        <v>192</v>
      </c>
      <c r="G19" s="17" t="s">
        <v>684</v>
      </c>
    </row>
    <row r="20" spans="1:7" ht="19">
      <c r="A20">
        <v>19</v>
      </c>
      <c r="B20" s="1" t="s">
        <v>19</v>
      </c>
      <c r="C20" s="2" t="s">
        <v>271</v>
      </c>
      <c r="D20" t="s">
        <v>84</v>
      </c>
      <c r="E20" t="s">
        <v>391</v>
      </c>
      <c r="F20" t="s">
        <v>192</v>
      </c>
      <c r="G20" s="17" t="s">
        <v>683</v>
      </c>
    </row>
    <row r="21" spans="1:7" ht="19">
      <c r="A21">
        <v>20</v>
      </c>
      <c r="B21" s="1" t="s">
        <v>20</v>
      </c>
      <c r="C21" s="2" t="s">
        <v>271</v>
      </c>
      <c r="D21" t="s">
        <v>84</v>
      </c>
      <c r="E21" t="s">
        <v>391</v>
      </c>
      <c r="F21" t="s">
        <v>192</v>
      </c>
      <c r="G21" s="17" t="s">
        <v>683</v>
      </c>
    </row>
    <row r="22" spans="1:7" ht="19">
      <c r="A22">
        <v>21</v>
      </c>
      <c r="B22" s="1" t="s">
        <v>209</v>
      </c>
      <c r="C22" s="2" t="s">
        <v>272</v>
      </c>
      <c r="D22" t="s">
        <v>84</v>
      </c>
      <c r="E22" t="s">
        <v>391</v>
      </c>
      <c r="F22" t="s">
        <v>192</v>
      </c>
      <c r="G22" s="17" t="s">
        <v>682</v>
      </c>
    </row>
    <row r="23" spans="1:7" ht="19">
      <c r="A23">
        <v>22</v>
      </c>
      <c r="B23" s="1" t="s">
        <v>210</v>
      </c>
      <c r="C23" s="2" t="s">
        <v>267</v>
      </c>
      <c r="D23" t="s">
        <v>84</v>
      </c>
      <c r="E23" t="s">
        <v>391</v>
      </c>
      <c r="F23" t="s">
        <v>192</v>
      </c>
      <c r="G23" s="17" t="s">
        <v>685</v>
      </c>
    </row>
    <row r="24" spans="1:7" ht="19" hidden="1">
      <c r="A24">
        <v>23</v>
      </c>
      <c r="B24" s="1" t="s">
        <v>211</v>
      </c>
      <c r="C24" s="2" t="s">
        <v>271</v>
      </c>
      <c r="D24" t="s">
        <v>87</v>
      </c>
      <c r="E24" t="s">
        <v>391</v>
      </c>
      <c r="F24" t="s">
        <v>201</v>
      </c>
      <c r="G24" s="17" t="s">
        <v>675</v>
      </c>
    </row>
    <row r="25" spans="1:7" ht="19">
      <c r="A25">
        <v>24</v>
      </c>
      <c r="B25" s="1" t="s">
        <v>212</v>
      </c>
      <c r="C25" s="2" t="s">
        <v>273</v>
      </c>
      <c r="D25" t="s">
        <v>84</v>
      </c>
      <c r="E25" t="s">
        <v>391</v>
      </c>
      <c r="F25" t="s">
        <v>192</v>
      </c>
      <c r="G25" s="17" t="s">
        <v>686</v>
      </c>
    </row>
    <row r="26" spans="1:7" ht="19">
      <c r="A26">
        <v>25</v>
      </c>
      <c r="B26" s="1" t="s">
        <v>213</v>
      </c>
      <c r="C26" s="2" t="s">
        <v>273</v>
      </c>
      <c r="D26" t="s">
        <v>84</v>
      </c>
      <c r="E26" t="s">
        <v>391</v>
      </c>
      <c r="F26" t="s">
        <v>192</v>
      </c>
      <c r="G26" s="17" t="s">
        <v>687</v>
      </c>
    </row>
    <row r="27" spans="1:7" ht="19" hidden="1">
      <c r="A27">
        <v>26</v>
      </c>
      <c r="B27" s="1" t="s">
        <v>21</v>
      </c>
      <c r="C27" s="2" t="s">
        <v>271</v>
      </c>
      <c r="D27" t="s">
        <v>86</v>
      </c>
      <c r="E27" t="s">
        <v>391</v>
      </c>
      <c r="F27" t="s">
        <v>201</v>
      </c>
      <c r="G27" s="17" t="s">
        <v>688</v>
      </c>
    </row>
    <row r="28" spans="1:7" ht="19" hidden="1">
      <c r="A28">
        <v>27</v>
      </c>
      <c r="B28" s="1" t="s">
        <v>22</v>
      </c>
      <c r="C28" s="2" t="s">
        <v>271</v>
      </c>
      <c r="D28" t="s">
        <v>85</v>
      </c>
      <c r="E28" t="s">
        <v>391</v>
      </c>
      <c r="F28" t="s">
        <v>201</v>
      </c>
      <c r="G28" s="17" t="s">
        <v>689</v>
      </c>
    </row>
    <row r="29" spans="1:7" ht="19">
      <c r="A29">
        <v>28</v>
      </c>
      <c r="B29" s="1" t="s">
        <v>214</v>
      </c>
      <c r="C29" s="2" t="s">
        <v>269</v>
      </c>
      <c r="D29" t="s">
        <v>84</v>
      </c>
      <c r="E29" t="s">
        <v>391</v>
      </c>
      <c r="F29" t="s">
        <v>192</v>
      </c>
      <c r="G29" s="17" t="s">
        <v>690</v>
      </c>
    </row>
    <row r="30" spans="1:7" ht="19" hidden="1">
      <c r="A30">
        <v>29</v>
      </c>
      <c r="B30" s="1" t="s">
        <v>23</v>
      </c>
      <c r="C30" s="2" t="s">
        <v>271</v>
      </c>
      <c r="D30" t="s">
        <v>87</v>
      </c>
      <c r="E30" t="s">
        <v>391</v>
      </c>
      <c r="F30" t="s">
        <v>201</v>
      </c>
      <c r="G30" s="17" t="s">
        <v>691</v>
      </c>
    </row>
    <row r="31" spans="1:7" ht="19">
      <c r="A31">
        <v>30</v>
      </c>
      <c r="B31" s="1" t="s">
        <v>215</v>
      </c>
      <c r="C31" s="2" t="s">
        <v>269</v>
      </c>
      <c r="D31" t="s">
        <v>84</v>
      </c>
      <c r="E31" t="s">
        <v>391</v>
      </c>
      <c r="F31" t="s">
        <v>192</v>
      </c>
      <c r="G31" s="17" t="s">
        <v>692</v>
      </c>
    </row>
    <row r="32" spans="1:7" ht="19">
      <c r="A32">
        <v>31</v>
      </c>
      <c r="B32" s="1" t="s">
        <v>216</v>
      </c>
      <c r="C32" s="2" t="s">
        <v>269</v>
      </c>
      <c r="D32" t="s">
        <v>84</v>
      </c>
      <c r="E32" t="s">
        <v>391</v>
      </c>
      <c r="F32" t="s">
        <v>192</v>
      </c>
      <c r="G32" s="17" t="s">
        <v>693</v>
      </c>
    </row>
    <row r="33" spans="1:7" ht="19">
      <c r="A33">
        <v>32</v>
      </c>
      <c r="B33" s="1" t="s">
        <v>24</v>
      </c>
      <c r="C33" s="2" t="s">
        <v>271</v>
      </c>
      <c r="D33" t="s">
        <v>84</v>
      </c>
      <c r="E33" t="s">
        <v>391</v>
      </c>
      <c r="F33" t="s">
        <v>192</v>
      </c>
      <c r="G33" s="17" t="s">
        <v>694</v>
      </c>
    </row>
    <row r="34" spans="1:7" ht="19">
      <c r="A34">
        <v>33</v>
      </c>
      <c r="B34" s="1" t="s">
        <v>25</v>
      </c>
      <c r="C34" s="2" t="s">
        <v>271</v>
      </c>
      <c r="D34" t="s">
        <v>84</v>
      </c>
      <c r="E34" t="s">
        <v>391</v>
      </c>
      <c r="F34" t="s">
        <v>192</v>
      </c>
      <c r="G34" s="17" t="s">
        <v>695</v>
      </c>
    </row>
    <row r="35" spans="1:7" ht="19">
      <c r="A35">
        <v>34</v>
      </c>
      <c r="B35" s="1" t="s">
        <v>217</v>
      </c>
      <c r="C35" s="2" t="s">
        <v>267</v>
      </c>
      <c r="D35" t="s">
        <v>84</v>
      </c>
      <c r="E35" t="s">
        <v>391</v>
      </c>
      <c r="F35" t="s">
        <v>192</v>
      </c>
      <c r="G35" s="17" t="s">
        <v>696</v>
      </c>
    </row>
    <row r="36" spans="1:7" ht="19">
      <c r="A36">
        <v>35</v>
      </c>
      <c r="B36" s="1" t="s">
        <v>218</v>
      </c>
      <c r="C36" s="2" t="s">
        <v>269</v>
      </c>
      <c r="D36" t="s">
        <v>84</v>
      </c>
      <c r="E36" t="s">
        <v>391</v>
      </c>
      <c r="F36" t="s">
        <v>192</v>
      </c>
      <c r="G36" s="17" t="s">
        <v>697</v>
      </c>
    </row>
    <row r="37" spans="1:7" ht="19">
      <c r="A37">
        <v>36</v>
      </c>
      <c r="B37" s="1" t="s">
        <v>219</v>
      </c>
      <c r="C37" s="2" t="s">
        <v>269</v>
      </c>
      <c r="D37" t="s">
        <v>84</v>
      </c>
      <c r="E37" t="s">
        <v>391</v>
      </c>
      <c r="F37" t="s">
        <v>192</v>
      </c>
      <c r="G37" s="17" t="s">
        <v>698</v>
      </c>
    </row>
    <row r="38" spans="1:7" ht="19">
      <c r="A38">
        <v>37</v>
      </c>
      <c r="B38" s="1" t="s">
        <v>220</v>
      </c>
      <c r="C38" s="2" t="s">
        <v>269</v>
      </c>
      <c r="D38" t="s">
        <v>84</v>
      </c>
      <c r="E38" t="s">
        <v>391</v>
      </c>
      <c r="F38" t="s">
        <v>192</v>
      </c>
      <c r="G38" s="17" t="s">
        <v>699</v>
      </c>
    </row>
    <row r="39" spans="1:7" ht="19">
      <c r="A39">
        <v>38</v>
      </c>
      <c r="B39" s="1" t="s">
        <v>221</v>
      </c>
      <c r="C39" s="2" t="s">
        <v>269</v>
      </c>
      <c r="D39" t="s">
        <v>84</v>
      </c>
      <c r="E39" t="s">
        <v>391</v>
      </c>
      <c r="F39" t="s">
        <v>192</v>
      </c>
      <c r="G39" s="17" t="s">
        <v>700</v>
      </c>
    </row>
    <row r="40" spans="1:7" ht="19">
      <c r="A40">
        <v>39</v>
      </c>
      <c r="B40" s="1" t="s">
        <v>222</v>
      </c>
      <c r="C40" s="2" t="s">
        <v>267</v>
      </c>
      <c r="D40" t="s">
        <v>84</v>
      </c>
      <c r="E40" t="s">
        <v>391</v>
      </c>
      <c r="F40" t="s">
        <v>192</v>
      </c>
      <c r="G40" s="17" t="s">
        <v>701</v>
      </c>
    </row>
    <row r="41" spans="1:7" ht="19">
      <c r="A41">
        <v>40</v>
      </c>
      <c r="B41" s="1" t="s">
        <v>26</v>
      </c>
      <c r="C41" s="2" t="s">
        <v>271</v>
      </c>
      <c r="D41" t="s">
        <v>84</v>
      </c>
      <c r="E41" t="s">
        <v>391</v>
      </c>
      <c r="F41" t="s">
        <v>192</v>
      </c>
      <c r="G41" s="17" t="s">
        <v>702</v>
      </c>
    </row>
    <row r="42" spans="1:7" ht="19">
      <c r="A42">
        <v>41</v>
      </c>
      <c r="B42" s="1" t="s">
        <v>223</v>
      </c>
      <c r="C42" s="2" t="s">
        <v>269</v>
      </c>
      <c r="D42" t="s">
        <v>84</v>
      </c>
      <c r="E42" t="s">
        <v>391</v>
      </c>
      <c r="F42" t="s">
        <v>192</v>
      </c>
      <c r="G42" s="17" t="s">
        <v>703</v>
      </c>
    </row>
    <row r="43" spans="1:7" ht="19">
      <c r="A43">
        <v>42</v>
      </c>
      <c r="B43" s="1" t="s">
        <v>27</v>
      </c>
      <c r="C43" s="2" t="s">
        <v>271</v>
      </c>
      <c r="D43" t="s">
        <v>84</v>
      </c>
      <c r="E43" t="s">
        <v>391</v>
      </c>
      <c r="F43" t="s">
        <v>192</v>
      </c>
      <c r="G43" s="17" t="s">
        <v>704</v>
      </c>
    </row>
    <row r="44" spans="1:7" ht="19">
      <c r="A44">
        <v>43</v>
      </c>
      <c r="B44" s="1" t="s">
        <v>224</v>
      </c>
      <c r="C44" s="2" t="s">
        <v>267</v>
      </c>
      <c r="D44" t="s">
        <v>84</v>
      </c>
      <c r="E44" t="s">
        <v>391</v>
      </c>
      <c r="F44" t="s">
        <v>192</v>
      </c>
      <c r="G44" s="17" t="s">
        <v>696</v>
      </c>
    </row>
    <row r="45" spans="1:7" ht="19">
      <c r="A45">
        <v>44</v>
      </c>
      <c r="B45" s="1" t="s">
        <v>225</v>
      </c>
      <c r="C45" s="2" t="s">
        <v>274</v>
      </c>
      <c r="D45" t="s">
        <v>84</v>
      </c>
      <c r="E45" t="s">
        <v>391</v>
      </c>
      <c r="F45" t="s">
        <v>192</v>
      </c>
      <c r="G45" s="17" t="s">
        <v>705</v>
      </c>
    </row>
    <row r="46" spans="1:7" ht="19">
      <c r="A46">
        <v>45</v>
      </c>
      <c r="B46" s="1" t="s">
        <v>226</v>
      </c>
      <c r="C46" s="2" t="s">
        <v>274</v>
      </c>
      <c r="D46" t="s">
        <v>84</v>
      </c>
      <c r="E46" t="s">
        <v>391</v>
      </c>
      <c r="F46" t="s">
        <v>192</v>
      </c>
      <c r="G46" s="17" t="s">
        <v>706</v>
      </c>
    </row>
    <row r="47" spans="1:7" ht="19">
      <c r="A47">
        <v>46</v>
      </c>
      <c r="B47" s="1" t="s">
        <v>227</v>
      </c>
      <c r="C47" s="2" t="s">
        <v>269</v>
      </c>
      <c r="D47" t="s">
        <v>84</v>
      </c>
      <c r="E47" t="s">
        <v>391</v>
      </c>
      <c r="F47" t="s">
        <v>192</v>
      </c>
      <c r="G47" s="17" t="s">
        <v>707</v>
      </c>
    </row>
    <row r="48" spans="1:7" ht="19">
      <c r="A48">
        <v>47</v>
      </c>
      <c r="B48" s="1" t="s">
        <v>228</v>
      </c>
      <c r="C48" s="2" t="s">
        <v>269</v>
      </c>
      <c r="D48" t="s">
        <v>84</v>
      </c>
      <c r="E48" t="s">
        <v>391</v>
      </c>
      <c r="F48" t="s">
        <v>192</v>
      </c>
      <c r="G48" s="17" t="s">
        <v>708</v>
      </c>
    </row>
    <row r="49" spans="1:7" ht="19">
      <c r="A49">
        <v>48</v>
      </c>
      <c r="B49" s="1" t="s">
        <v>229</v>
      </c>
      <c r="C49" s="2" t="s">
        <v>269</v>
      </c>
      <c r="D49" t="s">
        <v>84</v>
      </c>
      <c r="E49" t="s">
        <v>391</v>
      </c>
      <c r="F49" t="s">
        <v>192</v>
      </c>
      <c r="G49" s="17" t="s">
        <v>709</v>
      </c>
    </row>
    <row r="50" spans="1:7" ht="19">
      <c r="A50">
        <v>49</v>
      </c>
      <c r="B50" s="1" t="s">
        <v>230</v>
      </c>
      <c r="C50" s="2" t="s">
        <v>269</v>
      </c>
      <c r="D50" t="s">
        <v>84</v>
      </c>
      <c r="E50" t="s">
        <v>391</v>
      </c>
      <c r="F50" t="s">
        <v>192</v>
      </c>
      <c r="G50" s="17" t="s">
        <v>710</v>
      </c>
    </row>
    <row r="51" spans="1:7" ht="19">
      <c r="A51">
        <v>50</v>
      </c>
      <c r="B51" s="1" t="s">
        <v>231</v>
      </c>
      <c r="C51" s="2" t="s">
        <v>269</v>
      </c>
      <c r="D51" t="s">
        <v>84</v>
      </c>
      <c r="E51" t="s">
        <v>391</v>
      </c>
      <c r="F51" t="s">
        <v>192</v>
      </c>
      <c r="G51" s="17" t="s">
        <v>711</v>
      </c>
    </row>
    <row r="52" spans="1:7" ht="19">
      <c r="A52">
        <v>51</v>
      </c>
      <c r="B52" s="1" t="s">
        <v>232</v>
      </c>
      <c r="C52" s="2" t="s">
        <v>274</v>
      </c>
      <c r="D52" t="s">
        <v>84</v>
      </c>
      <c r="E52" t="s">
        <v>391</v>
      </c>
      <c r="F52" t="s">
        <v>192</v>
      </c>
      <c r="G52" s="17" t="s">
        <v>709</v>
      </c>
    </row>
    <row r="53" spans="1:7" ht="19">
      <c r="A53">
        <v>52</v>
      </c>
      <c r="B53" s="1" t="s">
        <v>233</v>
      </c>
      <c r="C53" s="2" t="s">
        <v>274</v>
      </c>
      <c r="D53" t="s">
        <v>84</v>
      </c>
      <c r="E53" t="s">
        <v>391</v>
      </c>
      <c r="F53" t="s">
        <v>192</v>
      </c>
      <c r="G53" s="17" t="s">
        <v>712</v>
      </c>
    </row>
    <row r="54" spans="1:7" ht="19">
      <c r="A54">
        <v>53</v>
      </c>
      <c r="B54" s="1" t="s">
        <v>234</v>
      </c>
      <c r="C54" s="2" t="s">
        <v>274</v>
      </c>
      <c r="D54" t="s">
        <v>84</v>
      </c>
      <c r="E54" t="s">
        <v>391</v>
      </c>
      <c r="F54" t="s">
        <v>192</v>
      </c>
      <c r="G54" s="17" t="s">
        <v>712</v>
      </c>
    </row>
    <row r="55" spans="1:7" ht="19">
      <c r="A55">
        <v>54</v>
      </c>
      <c r="B55" s="1" t="s">
        <v>235</v>
      </c>
      <c r="C55" s="2" t="s">
        <v>274</v>
      </c>
      <c r="D55" t="s">
        <v>84</v>
      </c>
      <c r="E55" t="s">
        <v>391</v>
      </c>
      <c r="F55" t="s">
        <v>192</v>
      </c>
      <c r="G55" s="17" t="s">
        <v>709</v>
      </c>
    </row>
    <row r="56" spans="1:7" ht="19">
      <c r="A56">
        <v>55</v>
      </c>
      <c r="B56" s="1" t="s">
        <v>236</v>
      </c>
      <c r="C56" s="2" t="s">
        <v>269</v>
      </c>
      <c r="D56" t="s">
        <v>84</v>
      </c>
      <c r="E56" t="s">
        <v>391</v>
      </c>
      <c r="F56" t="s">
        <v>192</v>
      </c>
      <c r="G56" s="17" t="s">
        <v>709</v>
      </c>
    </row>
    <row r="57" spans="1:7" ht="19">
      <c r="A57">
        <v>56</v>
      </c>
      <c r="B57" s="1" t="s">
        <v>237</v>
      </c>
      <c r="C57" s="2" t="s">
        <v>269</v>
      </c>
      <c r="D57" t="s">
        <v>84</v>
      </c>
      <c r="E57" t="s">
        <v>391</v>
      </c>
      <c r="F57" t="s">
        <v>192</v>
      </c>
      <c r="G57" s="17" t="s">
        <v>710</v>
      </c>
    </row>
    <row r="58" spans="1:7" ht="19" hidden="1">
      <c r="A58">
        <v>57</v>
      </c>
      <c r="B58" s="1" t="s">
        <v>238</v>
      </c>
      <c r="C58" s="2" t="s">
        <v>269</v>
      </c>
      <c r="D58" t="s">
        <v>84</v>
      </c>
      <c r="E58" t="s">
        <v>391</v>
      </c>
      <c r="F58" t="s">
        <v>201</v>
      </c>
      <c r="G58" s="17" t="s">
        <v>713</v>
      </c>
    </row>
    <row r="59" spans="1:7" ht="19" hidden="1">
      <c r="A59">
        <v>58</v>
      </c>
      <c r="B59" s="1" t="s">
        <v>28</v>
      </c>
      <c r="C59" s="2" t="s">
        <v>271</v>
      </c>
      <c r="D59" t="s">
        <v>84</v>
      </c>
      <c r="E59" t="s">
        <v>391</v>
      </c>
      <c r="F59" t="s">
        <v>201</v>
      </c>
      <c r="G59" s="17" t="s">
        <v>714</v>
      </c>
    </row>
    <row r="60" spans="1:7" ht="19" hidden="1">
      <c r="A60">
        <v>59</v>
      </c>
      <c r="B60" s="1" t="s">
        <v>29</v>
      </c>
      <c r="C60" s="2" t="s">
        <v>271</v>
      </c>
      <c r="D60" t="s">
        <v>85</v>
      </c>
      <c r="E60" t="s">
        <v>391</v>
      </c>
      <c r="F60" t="s">
        <v>201</v>
      </c>
      <c r="G60" s="17" t="s">
        <v>714</v>
      </c>
    </row>
    <row r="61" spans="1:7" ht="19">
      <c r="A61">
        <v>60</v>
      </c>
      <c r="B61" s="1" t="s">
        <v>239</v>
      </c>
      <c r="C61" s="2" t="s">
        <v>269</v>
      </c>
      <c r="D61" t="s">
        <v>84</v>
      </c>
      <c r="E61" t="s">
        <v>391</v>
      </c>
      <c r="F61" t="s">
        <v>192</v>
      </c>
      <c r="G61" s="17" t="s">
        <v>709</v>
      </c>
    </row>
    <row r="62" spans="1:7" ht="19" hidden="1">
      <c r="A62">
        <v>61</v>
      </c>
      <c r="B62" s="1" t="s">
        <v>30</v>
      </c>
      <c r="C62" s="2" t="s">
        <v>271</v>
      </c>
      <c r="D62" t="s">
        <v>84</v>
      </c>
      <c r="E62" t="s">
        <v>391</v>
      </c>
      <c r="F62" t="s">
        <v>201</v>
      </c>
      <c r="G62" s="17" t="s">
        <v>715</v>
      </c>
    </row>
    <row r="63" spans="1:7" ht="19">
      <c r="A63">
        <v>62</v>
      </c>
      <c r="B63" s="1" t="s">
        <v>240</v>
      </c>
      <c r="C63" s="2" t="s">
        <v>269</v>
      </c>
      <c r="D63" t="s">
        <v>84</v>
      </c>
      <c r="E63" t="s">
        <v>391</v>
      </c>
      <c r="F63" t="s">
        <v>192</v>
      </c>
      <c r="G63" s="17" t="s">
        <v>709</v>
      </c>
    </row>
    <row r="64" spans="1:7" ht="19" hidden="1">
      <c r="A64">
        <v>63</v>
      </c>
      <c r="B64" s="1" t="s">
        <v>31</v>
      </c>
      <c r="C64" s="2" t="s">
        <v>271</v>
      </c>
      <c r="D64" t="s">
        <v>85</v>
      </c>
      <c r="E64" t="s">
        <v>391</v>
      </c>
      <c r="F64" t="s">
        <v>201</v>
      </c>
      <c r="G64" s="17" t="s">
        <v>716</v>
      </c>
    </row>
    <row r="65" spans="1:7" ht="19" hidden="1">
      <c r="A65">
        <v>64</v>
      </c>
      <c r="B65" s="1" t="s">
        <v>241</v>
      </c>
      <c r="C65" s="2" t="s">
        <v>269</v>
      </c>
      <c r="D65" t="s">
        <v>84</v>
      </c>
      <c r="E65" t="s">
        <v>391</v>
      </c>
      <c r="F65" t="s">
        <v>201</v>
      </c>
      <c r="G65" s="17" t="s">
        <v>717</v>
      </c>
    </row>
    <row r="66" spans="1:7" ht="19" hidden="1">
      <c r="A66">
        <v>65</v>
      </c>
      <c r="B66" s="1" t="s">
        <v>32</v>
      </c>
      <c r="C66" s="2" t="s">
        <v>271</v>
      </c>
      <c r="D66" t="s">
        <v>84</v>
      </c>
      <c r="E66" t="s">
        <v>391</v>
      </c>
      <c r="F66" t="s">
        <v>201</v>
      </c>
      <c r="G66" s="17" t="s">
        <v>718</v>
      </c>
    </row>
    <row r="67" spans="1:7" ht="19" hidden="1">
      <c r="A67">
        <v>66</v>
      </c>
      <c r="B67" s="1" t="s">
        <v>33</v>
      </c>
      <c r="C67" s="2" t="s">
        <v>271</v>
      </c>
      <c r="D67" t="s">
        <v>85</v>
      </c>
      <c r="E67" t="s">
        <v>391</v>
      </c>
      <c r="F67" t="s">
        <v>201</v>
      </c>
      <c r="G67" s="17" t="s">
        <v>719</v>
      </c>
    </row>
    <row r="68" spans="1:7" ht="19" hidden="1">
      <c r="A68">
        <v>67</v>
      </c>
      <c r="B68" s="1" t="s">
        <v>34</v>
      </c>
      <c r="C68" s="2" t="s">
        <v>271</v>
      </c>
      <c r="D68" t="s">
        <v>87</v>
      </c>
      <c r="E68" t="s">
        <v>391</v>
      </c>
      <c r="F68" t="s">
        <v>201</v>
      </c>
      <c r="G68" s="17" t="s">
        <v>720</v>
      </c>
    </row>
    <row r="69" spans="1:7" ht="19">
      <c r="A69">
        <v>68</v>
      </c>
      <c r="B69" s="1" t="s">
        <v>35</v>
      </c>
      <c r="C69" s="2" t="s">
        <v>271</v>
      </c>
      <c r="D69" t="s">
        <v>85</v>
      </c>
      <c r="E69" t="s">
        <v>391</v>
      </c>
      <c r="F69" t="s">
        <v>192</v>
      </c>
      <c r="G69" s="17" t="s">
        <v>721</v>
      </c>
    </row>
    <row r="70" spans="1:7" ht="19">
      <c r="A70">
        <v>69</v>
      </c>
      <c r="B70" s="1" t="s">
        <v>36</v>
      </c>
      <c r="C70" s="2" t="s">
        <v>271</v>
      </c>
      <c r="D70" t="s">
        <v>85</v>
      </c>
      <c r="E70" t="s">
        <v>391</v>
      </c>
      <c r="F70" t="s">
        <v>192</v>
      </c>
      <c r="G70" s="17" t="s">
        <v>722</v>
      </c>
    </row>
    <row r="71" spans="1:7" ht="19" hidden="1">
      <c r="A71">
        <v>70</v>
      </c>
      <c r="B71" s="1" t="s">
        <v>37</v>
      </c>
      <c r="C71" s="2" t="s">
        <v>271</v>
      </c>
      <c r="D71" t="s">
        <v>85</v>
      </c>
      <c r="E71" t="s">
        <v>391</v>
      </c>
      <c r="F71" t="s">
        <v>201</v>
      </c>
      <c r="G71" s="17" t="s">
        <v>723</v>
      </c>
    </row>
    <row r="72" spans="1:7" ht="19" hidden="1">
      <c r="A72">
        <v>71</v>
      </c>
      <c r="B72" s="1" t="s">
        <v>38</v>
      </c>
      <c r="C72" s="2" t="s">
        <v>271</v>
      </c>
      <c r="D72" t="s">
        <v>84</v>
      </c>
      <c r="E72" t="s">
        <v>391</v>
      </c>
      <c r="F72" t="s">
        <v>201</v>
      </c>
      <c r="G72" s="17" t="s">
        <v>724</v>
      </c>
    </row>
    <row r="73" spans="1:7" ht="19">
      <c r="A73">
        <v>72</v>
      </c>
      <c r="B73" s="1" t="s">
        <v>39</v>
      </c>
      <c r="C73" s="2" t="s">
        <v>271</v>
      </c>
      <c r="D73" t="s">
        <v>84</v>
      </c>
      <c r="E73" t="s">
        <v>391</v>
      </c>
      <c r="F73" t="s">
        <v>192</v>
      </c>
      <c r="G73" s="17" t="s">
        <v>725</v>
      </c>
    </row>
    <row r="74" spans="1:7" ht="19">
      <c r="A74">
        <v>73</v>
      </c>
      <c r="B74" s="1" t="s">
        <v>242</v>
      </c>
      <c r="C74" s="2" t="s">
        <v>267</v>
      </c>
      <c r="D74" t="s">
        <v>84</v>
      </c>
      <c r="E74" t="s">
        <v>391</v>
      </c>
      <c r="F74" t="s">
        <v>192</v>
      </c>
      <c r="G74" s="17" t="s">
        <v>726</v>
      </c>
    </row>
    <row r="75" spans="1:7" ht="19" hidden="1">
      <c r="A75">
        <v>74</v>
      </c>
      <c r="B75" s="1" t="s">
        <v>40</v>
      </c>
      <c r="C75" s="2" t="s">
        <v>271</v>
      </c>
      <c r="D75" t="s">
        <v>84</v>
      </c>
      <c r="E75" t="s">
        <v>391</v>
      </c>
      <c r="F75" t="s">
        <v>201</v>
      </c>
      <c r="G75" s="17" t="s">
        <v>727</v>
      </c>
    </row>
    <row r="76" spans="1:7" ht="19" hidden="1">
      <c r="A76">
        <v>75</v>
      </c>
      <c r="B76" s="1" t="s">
        <v>243</v>
      </c>
      <c r="C76" s="2" t="s">
        <v>269</v>
      </c>
      <c r="D76" t="s">
        <v>84</v>
      </c>
      <c r="E76" t="s">
        <v>391</v>
      </c>
      <c r="F76" t="s">
        <v>201</v>
      </c>
      <c r="G76" s="17" t="s">
        <v>728</v>
      </c>
    </row>
    <row r="77" spans="1:7" ht="19">
      <c r="A77">
        <v>76</v>
      </c>
      <c r="B77" s="1" t="s">
        <v>41</v>
      </c>
      <c r="C77" s="2" t="s">
        <v>271</v>
      </c>
      <c r="D77" t="s">
        <v>84</v>
      </c>
      <c r="E77" t="s">
        <v>391</v>
      </c>
      <c r="F77" t="s">
        <v>192</v>
      </c>
      <c r="G77" s="17" t="s">
        <v>729</v>
      </c>
    </row>
    <row r="78" spans="1:7" ht="19" hidden="1">
      <c r="A78">
        <v>77</v>
      </c>
      <c r="B78" s="1" t="s">
        <v>244</v>
      </c>
      <c r="C78" s="2" t="s">
        <v>274</v>
      </c>
      <c r="D78" t="s">
        <v>84</v>
      </c>
      <c r="E78" t="s">
        <v>391</v>
      </c>
      <c r="F78" t="s">
        <v>201</v>
      </c>
      <c r="G78" s="17" t="s">
        <v>730</v>
      </c>
    </row>
    <row r="79" spans="1:7" ht="19" hidden="1">
      <c r="A79">
        <v>78</v>
      </c>
      <c r="B79" s="1" t="s">
        <v>245</v>
      </c>
      <c r="C79" s="2" t="s">
        <v>269</v>
      </c>
      <c r="D79" t="s">
        <v>84</v>
      </c>
      <c r="E79" t="s">
        <v>391</v>
      </c>
      <c r="F79" t="s">
        <v>201</v>
      </c>
      <c r="G79" s="17" t="s">
        <v>731</v>
      </c>
    </row>
    <row r="80" spans="1:7" ht="19" hidden="1">
      <c r="A80">
        <v>79</v>
      </c>
      <c r="B80" s="1" t="s">
        <v>42</v>
      </c>
      <c r="C80" s="2" t="s">
        <v>271</v>
      </c>
      <c r="D80" t="s">
        <v>87</v>
      </c>
      <c r="E80" t="s">
        <v>391</v>
      </c>
      <c r="F80" t="s">
        <v>201</v>
      </c>
      <c r="G80" s="17" t="s">
        <v>732</v>
      </c>
    </row>
    <row r="81" spans="1:7" ht="19" hidden="1">
      <c r="A81">
        <v>80</v>
      </c>
      <c r="B81" s="1" t="s">
        <v>43</v>
      </c>
      <c r="C81" s="2" t="s">
        <v>271</v>
      </c>
      <c r="D81" t="s">
        <v>87</v>
      </c>
      <c r="E81" t="s">
        <v>391</v>
      </c>
      <c r="F81" t="s">
        <v>201</v>
      </c>
      <c r="G81" s="17" t="s">
        <v>733</v>
      </c>
    </row>
    <row r="82" spans="1:7" ht="19">
      <c r="A82">
        <v>81</v>
      </c>
      <c r="B82" s="1" t="s">
        <v>246</v>
      </c>
      <c r="C82" s="2" t="s">
        <v>273</v>
      </c>
      <c r="D82" t="s">
        <v>84</v>
      </c>
      <c r="E82" t="s">
        <v>391</v>
      </c>
      <c r="F82" t="s">
        <v>192</v>
      </c>
      <c r="G82" s="17" t="s">
        <v>734</v>
      </c>
    </row>
    <row r="83" spans="1:7" ht="19">
      <c r="A83">
        <v>82</v>
      </c>
      <c r="B83" s="1" t="s">
        <v>247</v>
      </c>
      <c r="C83" s="2" t="s">
        <v>269</v>
      </c>
      <c r="D83" t="s">
        <v>84</v>
      </c>
      <c r="E83" t="s">
        <v>391</v>
      </c>
      <c r="F83" t="s">
        <v>192</v>
      </c>
      <c r="G83" s="17" t="s">
        <v>735</v>
      </c>
    </row>
    <row r="84" spans="1:7" ht="19">
      <c r="A84">
        <v>83</v>
      </c>
      <c r="B84" s="1" t="s">
        <v>248</v>
      </c>
      <c r="C84" s="2" t="s">
        <v>269</v>
      </c>
      <c r="D84" t="s">
        <v>84</v>
      </c>
      <c r="E84" t="s">
        <v>391</v>
      </c>
      <c r="F84" t="s">
        <v>192</v>
      </c>
      <c r="G84" s="17" t="s">
        <v>736</v>
      </c>
    </row>
    <row r="85" spans="1:7" ht="19" hidden="1">
      <c r="A85">
        <v>84</v>
      </c>
      <c r="B85" s="1" t="s">
        <v>44</v>
      </c>
      <c r="C85" s="2" t="s">
        <v>271</v>
      </c>
      <c r="D85" t="s">
        <v>87</v>
      </c>
      <c r="E85" t="s">
        <v>391</v>
      </c>
      <c r="F85" t="s">
        <v>201</v>
      </c>
      <c r="G85" s="17" t="s">
        <v>737</v>
      </c>
    </row>
    <row r="86" spans="1:7" ht="19" hidden="1">
      <c r="A86">
        <v>85</v>
      </c>
      <c r="B86" s="1" t="s">
        <v>249</v>
      </c>
      <c r="C86" s="2" t="s">
        <v>274</v>
      </c>
      <c r="D86" t="s">
        <v>84</v>
      </c>
      <c r="E86" t="s">
        <v>391</v>
      </c>
      <c r="F86" t="s">
        <v>201</v>
      </c>
      <c r="G86" s="17" t="s">
        <v>738</v>
      </c>
    </row>
    <row r="87" spans="1:7" ht="19">
      <c r="A87">
        <v>86</v>
      </c>
      <c r="B87" s="1" t="s">
        <v>45</v>
      </c>
      <c r="C87" s="2" t="s">
        <v>271</v>
      </c>
      <c r="D87" t="s">
        <v>84</v>
      </c>
      <c r="E87" t="s">
        <v>391</v>
      </c>
      <c r="F87" t="s">
        <v>192</v>
      </c>
      <c r="G87" s="17" t="s">
        <v>739</v>
      </c>
    </row>
    <row r="88" spans="1:7" ht="19">
      <c r="A88">
        <v>87</v>
      </c>
      <c r="B88" s="1" t="s">
        <v>250</v>
      </c>
      <c r="C88" s="2" t="s">
        <v>268</v>
      </c>
      <c r="D88" t="s">
        <v>84</v>
      </c>
      <c r="E88" t="s">
        <v>391</v>
      </c>
      <c r="F88" t="s">
        <v>192</v>
      </c>
      <c r="G88" s="17" t="s">
        <v>740</v>
      </c>
    </row>
    <row r="89" spans="1:7" ht="19">
      <c r="A89">
        <v>88</v>
      </c>
      <c r="B89" s="1" t="s">
        <v>46</v>
      </c>
      <c r="C89" s="2" t="s">
        <v>271</v>
      </c>
      <c r="D89" t="s">
        <v>84</v>
      </c>
      <c r="E89" t="s">
        <v>391</v>
      </c>
      <c r="F89" t="s">
        <v>192</v>
      </c>
      <c r="G89" s="17" t="s">
        <v>741</v>
      </c>
    </row>
    <row r="90" spans="1:7" ht="19">
      <c r="A90">
        <v>89</v>
      </c>
      <c r="B90" s="1" t="s">
        <v>47</v>
      </c>
      <c r="C90" s="2" t="s">
        <v>271</v>
      </c>
      <c r="D90" t="s">
        <v>84</v>
      </c>
      <c r="E90" t="s">
        <v>391</v>
      </c>
      <c r="F90" t="s">
        <v>192</v>
      </c>
      <c r="G90" s="17" t="s">
        <v>742</v>
      </c>
    </row>
    <row r="91" spans="1:7" ht="19">
      <c r="A91">
        <v>90</v>
      </c>
      <c r="B91" s="1" t="s">
        <v>48</v>
      </c>
      <c r="C91" s="2" t="s">
        <v>271</v>
      </c>
      <c r="D91" t="s">
        <v>84</v>
      </c>
      <c r="E91" t="s">
        <v>391</v>
      </c>
      <c r="F91" t="s">
        <v>192</v>
      </c>
      <c r="G91" s="17" t="s">
        <v>743</v>
      </c>
    </row>
    <row r="92" spans="1:7" ht="19">
      <c r="A92">
        <v>91</v>
      </c>
      <c r="B92" s="1" t="s">
        <v>49</v>
      </c>
      <c r="C92" s="2" t="s">
        <v>271</v>
      </c>
      <c r="D92" t="s">
        <v>84</v>
      </c>
      <c r="E92" t="s">
        <v>391</v>
      </c>
      <c r="F92" t="s">
        <v>192</v>
      </c>
      <c r="G92" s="17" t="s">
        <v>744</v>
      </c>
    </row>
    <row r="93" spans="1:7" ht="19">
      <c r="A93">
        <v>92</v>
      </c>
      <c r="B93" s="1" t="s">
        <v>50</v>
      </c>
      <c r="C93" s="2" t="s">
        <v>271</v>
      </c>
      <c r="D93" t="s">
        <v>84</v>
      </c>
      <c r="E93" t="s">
        <v>391</v>
      </c>
      <c r="F93" t="s">
        <v>192</v>
      </c>
      <c r="G93" s="17" t="s">
        <v>745</v>
      </c>
    </row>
    <row r="94" spans="1:7" ht="19">
      <c r="A94">
        <v>93</v>
      </c>
      <c r="B94" s="1" t="s">
        <v>51</v>
      </c>
      <c r="C94" s="2" t="s">
        <v>271</v>
      </c>
      <c r="D94" t="s">
        <v>84</v>
      </c>
      <c r="E94" t="s">
        <v>391</v>
      </c>
      <c r="F94" t="s">
        <v>192</v>
      </c>
      <c r="G94" s="17" t="s">
        <v>746</v>
      </c>
    </row>
    <row r="95" spans="1:7" ht="19">
      <c r="A95">
        <v>94</v>
      </c>
      <c r="B95" s="1" t="s">
        <v>52</v>
      </c>
      <c r="C95" s="2" t="s">
        <v>271</v>
      </c>
      <c r="D95" t="s">
        <v>84</v>
      </c>
      <c r="E95" t="s">
        <v>391</v>
      </c>
      <c r="F95" t="s">
        <v>192</v>
      </c>
      <c r="G95" s="17" t="s">
        <v>747</v>
      </c>
    </row>
    <row r="96" spans="1:7" ht="19">
      <c r="A96">
        <v>95</v>
      </c>
      <c r="B96" s="1" t="s">
        <v>53</v>
      </c>
      <c r="C96" s="2" t="s">
        <v>271</v>
      </c>
      <c r="D96" t="s">
        <v>84</v>
      </c>
      <c r="E96" t="s">
        <v>391</v>
      </c>
      <c r="F96" t="s">
        <v>192</v>
      </c>
      <c r="G96" s="17" t="s">
        <v>748</v>
      </c>
    </row>
    <row r="97" spans="1:7" ht="19">
      <c r="A97">
        <v>96</v>
      </c>
      <c r="B97" s="1" t="s">
        <v>251</v>
      </c>
      <c r="C97" s="2" t="s">
        <v>267</v>
      </c>
      <c r="D97" t="s">
        <v>84</v>
      </c>
      <c r="E97" t="s">
        <v>391</v>
      </c>
      <c r="F97" t="s">
        <v>192</v>
      </c>
      <c r="G97" s="17" t="s">
        <v>749</v>
      </c>
    </row>
    <row r="98" spans="1:7" ht="19">
      <c r="A98">
        <v>97</v>
      </c>
      <c r="B98" s="1" t="s">
        <v>54</v>
      </c>
      <c r="C98" s="2" t="s">
        <v>271</v>
      </c>
      <c r="D98" t="s">
        <v>84</v>
      </c>
      <c r="E98" t="s">
        <v>391</v>
      </c>
      <c r="F98" t="s">
        <v>192</v>
      </c>
      <c r="G98" s="17" t="s">
        <v>750</v>
      </c>
    </row>
    <row r="99" spans="1:7" ht="19" hidden="1">
      <c r="A99">
        <v>98</v>
      </c>
      <c r="B99" s="1" t="s">
        <v>55</v>
      </c>
      <c r="C99" s="2" t="s">
        <v>271</v>
      </c>
      <c r="D99" t="s">
        <v>84</v>
      </c>
      <c r="E99" t="s">
        <v>391</v>
      </c>
      <c r="F99" t="s">
        <v>201</v>
      </c>
      <c r="G99" s="17" t="s">
        <v>751</v>
      </c>
    </row>
    <row r="100" spans="1:7" ht="19">
      <c r="A100">
        <v>99</v>
      </c>
      <c r="B100" s="1" t="s">
        <v>252</v>
      </c>
      <c r="C100" s="2" t="s">
        <v>274</v>
      </c>
      <c r="D100" t="s">
        <v>84</v>
      </c>
      <c r="E100" t="s">
        <v>391</v>
      </c>
      <c r="F100" t="s">
        <v>192</v>
      </c>
      <c r="G100" s="17" t="s">
        <v>752</v>
      </c>
    </row>
    <row r="101" spans="1:7" ht="19">
      <c r="A101">
        <v>100</v>
      </c>
      <c r="B101" s="1" t="s">
        <v>56</v>
      </c>
      <c r="C101" s="2" t="s">
        <v>271</v>
      </c>
      <c r="D101" t="s">
        <v>84</v>
      </c>
      <c r="E101" t="s">
        <v>391</v>
      </c>
      <c r="F101" t="s">
        <v>192</v>
      </c>
      <c r="G101" s="17" t="s">
        <v>753</v>
      </c>
    </row>
    <row r="102" spans="1:7" ht="19">
      <c r="A102">
        <v>101</v>
      </c>
      <c r="B102" s="1" t="s">
        <v>253</v>
      </c>
      <c r="C102" s="2" t="s">
        <v>267</v>
      </c>
      <c r="D102" t="s">
        <v>84</v>
      </c>
      <c r="E102" t="s">
        <v>391</v>
      </c>
      <c r="F102" t="s">
        <v>192</v>
      </c>
      <c r="G102" s="17" t="s">
        <v>752</v>
      </c>
    </row>
    <row r="103" spans="1:7" ht="19">
      <c r="A103">
        <v>102</v>
      </c>
      <c r="B103" s="1" t="s">
        <v>57</v>
      </c>
      <c r="C103" s="2" t="s">
        <v>271</v>
      </c>
      <c r="D103" t="s">
        <v>84</v>
      </c>
      <c r="E103" t="s">
        <v>391</v>
      </c>
      <c r="F103" t="s">
        <v>192</v>
      </c>
      <c r="G103" s="17" t="s">
        <v>754</v>
      </c>
    </row>
    <row r="104" spans="1:7" ht="19" hidden="1">
      <c r="A104">
        <v>103</v>
      </c>
      <c r="B104" s="1" t="s">
        <v>58</v>
      </c>
      <c r="C104" s="2" t="s">
        <v>271</v>
      </c>
      <c r="D104" t="s">
        <v>85</v>
      </c>
      <c r="E104" t="s">
        <v>391</v>
      </c>
      <c r="F104" t="s">
        <v>201</v>
      </c>
      <c r="G104" s="17" t="s">
        <v>755</v>
      </c>
    </row>
    <row r="105" spans="1:7" ht="19">
      <c r="A105">
        <v>104</v>
      </c>
      <c r="B105" s="1" t="s">
        <v>254</v>
      </c>
      <c r="C105" s="2" t="s">
        <v>269</v>
      </c>
      <c r="D105" t="s">
        <v>84</v>
      </c>
      <c r="E105" t="s">
        <v>391</v>
      </c>
      <c r="F105" t="s">
        <v>192</v>
      </c>
      <c r="G105" s="17" t="s">
        <v>756</v>
      </c>
    </row>
    <row r="106" spans="1:7" ht="19">
      <c r="A106">
        <v>105</v>
      </c>
      <c r="B106" s="1" t="s">
        <v>255</v>
      </c>
      <c r="C106" s="2" t="s">
        <v>269</v>
      </c>
      <c r="D106" t="s">
        <v>84</v>
      </c>
      <c r="E106" t="s">
        <v>391</v>
      </c>
      <c r="F106" t="s">
        <v>192</v>
      </c>
      <c r="G106" s="17" t="s">
        <v>757</v>
      </c>
    </row>
    <row r="107" spans="1:7" ht="19">
      <c r="A107">
        <v>106</v>
      </c>
      <c r="B107" s="1" t="s">
        <v>256</v>
      </c>
      <c r="C107" s="2" t="s">
        <v>269</v>
      </c>
      <c r="D107" t="s">
        <v>84</v>
      </c>
      <c r="E107" t="s">
        <v>391</v>
      </c>
      <c r="F107" t="s">
        <v>192</v>
      </c>
      <c r="G107" s="17" t="s">
        <v>758</v>
      </c>
    </row>
    <row r="108" spans="1:7" ht="19">
      <c r="A108">
        <v>107</v>
      </c>
      <c r="B108" s="1" t="s">
        <v>257</v>
      </c>
      <c r="C108" s="2" t="s">
        <v>274</v>
      </c>
      <c r="D108" t="s">
        <v>84</v>
      </c>
      <c r="E108" t="s">
        <v>391</v>
      </c>
      <c r="F108" t="s">
        <v>192</v>
      </c>
      <c r="G108" s="17" t="s">
        <v>759</v>
      </c>
    </row>
    <row r="109" spans="1:7" ht="19">
      <c r="A109">
        <v>108</v>
      </c>
      <c r="B109" s="1" t="s">
        <v>258</v>
      </c>
      <c r="C109" s="2" t="s">
        <v>267</v>
      </c>
      <c r="D109" t="s">
        <v>84</v>
      </c>
      <c r="E109" t="s">
        <v>391</v>
      </c>
      <c r="F109" t="s">
        <v>192</v>
      </c>
      <c r="G109" s="17" t="s">
        <v>760</v>
      </c>
    </row>
    <row r="110" spans="1:7" ht="19">
      <c r="A110">
        <v>109</v>
      </c>
      <c r="B110" s="1" t="s">
        <v>259</v>
      </c>
      <c r="C110" s="2" t="s">
        <v>274</v>
      </c>
      <c r="D110" t="s">
        <v>84</v>
      </c>
      <c r="E110" t="s">
        <v>391</v>
      </c>
      <c r="F110" t="s">
        <v>192</v>
      </c>
      <c r="G110" s="17" t="s">
        <v>760</v>
      </c>
    </row>
    <row r="111" spans="1:7" ht="19">
      <c r="A111">
        <v>110</v>
      </c>
      <c r="B111" s="1" t="s">
        <v>260</v>
      </c>
      <c r="C111" s="2" t="s">
        <v>269</v>
      </c>
      <c r="D111" t="s">
        <v>84</v>
      </c>
      <c r="E111" t="s">
        <v>391</v>
      </c>
      <c r="F111" t="s">
        <v>192</v>
      </c>
      <c r="G111" s="17" t="s">
        <v>761</v>
      </c>
    </row>
    <row r="112" spans="1:7" ht="19">
      <c r="A112">
        <v>111</v>
      </c>
      <c r="B112" s="1" t="s">
        <v>261</v>
      </c>
      <c r="C112" s="2" t="s">
        <v>274</v>
      </c>
      <c r="D112" t="s">
        <v>84</v>
      </c>
      <c r="E112" t="s">
        <v>391</v>
      </c>
      <c r="F112" t="s">
        <v>192</v>
      </c>
      <c r="G112" s="17" t="s">
        <v>762</v>
      </c>
    </row>
    <row r="113" spans="1:7" ht="19">
      <c r="A113">
        <v>112</v>
      </c>
      <c r="B113" s="1" t="s">
        <v>262</v>
      </c>
      <c r="C113" s="2" t="s">
        <v>269</v>
      </c>
      <c r="D113" t="s">
        <v>84</v>
      </c>
      <c r="E113" t="s">
        <v>391</v>
      </c>
      <c r="F113" t="s">
        <v>192</v>
      </c>
      <c r="G113" s="17" t="s">
        <v>763</v>
      </c>
    </row>
    <row r="114" spans="1:7" ht="19">
      <c r="A114">
        <v>113</v>
      </c>
      <c r="B114" s="1" t="s">
        <v>263</v>
      </c>
      <c r="C114" s="2" t="s">
        <v>269</v>
      </c>
      <c r="D114" t="s">
        <v>84</v>
      </c>
      <c r="E114" t="s">
        <v>391</v>
      </c>
      <c r="F114" t="s">
        <v>192</v>
      </c>
      <c r="G114" s="17" t="s">
        <v>764</v>
      </c>
    </row>
    <row r="115" spans="1:7" ht="19">
      <c r="A115">
        <v>114</v>
      </c>
      <c r="B115" s="1" t="s">
        <v>264</v>
      </c>
      <c r="C115" s="2" t="s">
        <v>267</v>
      </c>
      <c r="D115" t="s">
        <v>85</v>
      </c>
      <c r="E115" t="s">
        <v>391</v>
      </c>
      <c r="F115" t="s">
        <v>192</v>
      </c>
      <c r="G115" s="17" t="s">
        <v>765</v>
      </c>
    </row>
    <row r="116" spans="1:7" ht="19" hidden="1">
      <c r="A116">
        <v>115</v>
      </c>
      <c r="B116" s="1" t="s">
        <v>59</v>
      </c>
      <c r="C116" s="2" t="s">
        <v>271</v>
      </c>
      <c r="D116" t="s">
        <v>85</v>
      </c>
      <c r="E116" t="s">
        <v>391</v>
      </c>
      <c r="F116" t="s">
        <v>201</v>
      </c>
      <c r="G116" s="17" t="s">
        <v>766</v>
      </c>
    </row>
    <row r="117" spans="1:7" ht="19">
      <c r="A117">
        <v>116</v>
      </c>
      <c r="B117" s="1" t="s">
        <v>60</v>
      </c>
      <c r="C117" s="2" t="s">
        <v>271</v>
      </c>
      <c r="D117" t="s">
        <v>84</v>
      </c>
      <c r="E117" t="s">
        <v>391</v>
      </c>
      <c r="F117" t="s">
        <v>192</v>
      </c>
      <c r="G117" s="17" t="s">
        <v>767</v>
      </c>
    </row>
    <row r="118" spans="1:7" ht="19">
      <c r="A118">
        <v>117</v>
      </c>
      <c r="B118" s="1" t="s">
        <v>265</v>
      </c>
      <c r="C118" s="2" t="s">
        <v>267</v>
      </c>
      <c r="D118" t="s">
        <v>84</v>
      </c>
      <c r="E118" t="s">
        <v>391</v>
      </c>
      <c r="F118" t="s">
        <v>192</v>
      </c>
      <c r="G118" s="17" t="s">
        <v>760</v>
      </c>
    </row>
    <row r="119" spans="1:7" ht="19" hidden="1">
      <c r="A119">
        <v>118</v>
      </c>
      <c r="B119" s="1" t="s">
        <v>61</v>
      </c>
      <c r="C119" s="2" t="s">
        <v>271</v>
      </c>
      <c r="D119" t="s">
        <v>85</v>
      </c>
      <c r="E119" t="s">
        <v>391</v>
      </c>
      <c r="F119" t="s">
        <v>201</v>
      </c>
      <c r="G119" s="17" t="s">
        <v>766</v>
      </c>
    </row>
    <row r="120" spans="1:7" ht="19">
      <c r="A120">
        <v>119</v>
      </c>
      <c r="B120" s="1" t="s">
        <v>266</v>
      </c>
      <c r="C120" s="2" t="s">
        <v>269</v>
      </c>
      <c r="D120" t="s">
        <v>84</v>
      </c>
      <c r="E120" t="s">
        <v>391</v>
      </c>
      <c r="F120" t="s">
        <v>192</v>
      </c>
      <c r="G120" s="17" t="s">
        <v>768</v>
      </c>
    </row>
    <row r="121" spans="1:7" ht="19">
      <c r="A121">
        <v>120</v>
      </c>
      <c r="B121" s="1" t="s">
        <v>62</v>
      </c>
      <c r="C121" s="2" t="s">
        <v>271</v>
      </c>
      <c r="D121" t="s">
        <v>84</v>
      </c>
      <c r="E121" t="s">
        <v>391</v>
      </c>
      <c r="F121" t="s">
        <v>192</v>
      </c>
      <c r="G121" s="17" t="s">
        <v>769</v>
      </c>
    </row>
    <row r="122" spans="1:7" ht="19">
      <c r="A122">
        <v>121</v>
      </c>
      <c r="B122" s="1" t="s">
        <v>63</v>
      </c>
      <c r="C122" s="2" t="s">
        <v>271</v>
      </c>
      <c r="D122" t="s">
        <v>84</v>
      </c>
      <c r="E122" t="s">
        <v>391</v>
      </c>
      <c r="F122" t="s">
        <v>192</v>
      </c>
      <c r="G122" s="17" t="s">
        <v>770</v>
      </c>
    </row>
    <row r="123" spans="1:7" ht="19" hidden="1">
      <c r="A123">
        <v>122</v>
      </c>
      <c r="B123" s="1" t="s">
        <v>64</v>
      </c>
      <c r="C123" s="2" t="s">
        <v>271</v>
      </c>
      <c r="D123" t="s">
        <v>84</v>
      </c>
      <c r="E123" t="s">
        <v>391</v>
      </c>
      <c r="F123" t="s">
        <v>201</v>
      </c>
      <c r="G123" s="17" t="s">
        <v>771</v>
      </c>
    </row>
    <row r="124" spans="1:7" ht="19" hidden="1">
      <c r="A124">
        <v>123</v>
      </c>
      <c r="B124" s="1" t="s">
        <v>65</v>
      </c>
      <c r="C124" s="2" t="s">
        <v>271</v>
      </c>
      <c r="D124" t="s">
        <v>84</v>
      </c>
      <c r="E124" t="s">
        <v>391</v>
      </c>
      <c r="F124" t="s">
        <v>201</v>
      </c>
      <c r="G124" s="17" t="s">
        <v>772</v>
      </c>
    </row>
    <row r="125" spans="1:7" ht="19" hidden="1">
      <c r="A125">
        <v>124</v>
      </c>
      <c r="B125" s="1" t="s">
        <v>66</v>
      </c>
      <c r="C125" s="2" t="s">
        <v>271</v>
      </c>
      <c r="D125" t="s">
        <v>84</v>
      </c>
      <c r="E125" t="s">
        <v>391</v>
      </c>
      <c r="F125" t="s">
        <v>201</v>
      </c>
      <c r="G125" s="17" t="s">
        <v>773</v>
      </c>
    </row>
    <row r="126" spans="1:7" ht="19" hidden="1">
      <c r="A126">
        <v>125</v>
      </c>
      <c r="B126" s="1" t="s">
        <v>67</v>
      </c>
      <c r="C126" s="2" t="s">
        <v>271</v>
      </c>
      <c r="D126" t="s">
        <v>84</v>
      </c>
      <c r="E126" t="s">
        <v>391</v>
      </c>
      <c r="F126" t="s">
        <v>201</v>
      </c>
      <c r="G126" s="17" t="s">
        <v>774</v>
      </c>
    </row>
    <row r="127" spans="1:7" ht="19" hidden="1">
      <c r="A127">
        <v>126</v>
      </c>
      <c r="B127" s="1" t="s">
        <v>68</v>
      </c>
      <c r="C127" s="2" t="s">
        <v>271</v>
      </c>
      <c r="D127" t="s">
        <v>84</v>
      </c>
      <c r="E127" t="s">
        <v>391</v>
      </c>
      <c r="F127" t="s">
        <v>201</v>
      </c>
      <c r="G127" s="17" t="s">
        <v>775</v>
      </c>
    </row>
    <row r="128" spans="1:7" ht="19" hidden="1">
      <c r="A128">
        <v>127</v>
      </c>
      <c r="B128" s="1" t="s">
        <v>69</v>
      </c>
      <c r="C128" s="2" t="s">
        <v>271</v>
      </c>
      <c r="D128" t="s">
        <v>84</v>
      </c>
      <c r="E128" t="s">
        <v>391</v>
      </c>
      <c r="F128" t="s">
        <v>201</v>
      </c>
      <c r="G128" s="17" t="s">
        <v>776</v>
      </c>
    </row>
    <row r="129" spans="1:7" ht="19" hidden="1">
      <c r="A129">
        <v>128</v>
      </c>
      <c r="B129" s="1" t="s">
        <v>70</v>
      </c>
      <c r="C129" s="2" t="s">
        <v>271</v>
      </c>
      <c r="D129" t="s">
        <v>84</v>
      </c>
      <c r="E129" t="s">
        <v>391</v>
      </c>
      <c r="F129" t="s">
        <v>201</v>
      </c>
      <c r="G129" s="17" t="s">
        <v>777</v>
      </c>
    </row>
    <row r="130" spans="1:7" ht="19" hidden="1">
      <c r="A130">
        <v>129</v>
      </c>
      <c r="B130" s="1" t="s">
        <v>71</v>
      </c>
      <c r="C130" s="2" t="s">
        <v>271</v>
      </c>
      <c r="D130" t="s">
        <v>84</v>
      </c>
      <c r="E130" t="s">
        <v>391</v>
      </c>
      <c r="F130" t="s">
        <v>201</v>
      </c>
      <c r="G130" s="17" t="s">
        <v>778</v>
      </c>
    </row>
    <row r="131" spans="1:7" ht="19" hidden="1">
      <c r="A131">
        <v>130</v>
      </c>
      <c r="B131" s="1" t="s">
        <v>72</v>
      </c>
      <c r="C131" s="2" t="s">
        <v>271</v>
      </c>
      <c r="D131" t="s">
        <v>84</v>
      </c>
      <c r="E131" t="s">
        <v>391</v>
      </c>
      <c r="F131" t="s">
        <v>201</v>
      </c>
      <c r="G131" s="17" t="s">
        <v>779</v>
      </c>
    </row>
    <row r="132" spans="1:7" ht="19" hidden="1">
      <c r="A132">
        <v>131</v>
      </c>
      <c r="B132" s="1" t="s">
        <v>73</v>
      </c>
      <c r="C132" s="2" t="s">
        <v>271</v>
      </c>
      <c r="D132" t="s">
        <v>84</v>
      </c>
      <c r="E132" t="s">
        <v>391</v>
      </c>
      <c r="F132" t="s">
        <v>201</v>
      </c>
      <c r="G132" s="17" t="s">
        <v>780</v>
      </c>
    </row>
    <row r="133" spans="1:7" ht="19" hidden="1">
      <c r="A133">
        <v>132</v>
      </c>
      <c r="B133" s="1" t="s">
        <v>74</v>
      </c>
      <c r="C133" s="2" t="s">
        <v>271</v>
      </c>
      <c r="D133" t="s">
        <v>84</v>
      </c>
      <c r="E133" t="s">
        <v>391</v>
      </c>
      <c r="F133" t="s">
        <v>201</v>
      </c>
      <c r="G133" s="17" t="s">
        <v>781</v>
      </c>
    </row>
    <row r="134" spans="1:7" ht="19" hidden="1">
      <c r="A134">
        <v>133</v>
      </c>
      <c r="B134" s="1" t="s">
        <v>75</v>
      </c>
      <c r="C134" s="2" t="s">
        <v>271</v>
      </c>
      <c r="D134" t="s">
        <v>84</v>
      </c>
      <c r="E134" t="s">
        <v>391</v>
      </c>
      <c r="F134" t="s">
        <v>201</v>
      </c>
      <c r="G134" s="17" t="s">
        <v>782</v>
      </c>
    </row>
    <row r="135" spans="1:7" ht="19" hidden="1">
      <c r="A135">
        <v>134</v>
      </c>
      <c r="B135" s="1" t="s">
        <v>76</v>
      </c>
      <c r="C135" s="2" t="s">
        <v>271</v>
      </c>
      <c r="D135" t="s">
        <v>84</v>
      </c>
      <c r="E135" t="s">
        <v>391</v>
      </c>
      <c r="F135" t="s">
        <v>201</v>
      </c>
      <c r="G135" s="17" t="s">
        <v>783</v>
      </c>
    </row>
    <row r="136" spans="1:7" ht="19" hidden="1">
      <c r="A136">
        <v>135</v>
      </c>
      <c r="B136" s="1" t="s">
        <v>77</v>
      </c>
      <c r="C136" s="2" t="s">
        <v>271</v>
      </c>
      <c r="D136" t="s">
        <v>84</v>
      </c>
      <c r="E136" t="s">
        <v>391</v>
      </c>
      <c r="F136" t="s">
        <v>201</v>
      </c>
      <c r="G136" s="17" t="s">
        <v>784</v>
      </c>
    </row>
    <row r="137" spans="1:7" ht="19" hidden="1">
      <c r="A137">
        <v>136</v>
      </c>
      <c r="B137" s="1" t="s">
        <v>78</v>
      </c>
      <c r="C137" s="2" t="s">
        <v>271</v>
      </c>
      <c r="D137" t="s">
        <v>84</v>
      </c>
      <c r="E137" t="s">
        <v>391</v>
      </c>
      <c r="F137" t="s">
        <v>201</v>
      </c>
      <c r="G137" s="17" t="s">
        <v>785</v>
      </c>
    </row>
    <row r="138" spans="1:7" ht="19" hidden="1">
      <c r="A138">
        <v>137</v>
      </c>
      <c r="B138" s="1" t="s">
        <v>79</v>
      </c>
      <c r="C138" s="2" t="s">
        <v>271</v>
      </c>
      <c r="D138" t="s">
        <v>84</v>
      </c>
      <c r="E138" t="s">
        <v>391</v>
      </c>
      <c r="F138" t="s">
        <v>201</v>
      </c>
      <c r="G138" s="17" t="s">
        <v>786</v>
      </c>
    </row>
    <row r="139" spans="1:7" ht="19" hidden="1">
      <c r="A139">
        <v>138</v>
      </c>
      <c r="B139" s="1" t="s">
        <v>80</v>
      </c>
      <c r="C139" s="2" t="s">
        <v>271</v>
      </c>
      <c r="D139" t="s">
        <v>84</v>
      </c>
      <c r="E139" t="s">
        <v>391</v>
      </c>
      <c r="F139" t="s">
        <v>201</v>
      </c>
      <c r="G139" s="17" t="s">
        <v>787</v>
      </c>
    </row>
    <row r="140" spans="1:7" ht="19" hidden="1">
      <c r="A140">
        <v>139</v>
      </c>
      <c r="B140" s="1" t="s">
        <v>81</v>
      </c>
      <c r="C140" s="2" t="s">
        <v>271</v>
      </c>
      <c r="D140" t="s">
        <v>84</v>
      </c>
      <c r="E140" t="s">
        <v>391</v>
      </c>
      <c r="F140" t="s">
        <v>201</v>
      </c>
      <c r="G140" s="17" t="s">
        <v>788</v>
      </c>
    </row>
    <row r="141" spans="1:7" ht="19" hidden="1">
      <c r="A141">
        <v>140</v>
      </c>
      <c r="B141" s="1" t="s">
        <v>82</v>
      </c>
      <c r="C141" s="2" t="s">
        <v>271</v>
      </c>
      <c r="D141" t="s">
        <v>84</v>
      </c>
      <c r="E141" t="s">
        <v>391</v>
      </c>
      <c r="F141" t="s">
        <v>201</v>
      </c>
      <c r="G141" s="13" t="s">
        <v>789</v>
      </c>
    </row>
    <row r="142" spans="1:7" ht="19" hidden="1">
      <c r="A142">
        <v>141</v>
      </c>
      <c r="B142" s="1" t="s">
        <v>83</v>
      </c>
      <c r="C142" s="2" t="s">
        <v>271</v>
      </c>
      <c r="D142" t="s">
        <v>84</v>
      </c>
      <c r="E142" t="s">
        <v>391</v>
      </c>
      <c r="F142" t="s">
        <v>201</v>
      </c>
      <c r="G142" s="17" t="s">
        <v>790</v>
      </c>
    </row>
    <row r="143" spans="1:7" ht="19" hidden="1">
      <c r="B143" s="1"/>
      <c r="G143" s="17"/>
    </row>
    <row r="144" spans="1:7" ht="19" hidden="1">
      <c r="B144" s="1"/>
    </row>
  </sheetData>
  <autoFilter ref="A1:I144" xr:uid="{3216B4BD-7F37-5148-95AF-17A163F1BBD5}">
    <filterColumn colId="5">
      <filters>
        <filter val="yes"/>
      </filters>
    </filterColumn>
  </autoFilter>
  <phoneticPr fontId="1" type="noConversion"/>
  <conditionalFormatting sqref="E1:E1048576">
    <cfRule type="cellIs" dxfId="38" priority="2" operator="equal">
      <formula>"no"</formula>
    </cfRule>
    <cfRule type="cellIs" dxfId="37" priority="3" operator="equal">
      <formula>"yes"</formula>
    </cfRule>
  </conditionalFormatting>
  <conditionalFormatting sqref="F2:F142">
    <cfRule type="expression" dxfId="36" priority="1">
      <formula>F2&lt;&gt;E2</formula>
    </cfRule>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914E-D58D-CF40-98D2-50C8A8169B96}">
  <sheetPr codeName="工作表9"/>
  <dimension ref="A1:I144"/>
  <sheetViews>
    <sheetView zoomScaleNormal="100" workbookViewId="0">
      <pane ySplit="1" topLeftCell="A2" activePane="bottomLeft" state="frozen"/>
      <selection pane="bottomLeft" activeCell="J24" sqref="J24"/>
    </sheetView>
  </sheetViews>
  <sheetFormatPr baseColWidth="10" defaultRowHeight="15"/>
  <cols>
    <col min="2" max="2" width="12.5" customWidth="1"/>
    <col min="3" max="3" width="4.83203125" style="2" customWidth="1"/>
    <col min="5" max="6" width="11.33203125" customWidth="1"/>
    <col min="7" max="8" width="13.1640625" customWidth="1"/>
    <col min="9" max="9" width="14.33203125" customWidth="1"/>
  </cols>
  <sheetData>
    <row r="1" spans="1:9">
      <c r="A1" t="s">
        <v>88</v>
      </c>
      <c r="B1" t="s">
        <v>0</v>
      </c>
      <c r="C1" s="2" t="s">
        <v>202</v>
      </c>
      <c r="D1" t="s">
        <v>6</v>
      </c>
      <c r="E1" t="s">
        <v>1</v>
      </c>
      <c r="F1" t="s">
        <v>4</v>
      </c>
      <c r="G1" t="s">
        <v>2</v>
      </c>
      <c r="H1" t="s">
        <v>5</v>
      </c>
      <c r="I1" t="s">
        <v>3</v>
      </c>
    </row>
    <row r="2" spans="1:9" ht="19">
      <c r="A2">
        <v>1</v>
      </c>
      <c r="B2" s="1" t="s">
        <v>7</v>
      </c>
      <c r="C2" s="2" t="s">
        <v>271</v>
      </c>
      <c r="D2" t="s">
        <v>84</v>
      </c>
      <c r="E2" t="s">
        <v>391</v>
      </c>
    </row>
    <row r="3" spans="1:9" ht="19">
      <c r="A3">
        <v>2</v>
      </c>
      <c r="B3" s="1" t="s">
        <v>8</v>
      </c>
      <c r="C3" s="2" t="s">
        <v>271</v>
      </c>
      <c r="D3" t="s">
        <v>86</v>
      </c>
      <c r="E3" t="s">
        <v>391</v>
      </c>
    </row>
    <row r="4" spans="1:9" ht="19">
      <c r="A4">
        <v>3</v>
      </c>
      <c r="B4" s="1" t="s">
        <v>9</v>
      </c>
      <c r="C4" s="2" t="s">
        <v>271</v>
      </c>
      <c r="D4" t="s">
        <v>84</v>
      </c>
      <c r="E4" t="s">
        <v>391</v>
      </c>
    </row>
    <row r="5" spans="1:9" ht="19">
      <c r="A5">
        <v>4</v>
      </c>
      <c r="B5" s="1" t="s">
        <v>10</v>
      </c>
      <c r="C5" s="2" t="s">
        <v>271</v>
      </c>
      <c r="D5" t="s">
        <v>85</v>
      </c>
      <c r="E5" t="s">
        <v>391</v>
      </c>
    </row>
    <row r="6" spans="1:9" ht="19">
      <c r="A6">
        <v>5</v>
      </c>
      <c r="B6" s="1" t="s">
        <v>203</v>
      </c>
      <c r="C6" s="2" t="s">
        <v>267</v>
      </c>
      <c r="D6" t="s">
        <v>85</v>
      </c>
      <c r="E6" t="s">
        <v>391</v>
      </c>
    </row>
    <row r="7" spans="1:9" ht="19">
      <c r="A7">
        <v>6</v>
      </c>
      <c r="B7" s="1" t="s">
        <v>11</v>
      </c>
      <c r="C7" s="2" t="s">
        <v>271</v>
      </c>
      <c r="D7" t="s">
        <v>85</v>
      </c>
      <c r="E7" t="s">
        <v>391</v>
      </c>
    </row>
    <row r="8" spans="1:9" ht="19">
      <c r="A8">
        <v>7</v>
      </c>
      <c r="B8" s="1" t="s">
        <v>12</v>
      </c>
      <c r="C8" s="2" t="s">
        <v>271</v>
      </c>
      <c r="D8" t="s">
        <v>86</v>
      </c>
      <c r="E8" t="s">
        <v>391</v>
      </c>
    </row>
    <row r="9" spans="1:9" ht="19">
      <c r="A9">
        <v>8</v>
      </c>
      <c r="B9" s="1" t="s">
        <v>204</v>
      </c>
      <c r="C9" s="2" t="s">
        <v>271</v>
      </c>
      <c r="D9" t="s">
        <v>85</v>
      </c>
      <c r="E9" t="s">
        <v>391</v>
      </c>
    </row>
    <row r="10" spans="1:9" ht="19">
      <c r="A10">
        <v>9</v>
      </c>
      <c r="B10" s="1" t="s">
        <v>13</v>
      </c>
      <c r="C10" s="2" t="s">
        <v>271</v>
      </c>
      <c r="D10" t="s">
        <v>85</v>
      </c>
      <c r="E10" t="s">
        <v>391</v>
      </c>
    </row>
    <row r="11" spans="1:9" ht="19">
      <c r="A11">
        <v>10</v>
      </c>
      <c r="B11" s="1" t="s">
        <v>14</v>
      </c>
      <c r="C11" s="2" t="s">
        <v>271</v>
      </c>
      <c r="D11" t="s">
        <v>84</v>
      </c>
      <c r="E11" t="s">
        <v>391</v>
      </c>
    </row>
    <row r="12" spans="1:9" ht="19">
      <c r="A12">
        <v>11</v>
      </c>
      <c r="B12" s="1" t="s">
        <v>205</v>
      </c>
      <c r="C12" s="2" t="s">
        <v>269</v>
      </c>
      <c r="D12" t="s">
        <v>84</v>
      </c>
      <c r="E12" t="s">
        <v>391</v>
      </c>
    </row>
    <row r="13" spans="1:9" ht="19">
      <c r="A13">
        <v>12</v>
      </c>
      <c r="B13" s="1" t="s">
        <v>206</v>
      </c>
      <c r="C13" s="2" t="s">
        <v>267</v>
      </c>
      <c r="D13" t="s">
        <v>84</v>
      </c>
      <c r="E13" t="s">
        <v>391</v>
      </c>
    </row>
    <row r="14" spans="1:9" ht="19">
      <c r="A14">
        <v>13</v>
      </c>
      <c r="B14" s="1" t="s">
        <v>15</v>
      </c>
      <c r="C14" s="2" t="s">
        <v>271</v>
      </c>
      <c r="D14" t="s">
        <v>85</v>
      </c>
      <c r="E14" t="s">
        <v>391</v>
      </c>
    </row>
    <row r="15" spans="1:9" ht="19">
      <c r="A15">
        <v>14</v>
      </c>
      <c r="B15" s="1" t="s">
        <v>207</v>
      </c>
      <c r="C15" s="2" t="s">
        <v>267</v>
      </c>
      <c r="D15" t="s">
        <v>84</v>
      </c>
      <c r="E15" t="s">
        <v>391</v>
      </c>
    </row>
    <row r="16" spans="1:9" ht="19">
      <c r="A16">
        <v>15</v>
      </c>
      <c r="B16" s="1" t="s">
        <v>16</v>
      </c>
      <c r="C16" s="2" t="s">
        <v>271</v>
      </c>
      <c r="D16" t="s">
        <v>84</v>
      </c>
      <c r="E16" t="s">
        <v>391</v>
      </c>
    </row>
    <row r="17" spans="1:5" ht="19">
      <c r="A17">
        <v>16</v>
      </c>
      <c r="B17" s="1" t="s">
        <v>17</v>
      </c>
      <c r="C17" s="2" t="s">
        <v>271</v>
      </c>
      <c r="D17" t="s">
        <v>84</v>
      </c>
      <c r="E17" t="s">
        <v>391</v>
      </c>
    </row>
    <row r="18" spans="1:5" ht="19">
      <c r="A18">
        <v>17</v>
      </c>
      <c r="B18" s="1" t="s">
        <v>18</v>
      </c>
      <c r="C18" s="2" t="s">
        <v>271</v>
      </c>
      <c r="D18" t="s">
        <v>85</v>
      </c>
      <c r="E18" t="s">
        <v>391</v>
      </c>
    </row>
    <row r="19" spans="1:5" ht="19">
      <c r="A19">
        <v>18</v>
      </c>
      <c r="B19" s="1" t="s">
        <v>208</v>
      </c>
      <c r="C19" s="2" t="s">
        <v>267</v>
      </c>
      <c r="D19" t="s">
        <v>84</v>
      </c>
      <c r="E19" t="s">
        <v>391</v>
      </c>
    </row>
    <row r="20" spans="1:5" ht="19">
      <c r="A20">
        <v>19</v>
      </c>
      <c r="B20" s="1" t="s">
        <v>19</v>
      </c>
      <c r="C20" s="2" t="s">
        <v>271</v>
      </c>
      <c r="D20" t="s">
        <v>84</v>
      </c>
      <c r="E20" t="s">
        <v>391</v>
      </c>
    </row>
    <row r="21" spans="1:5" ht="19">
      <c r="A21">
        <v>20</v>
      </c>
      <c r="B21" s="1" t="s">
        <v>20</v>
      </c>
      <c r="C21" s="2" t="s">
        <v>271</v>
      </c>
      <c r="D21" t="s">
        <v>84</v>
      </c>
      <c r="E21" t="s">
        <v>391</v>
      </c>
    </row>
    <row r="22" spans="1:5" ht="19">
      <c r="A22">
        <v>21</v>
      </c>
      <c r="B22" s="1" t="s">
        <v>209</v>
      </c>
      <c r="C22" s="2" t="s">
        <v>272</v>
      </c>
      <c r="D22" t="s">
        <v>84</v>
      </c>
      <c r="E22" t="s">
        <v>391</v>
      </c>
    </row>
    <row r="23" spans="1:5" ht="19">
      <c r="A23">
        <v>22</v>
      </c>
      <c r="B23" s="1" t="s">
        <v>210</v>
      </c>
      <c r="C23" s="2" t="s">
        <v>267</v>
      </c>
      <c r="D23" t="s">
        <v>84</v>
      </c>
      <c r="E23" t="s">
        <v>391</v>
      </c>
    </row>
    <row r="24" spans="1:5" ht="19">
      <c r="A24">
        <v>23</v>
      </c>
      <c r="B24" s="1" t="s">
        <v>211</v>
      </c>
      <c r="C24" s="2" t="s">
        <v>271</v>
      </c>
      <c r="D24" t="s">
        <v>87</v>
      </c>
      <c r="E24" t="s">
        <v>391</v>
      </c>
    </row>
    <row r="25" spans="1:5" ht="19">
      <c r="A25">
        <v>24</v>
      </c>
      <c r="B25" s="1" t="s">
        <v>212</v>
      </c>
      <c r="C25" s="2" t="s">
        <v>273</v>
      </c>
      <c r="D25" t="s">
        <v>84</v>
      </c>
      <c r="E25" t="s">
        <v>391</v>
      </c>
    </row>
    <row r="26" spans="1:5" ht="19">
      <c r="A26">
        <v>25</v>
      </c>
      <c r="B26" s="1" t="s">
        <v>213</v>
      </c>
      <c r="C26" s="2" t="s">
        <v>273</v>
      </c>
      <c r="D26" t="s">
        <v>84</v>
      </c>
      <c r="E26" t="s">
        <v>391</v>
      </c>
    </row>
    <row r="27" spans="1:5" ht="19">
      <c r="A27">
        <v>26</v>
      </c>
      <c r="B27" s="1" t="s">
        <v>21</v>
      </c>
      <c r="C27" s="2" t="s">
        <v>271</v>
      </c>
      <c r="D27" t="s">
        <v>86</v>
      </c>
      <c r="E27" t="s">
        <v>391</v>
      </c>
    </row>
    <row r="28" spans="1:5" ht="19">
      <c r="A28">
        <v>27</v>
      </c>
      <c r="B28" s="1" t="s">
        <v>22</v>
      </c>
      <c r="C28" s="2" t="s">
        <v>271</v>
      </c>
      <c r="D28" t="s">
        <v>85</v>
      </c>
      <c r="E28" t="s">
        <v>391</v>
      </c>
    </row>
    <row r="29" spans="1:5" ht="19">
      <c r="A29">
        <v>28</v>
      </c>
      <c r="B29" s="1" t="s">
        <v>214</v>
      </c>
      <c r="C29" s="2" t="s">
        <v>269</v>
      </c>
      <c r="D29" t="s">
        <v>84</v>
      </c>
      <c r="E29" t="s">
        <v>391</v>
      </c>
    </row>
    <row r="30" spans="1:5" ht="19">
      <c r="A30">
        <v>29</v>
      </c>
      <c r="B30" s="1" t="s">
        <v>23</v>
      </c>
      <c r="C30" s="2" t="s">
        <v>271</v>
      </c>
      <c r="D30" t="s">
        <v>87</v>
      </c>
      <c r="E30" t="s">
        <v>391</v>
      </c>
    </row>
    <row r="31" spans="1:5" ht="19">
      <c r="A31">
        <v>30</v>
      </c>
      <c r="B31" s="1" t="s">
        <v>215</v>
      </c>
      <c r="C31" s="2" t="s">
        <v>269</v>
      </c>
      <c r="D31" t="s">
        <v>84</v>
      </c>
      <c r="E31" t="s">
        <v>391</v>
      </c>
    </row>
    <row r="32" spans="1:5" ht="19">
      <c r="A32">
        <v>31</v>
      </c>
      <c r="B32" s="1" t="s">
        <v>216</v>
      </c>
      <c r="C32" s="2" t="s">
        <v>269</v>
      </c>
      <c r="D32" t="s">
        <v>84</v>
      </c>
      <c r="E32" t="s">
        <v>391</v>
      </c>
    </row>
    <row r="33" spans="1:5" ht="19">
      <c r="A33">
        <v>32</v>
      </c>
      <c r="B33" s="1" t="s">
        <v>24</v>
      </c>
      <c r="C33" s="2" t="s">
        <v>271</v>
      </c>
      <c r="D33" t="s">
        <v>84</v>
      </c>
      <c r="E33" t="s">
        <v>391</v>
      </c>
    </row>
    <row r="34" spans="1:5" ht="19">
      <c r="A34">
        <v>33</v>
      </c>
      <c r="B34" s="1" t="s">
        <v>25</v>
      </c>
      <c r="C34" s="2" t="s">
        <v>271</v>
      </c>
      <c r="D34" t="s">
        <v>84</v>
      </c>
      <c r="E34" t="s">
        <v>391</v>
      </c>
    </row>
    <row r="35" spans="1:5" ht="19">
      <c r="A35">
        <v>34</v>
      </c>
      <c r="B35" s="1" t="s">
        <v>217</v>
      </c>
      <c r="C35" s="2" t="s">
        <v>267</v>
      </c>
      <c r="D35" t="s">
        <v>84</v>
      </c>
      <c r="E35" t="s">
        <v>391</v>
      </c>
    </row>
    <row r="36" spans="1:5" ht="19">
      <c r="A36">
        <v>35</v>
      </c>
      <c r="B36" s="1" t="s">
        <v>218</v>
      </c>
      <c r="C36" s="2" t="s">
        <v>269</v>
      </c>
      <c r="D36" t="s">
        <v>84</v>
      </c>
      <c r="E36" t="s">
        <v>391</v>
      </c>
    </row>
    <row r="37" spans="1:5" ht="19">
      <c r="A37">
        <v>36</v>
      </c>
      <c r="B37" s="1" t="s">
        <v>219</v>
      </c>
      <c r="C37" s="2" t="s">
        <v>269</v>
      </c>
      <c r="D37" t="s">
        <v>84</v>
      </c>
      <c r="E37" t="s">
        <v>391</v>
      </c>
    </row>
    <row r="38" spans="1:5" ht="19">
      <c r="A38">
        <v>37</v>
      </c>
      <c r="B38" s="1" t="s">
        <v>220</v>
      </c>
      <c r="C38" s="2" t="s">
        <v>269</v>
      </c>
      <c r="D38" t="s">
        <v>84</v>
      </c>
      <c r="E38" t="s">
        <v>391</v>
      </c>
    </row>
    <row r="39" spans="1:5" ht="19">
      <c r="A39">
        <v>38</v>
      </c>
      <c r="B39" s="1" t="s">
        <v>221</v>
      </c>
      <c r="C39" s="2" t="s">
        <v>269</v>
      </c>
      <c r="D39" t="s">
        <v>84</v>
      </c>
      <c r="E39" t="s">
        <v>391</v>
      </c>
    </row>
    <row r="40" spans="1:5" ht="19">
      <c r="A40">
        <v>39</v>
      </c>
      <c r="B40" s="1" t="s">
        <v>222</v>
      </c>
      <c r="C40" s="2" t="s">
        <v>267</v>
      </c>
      <c r="D40" t="s">
        <v>84</v>
      </c>
      <c r="E40" t="s">
        <v>391</v>
      </c>
    </row>
    <row r="41" spans="1:5" ht="19">
      <c r="A41">
        <v>40</v>
      </c>
      <c r="B41" s="1" t="s">
        <v>26</v>
      </c>
      <c r="C41" s="2" t="s">
        <v>271</v>
      </c>
      <c r="D41" t="s">
        <v>84</v>
      </c>
      <c r="E41" t="s">
        <v>391</v>
      </c>
    </row>
    <row r="42" spans="1:5" ht="19">
      <c r="A42">
        <v>41</v>
      </c>
      <c r="B42" s="1" t="s">
        <v>223</v>
      </c>
      <c r="C42" s="2" t="s">
        <v>269</v>
      </c>
      <c r="D42" t="s">
        <v>84</v>
      </c>
      <c r="E42" t="s">
        <v>391</v>
      </c>
    </row>
    <row r="43" spans="1:5" ht="19">
      <c r="A43">
        <v>42</v>
      </c>
      <c r="B43" s="1" t="s">
        <v>27</v>
      </c>
      <c r="C43" s="2" t="s">
        <v>271</v>
      </c>
      <c r="D43" t="s">
        <v>84</v>
      </c>
      <c r="E43" t="s">
        <v>391</v>
      </c>
    </row>
    <row r="44" spans="1:5" ht="19">
      <c r="A44">
        <v>43</v>
      </c>
      <c r="B44" s="1" t="s">
        <v>224</v>
      </c>
      <c r="C44" s="2" t="s">
        <v>267</v>
      </c>
      <c r="D44" t="s">
        <v>84</v>
      </c>
      <c r="E44" t="s">
        <v>391</v>
      </c>
    </row>
    <row r="45" spans="1:5" ht="19">
      <c r="A45">
        <v>44</v>
      </c>
      <c r="B45" s="1" t="s">
        <v>225</v>
      </c>
      <c r="C45" s="2" t="s">
        <v>274</v>
      </c>
      <c r="D45" t="s">
        <v>84</v>
      </c>
      <c r="E45" t="s">
        <v>391</v>
      </c>
    </row>
    <row r="46" spans="1:5" ht="19">
      <c r="A46">
        <v>45</v>
      </c>
      <c r="B46" s="1" t="s">
        <v>226</v>
      </c>
      <c r="C46" s="2" t="s">
        <v>274</v>
      </c>
      <c r="D46" t="s">
        <v>84</v>
      </c>
      <c r="E46" t="s">
        <v>391</v>
      </c>
    </row>
    <row r="47" spans="1:5" ht="19">
      <c r="A47">
        <v>46</v>
      </c>
      <c r="B47" s="1" t="s">
        <v>227</v>
      </c>
      <c r="C47" s="2" t="s">
        <v>269</v>
      </c>
      <c r="D47" t="s">
        <v>84</v>
      </c>
      <c r="E47" t="s">
        <v>391</v>
      </c>
    </row>
    <row r="48" spans="1:5" ht="19">
      <c r="A48">
        <v>47</v>
      </c>
      <c r="B48" s="1" t="s">
        <v>228</v>
      </c>
      <c r="C48" s="2" t="s">
        <v>269</v>
      </c>
      <c r="D48" t="s">
        <v>84</v>
      </c>
      <c r="E48" t="s">
        <v>391</v>
      </c>
    </row>
    <row r="49" spans="1:5" ht="19">
      <c r="A49">
        <v>48</v>
      </c>
      <c r="B49" s="1" t="s">
        <v>229</v>
      </c>
      <c r="C49" s="2" t="s">
        <v>269</v>
      </c>
      <c r="D49" t="s">
        <v>84</v>
      </c>
      <c r="E49" t="s">
        <v>391</v>
      </c>
    </row>
    <row r="50" spans="1:5" ht="19">
      <c r="A50">
        <v>49</v>
      </c>
      <c r="B50" s="1" t="s">
        <v>230</v>
      </c>
      <c r="C50" s="2" t="s">
        <v>269</v>
      </c>
      <c r="D50" t="s">
        <v>84</v>
      </c>
      <c r="E50" t="s">
        <v>391</v>
      </c>
    </row>
    <row r="51" spans="1:5" ht="19">
      <c r="A51">
        <v>50</v>
      </c>
      <c r="B51" s="1" t="s">
        <v>231</v>
      </c>
      <c r="C51" s="2" t="s">
        <v>269</v>
      </c>
      <c r="D51" t="s">
        <v>84</v>
      </c>
      <c r="E51" t="s">
        <v>391</v>
      </c>
    </row>
    <row r="52" spans="1:5" ht="19">
      <c r="A52">
        <v>51</v>
      </c>
      <c r="B52" s="1" t="s">
        <v>232</v>
      </c>
      <c r="C52" s="2" t="s">
        <v>274</v>
      </c>
      <c r="D52" t="s">
        <v>84</v>
      </c>
      <c r="E52" t="s">
        <v>391</v>
      </c>
    </row>
    <row r="53" spans="1:5" ht="19">
      <c r="A53">
        <v>52</v>
      </c>
      <c r="B53" s="1" t="s">
        <v>233</v>
      </c>
      <c r="C53" s="2" t="s">
        <v>274</v>
      </c>
      <c r="D53" t="s">
        <v>84</v>
      </c>
      <c r="E53" t="s">
        <v>391</v>
      </c>
    </row>
    <row r="54" spans="1:5" ht="19">
      <c r="A54">
        <v>53</v>
      </c>
      <c r="B54" s="1" t="s">
        <v>234</v>
      </c>
      <c r="C54" s="2" t="s">
        <v>274</v>
      </c>
      <c r="D54" t="s">
        <v>84</v>
      </c>
      <c r="E54" t="s">
        <v>391</v>
      </c>
    </row>
    <row r="55" spans="1:5" ht="19">
      <c r="A55">
        <v>54</v>
      </c>
      <c r="B55" s="1" t="s">
        <v>235</v>
      </c>
      <c r="C55" s="2" t="s">
        <v>274</v>
      </c>
      <c r="D55" t="s">
        <v>84</v>
      </c>
      <c r="E55" t="s">
        <v>391</v>
      </c>
    </row>
    <row r="56" spans="1:5" ht="19">
      <c r="A56">
        <v>55</v>
      </c>
      <c r="B56" s="1" t="s">
        <v>236</v>
      </c>
      <c r="C56" s="2" t="s">
        <v>269</v>
      </c>
      <c r="D56" t="s">
        <v>84</v>
      </c>
      <c r="E56" t="s">
        <v>391</v>
      </c>
    </row>
    <row r="57" spans="1:5" ht="19">
      <c r="A57">
        <v>56</v>
      </c>
      <c r="B57" s="1" t="s">
        <v>237</v>
      </c>
      <c r="C57" s="2" t="s">
        <v>269</v>
      </c>
      <c r="D57" t="s">
        <v>84</v>
      </c>
      <c r="E57" t="s">
        <v>391</v>
      </c>
    </row>
    <row r="58" spans="1:5" ht="19">
      <c r="A58">
        <v>57</v>
      </c>
      <c r="B58" s="1" t="s">
        <v>238</v>
      </c>
      <c r="C58" s="2" t="s">
        <v>269</v>
      </c>
      <c r="D58" t="s">
        <v>84</v>
      </c>
      <c r="E58" t="s">
        <v>391</v>
      </c>
    </row>
    <row r="59" spans="1:5" ht="19">
      <c r="A59">
        <v>58</v>
      </c>
      <c r="B59" s="1" t="s">
        <v>28</v>
      </c>
      <c r="C59" s="2" t="s">
        <v>271</v>
      </c>
      <c r="D59" t="s">
        <v>84</v>
      </c>
      <c r="E59" t="s">
        <v>391</v>
      </c>
    </row>
    <row r="60" spans="1:5" ht="19">
      <c r="A60">
        <v>59</v>
      </c>
      <c r="B60" s="1" t="s">
        <v>29</v>
      </c>
      <c r="C60" s="2" t="s">
        <v>271</v>
      </c>
      <c r="D60" t="s">
        <v>85</v>
      </c>
      <c r="E60" t="s">
        <v>391</v>
      </c>
    </row>
    <row r="61" spans="1:5" ht="19">
      <c r="A61">
        <v>60</v>
      </c>
      <c r="B61" s="1" t="s">
        <v>239</v>
      </c>
      <c r="C61" s="2" t="s">
        <v>269</v>
      </c>
      <c r="D61" t="s">
        <v>84</v>
      </c>
      <c r="E61" t="s">
        <v>391</v>
      </c>
    </row>
    <row r="62" spans="1:5" ht="19">
      <c r="A62">
        <v>61</v>
      </c>
      <c r="B62" s="1" t="s">
        <v>30</v>
      </c>
      <c r="C62" s="2" t="s">
        <v>271</v>
      </c>
      <c r="D62" t="s">
        <v>84</v>
      </c>
      <c r="E62" t="s">
        <v>391</v>
      </c>
    </row>
    <row r="63" spans="1:5" ht="19">
      <c r="A63">
        <v>62</v>
      </c>
      <c r="B63" s="1" t="s">
        <v>240</v>
      </c>
      <c r="C63" s="2" t="s">
        <v>269</v>
      </c>
      <c r="D63" t="s">
        <v>84</v>
      </c>
      <c r="E63" t="s">
        <v>391</v>
      </c>
    </row>
    <row r="64" spans="1:5" ht="19">
      <c r="A64">
        <v>63</v>
      </c>
      <c r="B64" s="1" t="s">
        <v>31</v>
      </c>
      <c r="C64" s="2" t="s">
        <v>271</v>
      </c>
      <c r="D64" t="s">
        <v>85</v>
      </c>
      <c r="E64" t="s">
        <v>391</v>
      </c>
    </row>
    <row r="65" spans="1:7" ht="19">
      <c r="A65">
        <v>64</v>
      </c>
      <c r="B65" s="1" t="s">
        <v>241</v>
      </c>
      <c r="C65" s="2" t="s">
        <v>269</v>
      </c>
      <c r="D65" t="s">
        <v>84</v>
      </c>
      <c r="E65" t="s">
        <v>391</v>
      </c>
    </row>
    <row r="66" spans="1:7" ht="19">
      <c r="A66">
        <v>65</v>
      </c>
      <c r="B66" s="1" t="s">
        <v>32</v>
      </c>
      <c r="C66" s="2" t="s">
        <v>271</v>
      </c>
      <c r="D66" t="s">
        <v>84</v>
      </c>
      <c r="E66" t="s">
        <v>391</v>
      </c>
    </row>
    <row r="67" spans="1:7" ht="19">
      <c r="A67">
        <v>66</v>
      </c>
      <c r="B67" s="1" t="s">
        <v>33</v>
      </c>
      <c r="C67" s="2" t="s">
        <v>271</v>
      </c>
      <c r="D67" t="s">
        <v>85</v>
      </c>
      <c r="E67" t="s">
        <v>391</v>
      </c>
    </row>
    <row r="68" spans="1:7" ht="19">
      <c r="A68">
        <v>67</v>
      </c>
      <c r="B68" s="1" t="s">
        <v>34</v>
      </c>
      <c r="C68" s="2" t="s">
        <v>271</v>
      </c>
      <c r="D68" t="s">
        <v>87</v>
      </c>
      <c r="E68" t="s">
        <v>391</v>
      </c>
    </row>
    <row r="69" spans="1:7" ht="19">
      <c r="A69">
        <v>68</v>
      </c>
      <c r="B69" s="1" t="s">
        <v>35</v>
      </c>
      <c r="C69" s="2" t="s">
        <v>271</v>
      </c>
      <c r="D69" t="s">
        <v>85</v>
      </c>
      <c r="E69" t="s">
        <v>391</v>
      </c>
    </row>
    <row r="70" spans="1:7" ht="19">
      <c r="A70">
        <v>69</v>
      </c>
      <c r="B70" s="1" t="s">
        <v>36</v>
      </c>
      <c r="C70" s="2" t="s">
        <v>271</v>
      </c>
      <c r="D70" t="s">
        <v>85</v>
      </c>
      <c r="E70" t="s">
        <v>391</v>
      </c>
    </row>
    <row r="71" spans="1:7" ht="19">
      <c r="A71">
        <v>70</v>
      </c>
      <c r="B71" s="1" t="s">
        <v>37</v>
      </c>
      <c r="C71" s="2" t="s">
        <v>271</v>
      </c>
      <c r="D71" t="s">
        <v>85</v>
      </c>
      <c r="E71" t="s">
        <v>391</v>
      </c>
    </row>
    <row r="72" spans="1:7" ht="19">
      <c r="A72">
        <v>71</v>
      </c>
      <c r="B72" s="1" t="s">
        <v>38</v>
      </c>
      <c r="C72" s="2" t="s">
        <v>271</v>
      </c>
      <c r="D72" t="s">
        <v>84</v>
      </c>
      <c r="E72" t="s">
        <v>391</v>
      </c>
    </row>
    <row r="73" spans="1:7" ht="19">
      <c r="A73">
        <v>72</v>
      </c>
      <c r="B73" s="1" t="s">
        <v>39</v>
      </c>
      <c r="C73" s="2" t="s">
        <v>271</v>
      </c>
      <c r="D73" t="s">
        <v>84</v>
      </c>
      <c r="E73" t="s">
        <v>391</v>
      </c>
    </row>
    <row r="74" spans="1:7" ht="19">
      <c r="A74">
        <v>73</v>
      </c>
      <c r="B74" s="1" t="s">
        <v>242</v>
      </c>
      <c r="C74" s="2" t="s">
        <v>267</v>
      </c>
      <c r="D74" t="s">
        <v>84</v>
      </c>
      <c r="E74" t="s">
        <v>391</v>
      </c>
    </row>
    <row r="75" spans="1:7" ht="19">
      <c r="A75">
        <v>74</v>
      </c>
      <c r="B75" s="1" t="s">
        <v>40</v>
      </c>
      <c r="C75" s="2" t="s">
        <v>271</v>
      </c>
      <c r="D75" t="s">
        <v>84</v>
      </c>
      <c r="E75" t="s">
        <v>391</v>
      </c>
    </row>
    <row r="76" spans="1:7" ht="19">
      <c r="A76">
        <v>75</v>
      </c>
      <c r="B76" s="1" t="s">
        <v>243</v>
      </c>
      <c r="C76" s="2" t="s">
        <v>269</v>
      </c>
      <c r="D76" t="s">
        <v>84</v>
      </c>
      <c r="E76" t="s">
        <v>391</v>
      </c>
    </row>
    <row r="77" spans="1:7" ht="19">
      <c r="A77">
        <v>76</v>
      </c>
      <c r="B77" s="1" t="s">
        <v>41</v>
      </c>
      <c r="C77" s="2" t="s">
        <v>271</v>
      </c>
      <c r="D77" t="s">
        <v>84</v>
      </c>
      <c r="E77" t="s">
        <v>391</v>
      </c>
    </row>
    <row r="78" spans="1:7" ht="19">
      <c r="A78">
        <v>77</v>
      </c>
      <c r="B78" s="1" t="s">
        <v>244</v>
      </c>
      <c r="C78" s="2" t="s">
        <v>274</v>
      </c>
      <c r="D78" t="s">
        <v>84</v>
      </c>
      <c r="E78" t="s">
        <v>391</v>
      </c>
    </row>
    <row r="79" spans="1:7" ht="19">
      <c r="A79">
        <v>78</v>
      </c>
      <c r="B79" s="1" t="s">
        <v>245</v>
      </c>
      <c r="C79" s="2" t="s">
        <v>269</v>
      </c>
      <c r="D79" t="s">
        <v>84</v>
      </c>
      <c r="E79" t="s">
        <v>391</v>
      </c>
    </row>
    <row r="80" spans="1:7" ht="19">
      <c r="A80">
        <v>79</v>
      </c>
      <c r="B80" s="1" t="s">
        <v>42</v>
      </c>
      <c r="C80" s="2" t="s">
        <v>271</v>
      </c>
      <c r="D80" t="s">
        <v>87</v>
      </c>
      <c r="E80" t="s">
        <v>391</v>
      </c>
      <c r="G80" s="17"/>
    </row>
    <row r="81" spans="1:5" ht="19">
      <c r="A81">
        <v>80</v>
      </c>
      <c r="B81" s="1" t="s">
        <v>43</v>
      </c>
      <c r="C81" s="2" t="s">
        <v>271</v>
      </c>
      <c r="D81" t="s">
        <v>87</v>
      </c>
      <c r="E81" t="s">
        <v>391</v>
      </c>
    </row>
    <row r="82" spans="1:5" ht="19">
      <c r="A82">
        <v>81</v>
      </c>
      <c r="B82" s="1" t="s">
        <v>246</v>
      </c>
      <c r="C82" s="2" t="s">
        <v>273</v>
      </c>
      <c r="D82" t="s">
        <v>84</v>
      </c>
      <c r="E82" t="s">
        <v>391</v>
      </c>
    </row>
    <row r="83" spans="1:5" ht="19">
      <c r="A83">
        <v>82</v>
      </c>
      <c r="B83" s="1" t="s">
        <v>247</v>
      </c>
      <c r="C83" s="2" t="s">
        <v>269</v>
      </c>
      <c r="D83" t="s">
        <v>84</v>
      </c>
      <c r="E83" t="s">
        <v>391</v>
      </c>
    </row>
    <row r="84" spans="1:5" ht="19">
      <c r="A84">
        <v>83</v>
      </c>
      <c r="B84" s="1" t="s">
        <v>248</v>
      </c>
      <c r="C84" s="2" t="s">
        <v>269</v>
      </c>
      <c r="D84" t="s">
        <v>84</v>
      </c>
      <c r="E84" t="s">
        <v>391</v>
      </c>
    </row>
    <row r="85" spans="1:5" ht="19">
      <c r="A85">
        <v>84</v>
      </c>
      <c r="B85" s="1" t="s">
        <v>44</v>
      </c>
      <c r="C85" s="2" t="s">
        <v>271</v>
      </c>
      <c r="D85" t="s">
        <v>87</v>
      </c>
      <c r="E85" t="s">
        <v>391</v>
      </c>
    </row>
    <row r="86" spans="1:5" ht="19">
      <c r="A86">
        <v>85</v>
      </c>
      <c r="B86" s="1" t="s">
        <v>249</v>
      </c>
      <c r="C86" s="2" t="s">
        <v>274</v>
      </c>
      <c r="D86" t="s">
        <v>84</v>
      </c>
      <c r="E86" t="s">
        <v>391</v>
      </c>
    </row>
    <row r="87" spans="1:5" ht="19">
      <c r="A87">
        <v>86</v>
      </c>
      <c r="B87" s="1" t="s">
        <v>45</v>
      </c>
      <c r="C87" s="2" t="s">
        <v>271</v>
      </c>
      <c r="D87" t="s">
        <v>84</v>
      </c>
      <c r="E87" t="s">
        <v>391</v>
      </c>
    </row>
    <row r="88" spans="1:5" ht="19">
      <c r="A88">
        <v>87</v>
      </c>
      <c r="B88" s="1" t="s">
        <v>250</v>
      </c>
      <c r="C88" s="2" t="s">
        <v>268</v>
      </c>
      <c r="D88" t="s">
        <v>84</v>
      </c>
      <c r="E88" t="s">
        <v>391</v>
      </c>
    </row>
    <row r="89" spans="1:5" ht="19">
      <c r="A89">
        <v>88</v>
      </c>
      <c r="B89" s="1" t="s">
        <v>46</v>
      </c>
      <c r="C89" s="2" t="s">
        <v>271</v>
      </c>
      <c r="D89" t="s">
        <v>84</v>
      </c>
      <c r="E89" t="s">
        <v>391</v>
      </c>
    </row>
    <row r="90" spans="1:5" ht="19">
      <c r="A90">
        <v>89</v>
      </c>
      <c r="B90" s="1" t="s">
        <v>47</v>
      </c>
      <c r="C90" s="2" t="s">
        <v>271</v>
      </c>
      <c r="D90" t="s">
        <v>84</v>
      </c>
      <c r="E90" t="s">
        <v>391</v>
      </c>
    </row>
    <row r="91" spans="1:5" ht="19">
      <c r="A91">
        <v>90</v>
      </c>
      <c r="B91" s="1" t="s">
        <v>48</v>
      </c>
      <c r="C91" s="2" t="s">
        <v>271</v>
      </c>
      <c r="D91" t="s">
        <v>84</v>
      </c>
      <c r="E91" t="s">
        <v>391</v>
      </c>
    </row>
    <row r="92" spans="1:5" ht="19">
      <c r="A92">
        <v>91</v>
      </c>
      <c r="B92" s="1" t="s">
        <v>49</v>
      </c>
      <c r="C92" s="2" t="s">
        <v>271</v>
      </c>
      <c r="D92" t="s">
        <v>84</v>
      </c>
      <c r="E92" t="s">
        <v>391</v>
      </c>
    </row>
    <row r="93" spans="1:5" ht="19">
      <c r="A93">
        <v>92</v>
      </c>
      <c r="B93" s="1" t="s">
        <v>50</v>
      </c>
      <c r="C93" s="2" t="s">
        <v>271</v>
      </c>
      <c r="D93" t="s">
        <v>84</v>
      </c>
      <c r="E93" t="s">
        <v>391</v>
      </c>
    </row>
    <row r="94" spans="1:5" ht="19">
      <c r="A94">
        <v>93</v>
      </c>
      <c r="B94" s="1" t="s">
        <v>51</v>
      </c>
      <c r="C94" s="2" t="s">
        <v>271</v>
      </c>
      <c r="D94" t="s">
        <v>84</v>
      </c>
      <c r="E94" t="s">
        <v>391</v>
      </c>
    </row>
    <row r="95" spans="1:5" ht="19">
      <c r="A95">
        <v>94</v>
      </c>
      <c r="B95" s="1" t="s">
        <v>52</v>
      </c>
      <c r="C95" s="2" t="s">
        <v>271</v>
      </c>
      <c r="D95" t="s">
        <v>84</v>
      </c>
      <c r="E95" t="s">
        <v>391</v>
      </c>
    </row>
    <row r="96" spans="1:5" ht="19">
      <c r="A96">
        <v>95</v>
      </c>
      <c r="B96" s="1" t="s">
        <v>53</v>
      </c>
      <c r="C96" s="2" t="s">
        <v>271</v>
      </c>
      <c r="D96" t="s">
        <v>84</v>
      </c>
      <c r="E96" t="s">
        <v>391</v>
      </c>
    </row>
    <row r="97" spans="1:5" ht="19">
      <c r="A97">
        <v>96</v>
      </c>
      <c r="B97" s="1" t="s">
        <v>251</v>
      </c>
      <c r="C97" s="2" t="s">
        <v>267</v>
      </c>
      <c r="D97" t="s">
        <v>84</v>
      </c>
      <c r="E97" t="s">
        <v>391</v>
      </c>
    </row>
    <row r="98" spans="1:5" ht="19">
      <c r="A98">
        <v>97</v>
      </c>
      <c r="B98" s="1" t="s">
        <v>54</v>
      </c>
      <c r="C98" s="2" t="s">
        <v>271</v>
      </c>
      <c r="D98" t="s">
        <v>84</v>
      </c>
      <c r="E98" t="s">
        <v>391</v>
      </c>
    </row>
    <row r="99" spans="1:5" ht="19">
      <c r="A99">
        <v>98</v>
      </c>
      <c r="B99" s="1" t="s">
        <v>55</v>
      </c>
      <c r="C99" s="2" t="s">
        <v>271</v>
      </c>
      <c r="D99" t="s">
        <v>84</v>
      </c>
      <c r="E99" t="s">
        <v>391</v>
      </c>
    </row>
    <row r="100" spans="1:5" ht="19">
      <c r="A100">
        <v>99</v>
      </c>
      <c r="B100" s="1" t="s">
        <v>252</v>
      </c>
      <c r="C100" s="2" t="s">
        <v>274</v>
      </c>
      <c r="D100" t="s">
        <v>84</v>
      </c>
      <c r="E100" t="s">
        <v>391</v>
      </c>
    </row>
    <row r="101" spans="1:5" ht="19">
      <c r="A101">
        <v>100</v>
      </c>
      <c r="B101" s="1" t="s">
        <v>56</v>
      </c>
      <c r="C101" s="2" t="s">
        <v>271</v>
      </c>
      <c r="D101" t="s">
        <v>84</v>
      </c>
      <c r="E101" t="s">
        <v>391</v>
      </c>
    </row>
    <row r="102" spans="1:5" ht="19">
      <c r="A102">
        <v>101</v>
      </c>
      <c r="B102" s="1" t="s">
        <v>253</v>
      </c>
      <c r="C102" s="2" t="s">
        <v>267</v>
      </c>
      <c r="D102" t="s">
        <v>84</v>
      </c>
      <c r="E102" t="s">
        <v>391</v>
      </c>
    </row>
    <row r="103" spans="1:5" ht="19">
      <c r="A103">
        <v>102</v>
      </c>
      <c r="B103" s="1" t="s">
        <v>57</v>
      </c>
      <c r="C103" s="2" t="s">
        <v>271</v>
      </c>
      <c r="D103" t="s">
        <v>84</v>
      </c>
      <c r="E103" t="s">
        <v>391</v>
      </c>
    </row>
    <row r="104" spans="1:5" ht="19">
      <c r="A104">
        <v>103</v>
      </c>
      <c r="B104" s="1" t="s">
        <v>58</v>
      </c>
      <c r="C104" s="2" t="s">
        <v>271</v>
      </c>
      <c r="D104" t="s">
        <v>85</v>
      </c>
      <c r="E104" t="s">
        <v>391</v>
      </c>
    </row>
    <row r="105" spans="1:5" ht="19">
      <c r="A105">
        <v>104</v>
      </c>
      <c r="B105" s="1" t="s">
        <v>254</v>
      </c>
      <c r="C105" s="2" t="s">
        <v>269</v>
      </c>
      <c r="D105" t="s">
        <v>84</v>
      </c>
      <c r="E105" t="s">
        <v>391</v>
      </c>
    </row>
    <row r="106" spans="1:5" ht="19">
      <c r="A106">
        <v>105</v>
      </c>
      <c r="B106" s="1" t="s">
        <v>255</v>
      </c>
      <c r="C106" s="2" t="s">
        <v>269</v>
      </c>
      <c r="D106" t="s">
        <v>84</v>
      </c>
      <c r="E106" t="s">
        <v>391</v>
      </c>
    </row>
    <row r="107" spans="1:5" ht="19">
      <c r="A107">
        <v>106</v>
      </c>
      <c r="B107" s="1" t="s">
        <v>256</v>
      </c>
      <c r="C107" s="2" t="s">
        <v>269</v>
      </c>
      <c r="D107" t="s">
        <v>84</v>
      </c>
      <c r="E107" t="s">
        <v>391</v>
      </c>
    </row>
    <row r="108" spans="1:5" ht="19">
      <c r="A108">
        <v>107</v>
      </c>
      <c r="B108" s="1" t="s">
        <v>257</v>
      </c>
      <c r="C108" s="2" t="s">
        <v>274</v>
      </c>
      <c r="D108" t="s">
        <v>84</v>
      </c>
      <c r="E108" t="s">
        <v>391</v>
      </c>
    </row>
    <row r="109" spans="1:5" ht="19">
      <c r="A109">
        <v>108</v>
      </c>
      <c r="B109" s="1" t="s">
        <v>258</v>
      </c>
      <c r="C109" s="2" t="s">
        <v>267</v>
      </c>
      <c r="D109" t="s">
        <v>84</v>
      </c>
      <c r="E109" t="s">
        <v>391</v>
      </c>
    </row>
    <row r="110" spans="1:5" ht="19">
      <c r="A110">
        <v>109</v>
      </c>
      <c r="B110" s="1" t="s">
        <v>259</v>
      </c>
      <c r="C110" s="2" t="s">
        <v>274</v>
      </c>
      <c r="D110" t="s">
        <v>84</v>
      </c>
      <c r="E110" t="s">
        <v>391</v>
      </c>
    </row>
    <row r="111" spans="1:5" ht="19">
      <c r="A111">
        <v>110</v>
      </c>
      <c r="B111" s="1" t="s">
        <v>260</v>
      </c>
      <c r="C111" s="2" t="s">
        <v>269</v>
      </c>
      <c r="D111" t="s">
        <v>84</v>
      </c>
      <c r="E111" t="s">
        <v>391</v>
      </c>
    </row>
    <row r="112" spans="1:5" ht="19">
      <c r="A112">
        <v>111</v>
      </c>
      <c r="B112" s="1" t="s">
        <v>261</v>
      </c>
      <c r="C112" s="2" t="s">
        <v>274</v>
      </c>
      <c r="D112" t="s">
        <v>84</v>
      </c>
      <c r="E112" t="s">
        <v>391</v>
      </c>
    </row>
    <row r="113" spans="1:7" ht="19">
      <c r="A113">
        <v>112</v>
      </c>
      <c r="B113" s="1" t="s">
        <v>262</v>
      </c>
      <c r="C113" s="2" t="s">
        <v>269</v>
      </c>
      <c r="D113" t="s">
        <v>84</v>
      </c>
      <c r="E113" t="s">
        <v>391</v>
      </c>
    </row>
    <row r="114" spans="1:7" ht="19">
      <c r="A114">
        <v>113</v>
      </c>
      <c r="B114" s="1" t="s">
        <v>263</v>
      </c>
      <c r="C114" s="2" t="s">
        <v>269</v>
      </c>
      <c r="D114" t="s">
        <v>84</v>
      </c>
      <c r="E114" t="s">
        <v>391</v>
      </c>
    </row>
    <row r="115" spans="1:7" ht="19">
      <c r="A115">
        <v>114</v>
      </c>
      <c r="B115" s="1" t="s">
        <v>264</v>
      </c>
      <c r="C115" s="2" t="s">
        <v>267</v>
      </c>
      <c r="D115" t="s">
        <v>85</v>
      </c>
      <c r="E115" t="s">
        <v>391</v>
      </c>
    </row>
    <row r="116" spans="1:7" ht="19">
      <c r="A116">
        <v>115</v>
      </c>
      <c r="B116" s="1" t="s">
        <v>59</v>
      </c>
      <c r="C116" s="2" t="s">
        <v>271</v>
      </c>
      <c r="D116" t="s">
        <v>85</v>
      </c>
      <c r="E116" t="s">
        <v>391</v>
      </c>
    </row>
    <row r="117" spans="1:7" ht="19">
      <c r="A117">
        <v>116</v>
      </c>
      <c r="B117" s="1" t="s">
        <v>60</v>
      </c>
      <c r="C117" s="2" t="s">
        <v>271</v>
      </c>
      <c r="D117" t="s">
        <v>84</v>
      </c>
      <c r="E117" t="s">
        <v>391</v>
      </c>
    </row>
    <row r="118" spans="1:7" ht="19">
      <c r="A118">
        <v>117</v>
      </c>
      <c r="B118" s="1" t="s">
        <v>265</v>
      </c>
      <c r="C118" s="2" t="s">
        <v>267</v>
      </c>
      <c r="D118" t="s">
        <v>84</v>
      </c>
      <c r="E118" t="s">
        <v>391</v>
      </c>
    </row>
    <row r="119" spans="1:7" ht="19">
      <c r="A119">
        <v>118</v>
      </c>
      <c r="B119" s="1" t="s">
        <v>61</v>
      </c>
      <c r="C119" s="2" t="s">
        <v>271</v>
      </c>
      <c r="D119" t="s">
        <v>85</v>
      </c>
      <c r="E119" t="s">
        <v>391</v>
      </c>
    </row>
    <row r="120" spans="1:7" ht="19">
      <c r="A120">
        <v>119</v>
      </c>
      <c r="B120" s="1" t="s">
        <v>266</v>
      </c>
      <c r="C120" s="2" t="s">
        <v>269</v>
      </c>
      <c r="D120" t="s">
        <v>84</v>
      </c>
      <c r="E120" t="s">
        <v>391</v>
      </c>
    </row>
    <row r="121" spans="1:7" ht="19">
      <c r="A121">
        <v>120</v>
      </c>
      <c r="B121" s="1" t="s">
        <v>62</v>
      </c>
      <c r="C121" s="2" t="s">
        <v>271</v>
      </c>
      <c r="D121" t="s">
        <v>84</v>
      </c>
      <c r="E121" t="s">
        <v>391</v>
      </c>
    </row>
    <row r="122" spans="1:7" ht="19">
      <c r="A122">
        <v>121</v>
      </c>
      <c r="B122" s="1" t="s">
        <v>63</v>
      </c>
      <c r="C122" s="2" t="s">
        <v>271</v>
      </c>
      <c r="D122" t="s">
        <v>84</v>
      </c>
      <c r="E122" t="s">
        <v>391</v>
      </c>
      <c r="G122" s="17"/>
    </row>
    <row r="123" spans="1:7" ht="19">
      <c r="A123">
        <v>122</v>
      </c>
      <c r="B123" s="1" t="s">
        <v>64</v>
      </c>
      <c r="C123" s="2" t="s">
        <v>271</v>
      </c>
      <c r="D123" t="s">
        <v>84</v>
      </c>
      <c r="E123" t="s">
        <v>391</v>
      </c>
      <c r="G123" s="17"/>
    </row>
    <row r="124" spans="1:7" ht="19">
      <c r="A124">
        <v>123</v>
      </c>
      <c r="B124" s="1" t="s">
        <v>65</v>
      </c>
      <c r="C124" s="2" t="s">
        <v>271</v>
      </c>
      <c r="D124" t="s">
        <v>84</v>
      </c>
      <c r="E124" t="s">
        <v>391</v>
      </c>
      <c r="G124" s="17"/>
    </row>
    <row r="125" spans="1:7" ht="19">
      <c r="A125">
        <v>124</v>
      </c>
      <c r="B125" s="1" t="s">
        <v>66</v>
      </c>
      <c r="C125" s="2" t="s">
        <v>271</v>
      </c>
      <c r="D125" t="s">
        <v>84</v>
      </c>
      <c r="E125" t="s">
        <v>391</v>
      </c>
      <c r="G125" s="17"/>
    </row>
    <row r="126" spans="1:7" ht="19">
      <c r="A126">
        <v>125</v>
      </c>
      <c r="B126" s="1" t="s">
        <v>67</v>
      </c>
      <c r="C126" s="2" t="s">
        <v>271</v>
      </c>
      <c r="D126" t="s">
        <v>84</v>
      </c>
      <c r="E126" t="s">
        <v>391</v>
      </c>
      <c r="G126" s="17"/>
    </row>
    <row r="127" spans="1:7" ht="19">
      <c r="A127">
        <v>126</v>
      </c>
      <c r="B127" s="1" t="s">
        <v>68</v>
      </c>
      <c r="C127" s="2" t="s">
        <v>271</v>
      </c>
      <c r="D127" t="s">
        <v>84</v>
      </c>
      <c r="E127" t="s">
        <v>391</v>
      </c>
      <c r="G127" s="17"/>
    </row>
    <row r="128" spans="1:7" ht="19">
      <c r="A128">
        <v>127</v>
      </c>
      <c r="B128" s="1" t="s">
        <v>69</v>
      </c>
      <c r="C128" s="2" t="s">
        <v>271</v>
      </c>
      <c r="D128" t="s">
        <v>84</v>
      </c>
      <c r="E128" t="s">
        <v>391</v>
      </c>
      <c r="G128" s="17"/>
    </row>
    <row r="129" spans="1:7" ht="19">
      <c r="A129">
        <v>128</v>
      </c>
      <c r="B129" s="1" t="s">
        <v>70</v>
      </c>
      <c r="C129" s="2" t="s">
        <v>271</v>
      </c>
      <c r="D129" t="s">
        <v>84</v>
      </c>
      <c r="E129" t="s">
        <v>391</v>
      </c>
      <c r="G129" s="17"/>
    </row>
    <row r="130" spans="1:7" ht="19">
      <c r="A130">
        <v>129</v>
      </c>
      <c r="B130" s="1" t="s">
        <v>71</v>
      </c>
      <c r="C130" s="2" t="s">
        <v>271</v>
      </c>
      <c r="D130" t="s">
        <v>84</v>
      </c>
      <c r="E130" t="s">
        <v>391</v>
      </c>
      <c r="G130" s="17"/>
    </row>
    <row r="131" spans="1:7" ht="19">
      <c r="A131">
        <v>130</v>
      </c>
      <c r="B131" s="1" t="s">
        <v>72</v>
      </c>
      <c r="C131" s="2" t="s">
        <v>271</v>
      </c>
      <c r="D131" t="s">
        <v>84</v>
      </c>
      <c r="E131" t="s">
        <v>391</v>
      </c>
      <c r="G131" s="17"/>
    </row>
    <row r="132" spans="1:7" ht="19">
      <c r="A132">
        <v>131</v>
      </c>
      <c r="B132" s="1" t="s">
        <v>73</v>
      </c>
      <c r="C132" s="2" t="s">
        <v>271</v>
      </c>
      <c r="D132" t="s">
        <v>84</v>
      </c>
      <c r="E132" t="s">
        <v>391</v>
      </c>
      <c r="G132" s="17"/>
    </row>
    <row r="133" spans="1:7" ht="19">
      <c r="A133">
        <v>132</v>
      </c>
      <c r="B133" s="1" t="s">
        <v>74</v>
      </c>
      <c r="C133" s="2" t="s">
        <v>271</v>
      </c>
      <c r="D133" t="s">
        <v>84</v>
      </c>
      <c r="E133" t="s">
        <v>391</v>
      </c>
      <c r="G133" s="17"/>
    </row>
    <row r="134" spans="1:7" ht="19">
      <c r="A134">
        <v>133</v>
      </c>
      <c r="B134" s="1" t="s">
        <v>75</v>
      </c>
      <c r="C134" s="2" t="s">
        <v>271</v>
      </c>
      <c r="D134" t="s">
        <v>84</v>
      </c>
      <c r="E134" t="s">
        <v>391</v>
      </c>
      <c r="G134" s="17"/>
    </row>
    <row r="135" spans="1:7" ht="19">
      <c r="A135">
        <v>134</v>
      </c>
      <c r="B135" s="1" t="s">
        <v>76</v>
      </c>
      <c r="C135" s="2" t="s">
        <v>271</v>
      </c>
      <c r="D135" t="s">
        <v>84</v>
      </c>
      <c r="E135" t="s">
        <v>391</v>
      </c>
      <c r="G135" s="17"/>
    </row>
    <row r="136" spans="1:7" ht="19">
      <c r="A136">
        <v>135</v>
      </c>
      <c r="B136" s="1" t="s">
        <v>77</v>
      </c>
      <c r="C136" s="2" t="s">
        <v>271</v>
      </c>
      <c r="D136" t="s">
        <v>84</v>
      </c>
      <c r="E136" t="s">
        <v>391</v>
      </c>
      <c r="G136" s="17"/>
    </row>
    <row r="137" spans="1:7" ht="19">
      <c r="A137">
        <v>136</v>
      </c>
      <c r="B137" s="1" t="s">
        <v>78</v>
      </c>
      <c r="C137" s="2" t="s">
        <v>271</v>
      </c>
      <c r="D137" t="s">
        <v>84</v>
      </c>
      <c r="E137" t="s">
        <v>391</v>
      </c>
      <c r="G137" s="17"/>
    </row>
    <row r="138" spans="1:7" ht="19">
      <c r="A138">
        <v>137</v>
      </c>
      <c r="B138" s="1" t="s">
        <v>79</v>
      </c>
      <c r="C138" s="2" t="s">
        <v>271</v>
      </c>
      <c r="D138" t="s">
        <v>84</v>
      </c>
      <c r="E138" t="s">
        <v>391</v>
      </c>
      <c r="G138" s="17"/>
    </row>
    <row r="139" spans="1:7" ht="19">
      <c r="A139">
        <v>138</v>
      </c>
      <c r="B139" s="1" t="s">
        <v>80</v>
      </c>
      <c r="C139" s="2" t="s">
        <v>271</v>
      </c>
      <c r="D139" t="s">
        <v>84</v>
      </c>
      <c r="E139" t="s">
        <v>391</v>
      </c>
      <c r="G139" s="17"/>
    </row>
    <row r="140" spans="1:7" ht="19">
      <c r="A140">
        <v>139</v>
      </c>
      <c r="B140" s="1" t="s">
        <v>81</v>
      </c>
      <c r="C140" s="2" t="s">
        <v>271</v>
      </c>
      <c r="D140" t="s">
        <v>84</v>
      </c>
      <c r="E140" t="s">
        <v>391</v>
      </c>
      <c r="G140" s="17"/>
    </row>
    <row r="141" spans="1:7" ht="19">
      <c r="A141">
        <v>140</v>
      </c>
      <c r="B141" s="1" t="s">
        <v>82</v>
      </c>
      <c r="C141" s="2" t="s">
        <v>271</v>
      </c>
      <c r="D141" t="s">
        <v>84</v>
      </c>
      <c r="E141" t="s">
        <v>391</v>
      </c>
      <c r="G141" s="17"/>
    </row>
    <row r="142" spans="1:7" ht="19">
      <c r="A142">
        <v>141</v>
      </c>
      <c r="B142" s="1" t="s">
        <v>83</v>
      </c>
      <c r="C142" s="2" t="s">
        <v>271</v>
      </c>
      <c r="D142" t="s">
        <v>84</v>
      </c>
      <c r="E142" t="s">
        <v>391</v>
      </c>
      <c r="G142" s="17"/>
    </row>
    <row r="143" spans="1:7" ht="19">
      <c r="B143" s="1"/>
    </row>
    <row r="144" spans="1:7" ht="19">
      <c r="B144" s="1"/>
    </row>
  </sheetData>
  <autoFilter ref="A1:I145" xr:uid="{534E2F02-400F-CE45-A626-172EF99DD096}">
    <sortState xmlns:xlrd2="http://schemas.microsoft.com/office/spreadsheetml/2017/richdata2" ref="A2:I145">
      <sortCondition ref="A1:A145"/>
    </sortState>
  </autoFilter>
  <phoneticPr fontId="1" type="noConversion"/>
  <conditionalFormatting sqref="E1:E1048576">
    <cfRule type="cellIs" dxfId="35" priority="2" operator="equal">
      <formula>"no"</formula>
    </cfRule>
    <cfRule type="cellIs" dxfId="34" priority="3" operator="equal">
      <formula>"yes"</formula>
    </cfRule>
  </conditionalFormatting>
  <conditionalFormatting sqref="F2:F142">
    <cfRule type="expression" dxfId="33" priority="1">
      <formula>F2&lt;&gt;E2</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2F02-400F-CE45-A626-172EF99DD096}">
  <sheetPr codeName="工作表8"/>
  <dimension ref="A1:I144"/>
  <sheetViews>
    <sheetView zoomScaleNormal="100" workbookViewId="0">
      <pane ySplit="1" topLeftCell="A2" activePane="bottomLeft" state="frozen"/>
      <selection pane="bottomLeft" activeCell="F2" sqref="F2"/>
    </sheetView>
  </sheetViews>
  <sheetFormatPr baseColWidth="10" defaultRowHeight="15"/>
  <cols>
    <col min="2" max="2" width="12.5" customWidth="1"/>
    <col min="3" max="3" width="4.83203125" style="2" customWidth="1"/>
    <col min="5" max="6" width="11.33203125" customWidth="1"/>
    <col min="7" max="8" width="13.1640625" customWidth="1"/>
    <col min="9" max="9" width="14.33203125" customWidth="1"/>
  </cols>
  <sheetData>
    <row r="1" spans="1:9">
      <c r="A1" t="s">
        <v>88</v>
      </c>
      <c r="B1" t="s">
        <v>0</v>
      </c>
      <c r="C1" s="2" t="s">
        <v>202</v>
      </c>
      <c r="D1" t="s">
        <v>6</v>
      </c>
      <c r="E1" t="s">
        <v>1</v>
      </c>
      <c r="F1" t="s">
        <v>4</v>
      </c>
      <c r="G1" t="s">
        <v>2</v>
      </c>
      <c r="H1" t="s">
        <v>5</v>
      </c>
      <c r="I1" t="s">
        <v>3</v>
      </c>
    </row>
    <row r="2" spans="1:9" ht="19">
      <c r="A2">
        <v>1</v>
      </c>
      <c r="B2" s="1" t="s">
        <v>7</v>
      </c>
      <c r="C2" s="2" t="s">
        <v>271</v>
      </c>
      <c r="D2" t="s">
        <v>84</v>
      </c>
      <c r="E2" t="s">
        <v>391</v>
      </c>
      <c r="F2" t="s">
        <v>192</v>
      </c>
      <c r="G2" t="s">
        <v>89</v>
      </c>
    </row>
    <row r="3" spans="1:9" ht="19">
      <c r="A3">
        <v>2</v>
      </c>
      <c r="B3" s="1" t="s">
        <v>8</v>
      </c>
      <c r="C3" s="2" t="s">
        <v>271</v>
      </c>
      <c r="D3" t="s">
        <v>86</v>
      </c>
      <c r="E3" t="s">
        <v>391</v>
      </c>
      <c r="F3" t="s">
        <v>201</v>
      </c>
      <c r="G3" t="s">
        <v>90</v>
      </c>
    </row>
    <row r="4" spans="1:9" ht="19">
      <c r="A4">
        <v>3</v>
      </c>
      <c r="B4" s="1" t="s">
        <v>9</v>
      </c>
      <c r="C4" s="2" t="s">
        <v>271</v>
      </c>
      <c r="D4" t="s">
        <v>84</v>
      </c>
      <c r="E4" t="s">
        <v>391</v>
      </c>
      <c r="F4" t="s">
        <v>192</v>
      </c>
      <c r="G4" t="s">
        <v>91</v>
      </c>
    </row>
    <row r="5" spans="1:9" ht="19">
      <c r="A5">
        <v>4</v>
      </c>
      <c r="B5" s="1" t="s">
        <v>10</v>
      </c>
      <c r="C5" s="2" t="s">
        <v>271</v>
      </c>
      <c r="D5" t="s">
        <v>85</v>
      </c>
      <c r="E5" t="s">
        <v>391</v>
      </c>
      <c r="F5" t="s">
        <v>201</v>
      </c>
      <c r="G5" t="s">
        <v>92</v>
      </c>
    </row>
    <row r="6" spans="1:9" ht="19">
      <c r="A6">
        <v>5</v>
      </c>
      <c r="B6" s="1" t="s">
        <v>203</v>
      </c>
      <c r="C6" s="2" t="s">
        <v>267</v>
      </c>
      <c r="D6" t="s">
        <v>85</v>
      </c>
      <c r="E6" t="s">
        <v>391</v>
      </c>
      <c r="F6" t="s">
        <v>201</v>
      </c>
      <c r="G6" t="s">
        <v>93</v>
      </c>
    </row>
    <row r="7" spans="1:9" ht="19">
      <c r="A7">
        <v>6</v>
      </c>
      <c r="B7" s="1" t="s">
        <v>11</v>
      </c>
      <c r="C7" s="2" t="s">
        <v>271</v>
      </c>
      <c r="D7" t="s">
        <v>85</v>
      </c>
      <c r="E7" t="s">
        <v>391</v>
      </c>
      <c r="F7" t="s">
        <v>201</v>
      </c>
      <c r="G7" t="s">
        <v>94</v>
      </c>
    </row>
    <row r="8" spans="1:9" ht="19">
      <c r="A8">
        <v>7</v>
      </c>
      <c r="B8" s="1" t="s">
        <v>12</v>
      </c>
      <c r="C8" s="2" t="s">
        <v>271</v>
      </c>
      <c r="D8" t="s">
        <v>86</v>
      </c>
      <c r="E8" t="s">
        <v>391</v>
      </c>
      <c r="F8" t="s">
        <v>192</v>
      </c>
      <c r="G8" t="s">
        <v>95</v>
      </c>
    </row>
    <row r="9" spans="1:9" ht="19">
      <c r="A9">
        <v>8</v>
      </c>
      <c r="B9" s="1" t="s">
        <v>204</v>
      </c>
      <c r="C9" s="2" t="s">
        <v>271</v>
      </c>
      <c r="D9" t="s">
        <v>85</v>
      </c>
      <c r="E9" t="s">
        <v>391</v>
      </c>
      <c r="F9" t="s">
        <v>201</v>
      </c>
      <c r="G9" t="s">
        <v>96</v>
      </c>
    </row>
    <row r="10" spans="1:9" ht="19">
      <c r="A10">
        <v>9</v>
      </c>
      <c r="B10" s="1" t="s">
        <v>13</v>
      </c>
      <c r="C10" s="2" t="s">
        <v>271</v>
      </c>
      <c r="D10" t="s">
        <v>85</v>
      </c>
      <c r="E10" t="s">
        <v>391</v>
      </c>
      <c r="F10" t="s">
        <v>201</v>
      </c>
      <c r="G10" t="s">
        <v>97</v>
      </c>
    </row>
    <row r="11" spans="1:9" ht="19">
      <c r="A11">
        <v>10</v>
      </c>
      <c r="B11" s="1" t="s">
        <v>14</v>
      </c>
      <c r="C11" s="2" t="s">
        <v>271</v>
      </c>
      <c r="D11" t="s">
        <v>84</v>
      </c>
      <c r="E11" t="s">
        <v>391</v>
      </c>
      <c r="F11" t="s">
        <v>192</v>
      </c>
      <c r="G11" t="s">
        <v>98</v>
      </c>
    </row>
    <row r="12" spans="1:9" ht="19">
      <c r="A12">
        <v>11</v>
      </c>
      <c r="B12" s="1" t="s">
        <v>205</v>
      </c>
      <c r="C12" s="2" t="s">
        <v>269</v>
      </c>
      <c r="D12" t="s">
        <v>84</v>
      </c>
      <c r="E12" t="s">
        <v>391</v>
      </c>
      <c r="F12" t="s">
        <v>192</v>
      </c>
      <c r="G12" t="s">
        <v>99</v>
      </c>
    </row>
    <row r="13" spans="1:9" ht="19">
      <c r="A13">
        <v>12</v>
      </c>
      <c r="B13" s="1" t="s">
        <v>206</v>
      </c>
      <c r="C13" s="2" t="s">
        <v>267</v>
      </c>
      <c r="D13" t="s">
        <v>84</v>
      </c>
      <c r="E13" t="s">
        <v>391</v>
      </c>
      <c r="F13" t="s">
        <v>192</v>
      </c>
      <c r="G13" t="s">
        <v>100</v>
      </c>
    </row>
    <row r="14" spans="1:9" ht="19">
      <c r="A14">
        <v>13</v>
      </c>
      <c r="B14" s="1" t="s">
        <v>15</v>
      </c>
      <c r="C14" s="2" t="s">
        <v>271</v>
      </c>
      <c r="D14" t="s">
        <v>85</v>
      </c>
      <c r="E14" t="s">
        <v>391</v>
      </c>
      <c r="F14" t="s">
        <v>201</v>
      </c>
      <c r="G14" t="s">
        <v>101</v>
      </c>
    </row>
    <row r="15" spans="1:9" ht="19">
      <c r="A15">
        <v>14</v>
      </c>
      <c r="B15" s="1" t="s">
        <v>207</v>
      </c>
      <c r="C15" s="2" t="s">
        <v>267</v>
      </c>
      <c r="D15" t="s">
        <v>84</v>
      </c>
      <c r="E15" t="s">
        <v>391</v>
      </c>
      <c r="F15" t="s">
        <v>192</v>
      </c>
      <c r="G15" t="s">
        <v>103</v>
      </c>
    </row>
    <row r="16" spans="1:9" ht="19">
      <c r="A16">
        <v>15</v>
      </c>
      <c r="B16" s="1" t="s">
        <v>16</v>
      </c>
      <c r="C16" s="2" t="s">
        <v>271</v>
      </c>
      <c r="D16" t="s">
        <v>84</v>
      </c>
      <c r="E16" t="s">
        <v>391</v>
      </c>
      <c r="F16" t="s">
        <v>192</v>
      </c>
      <c r="G16" t="s">
        <v>102</v>
      </c>
    </row>
    <row r="17" spans="1:7" ht="19">
      <c r="A17">
        <v>16</v>
      </c>
      <c r="B17" s="1" t="s">
        <v>17</v>
      </c>
      <c r="C17" s="2" t="s">
        <v>271</v>
      </c>
      <c r="D17" t="s">
        <v>84</v>
      </c>
      <c r="E17" t="s">
        <v>391</v>
      </c>
      <c r="F17" t="s">
        <v>192</v>
      </c>
      <c r="G17" t="s">
        <v>104</v>
      </c>
    </row>
    <row r="18" spans="1:7" ht="19">
      <c r="A18">
        <v>17</v>
      </c>
      <c r="B18" s="1" t="s">
        <v>18</v>
      </c>
      <c r="C18" s="2" t="s">
        <v>271</v>
      </c>
      <c r="D18" t="s">
        <v>85</v>
      </c>
      <c r="E18" t="s">
        <v>391</v>
      </c>
      <c r="F18" t="s">
        <v>201</v>
      </c>
      <c r="G18" t="s">
        <v>105</v>
      </c>
    </row>
    <row r="19" spans="1:7" ht="19">
      <c r="A19">
        <v>18</v>
      </c>
      <c r="B19" s="1" t="s">
        <v>208</v>
      </c>
      <c r="C19" s="2" t="s">
        <v>267</v>
      </c>
      <c r="D19" t="s">
        <v>84</v>
      </c>
      <c r="E19" t="s">
        <v>391</v>
      </c>
      <c r="F19" t="s">
        <v>192</v>
      </c>
      <c r="G19" t="s">
        <v>106</v>
      </c>
    </row>
    <row r="20" spans="1:7" ht="19">
      <c r="A20">
        <v>19</v>
      </c>
      <c r="B20" s="1" t="s">
        <v>19</v>
      </c>
      <c r="C20" s="2" t="s">
        <v>271</v>
      </c>
      <c r="D20" t="s">
        <v>84</v>
      </c>
      <c r="E20" t="s">
        <v>391</v>
      </c>
      <c r="F20" t="s">
        <v>192</v>
      </c>
      <c r="G20" t="s">
        <v>107</v>
      </c>
    </row>
    <row r="21" spans="1:7" ht="19">
      <c r="A21">
        <v>20</v>
      </c>
      <c r="B21" s="1" t="s">
        <v>20</v>
      </c>
      <c r="C21" s="2" t="s">
        <v>271</v>
      </c>
      <c r="D21" t="s">
        <v>84</v>
      </c>
      <c r="E21" t="s">
        <v>391</v>
      </c>
      <c r="F21" t="s">
        <v>192</v>
      </c>
      <c r="G21" t="s">
        <v>108</v>
      </c>
    </row>
    <row r="22" spans="1:7" ht="19">
      <c r="A22">
        <v>21</v>
      </c>
      <c r="B22" s="1" t="s">
        <v>209</v>
      </c>
      <c r="C22" s="2" t="s">
        <v>272</v>
      </c>
      <c r="D22" t="s">
        <v>84</v>
      </c>
      <c r="E22" t="s">
        <v>391</v>
      </c>
      <c r="F22" t="s">
        <v>192</v>
      </c>
      <c r="G22" t="s">
        <v>109</v>
      </c>
    </row>
    <row r="23" spans="1:7" ht="19">
      <c r="A23">
        <v>22</v>
      </c>
      <c r="B23" s="1" t="s">
        <v>210</v>
      </c>
      <c r="C23" s="2" t="s">
        <v>267</v>
      </c>
      <c r="D23" t="s">
        <v>84</v>
      </c>
      <c r="E23" t="s">
        <v>391</v>
      </c>
      <c r="F23" t="s">
        <v>192</v>
      </c>
      <c r="G23" t="s">
        <v>110</v>
      </c>
    </row>
    <row r="24" spans="1:7" ht="19">
      <c r="A24">
        <v>23</v>
      </c>
      <c r="B24" s="1" t="s">
        <v>211</v>
      </c>
      <c r="C24" s="2" t="s">
        <v>271</v>
      </c>
      <c r="D24" t="s">
        <v>87</v>
      </c>
      <c r="E24" t="s">
        <v>391</v>
      </c>
      <c r="F24" t="s">
        <v>201</v>
      </c>
      <c r="G24" t="s">
        <v>111</v>
      </c>
    </row>
    <row r="25" spans="1:7" ht="19">
      <c r="A25">
        <v>24</v>
      </c>
      <c r="B25" s="1" t="s">
        <v>212</v>
      </c>
      <c r="C25" s="2" t="s">
        <v>273</v>
      </c>
      <c r="D25" t="s">
        <v>84</v>
      </c>
      <c r="E25" t="s">
        <v>391</v>
      </c>
      <c r="F25" t="s">
        <v>192</v>
      </c>
      <c r="G25" t="s">
        <v>112</v>
      </c>
    </row>
    <row r="26" spans="1:7" ht="19">
      <c r="A26">
        <v>25</v>
      </c>
      <c r="B26" s="1" t="s">
        <v>213</v>
      </c>
      <c r="C26" s="2" t="s">
        <v>273</v>
      </c>
      <c r="D26" t="s">
        <v>84</v>
      </c>
      <c r="E26" t="s">
        <v>391</v>
      </c>
      <c r="F26" t="s">
        <v>192</v>
      </c>
      <c r="G26" t="s">
        <v>110</v>
      </c>
    </row>
    <row r="27" spans="1:7" ht="19">
      <c r="A27">
        <v>26</v>
      </c>
      <c r="B27" s="1" t="s">
        <v>21</v>
      </c>
      <c r="C27" s="2" t="s">
        <v>271</v>
      </c>
      <c r="D27" t="s">
        <v>86</v>
      </c>
      <c r="E27" t="s">
        <v>391</v>
      </c>
      <c r="F27" t="s">
        <v>201</v>
      </c>
      <c r="G27" t="s">
        <v>113</v>
      </c>
    </row>
    <row r="28" spans="1:7" ht="19">
      <c r="A28">
        <v>27</v>
      </c>
      <c r="B28" s="1" t="s">
        <v>22</v>
      </c>
      <c r="C28" s="2" t="s">
        <v>271</v>
      </c>
      <c r="D28" t="s">
        <v>85</v>
      </c>
      <c r="E28" t="s">
        <v>391</v>
      </c>
      <c r="F28" t="s">
        <v>201</v>
      </c>
      <c r="G28" t="s">
        <v>113</v>
      </c>
    </row>
    <row r="29" spans="1:7" ht="19">
      <c r="A29">
        <v>28</v>
      </c>
      <c r="B29" s="1" t="s">
        <v>214</v>
      </c>
      <c r="C29" s="2" t="s">
        <v>269</v>
      </c>
      <c r="D29" t="s">
        <v>84</v>
      </c>
      <c r="E29" t="s">
        <v>391</v>
      </c>
      <c r="F29" t="s">
        <v>192</v>
      </c>
      <c r="G29" t="s">
        <v>114</v>
      </c>
    </row>
    <row r="30" spans="1:7" ht="19">
      <c r="A30">
        <v>29</v>
      </c>
      <c r="B30" s="1" t="s">
        <v>23</v>
      </c>
      <c r="C30" s="2" t="s">
        <v>271</v>
      </c>
      <c r="D30" t="s">
        <v>87</v>
      </c>
      <c r="E30" t="s">
        <v>391</v>
      </c>
      <c r="F30" t="s">
        <v>201</v>
      </c>
      <c r="G30" t="s">
        <v>115</v>
      </c>
    </row>
    <row r="31" spans="1:7" ht="19">
      <c r="A31">
        <v>30</v>
      </c>
      <c r="B31" s="1" t="s">
        <v>215</v>
      </c>
      <c r="C31" s="2" t="s">
        <v>269</v>
      </c>
      <c r="D31" t="s">
        <v>84</v>
      </c>
      <c r="E31" t="s">
        <v>391</v>
      </c>
      <c r="F31" t="s">
        <v>192</v>
      </c>
      <c r="G31" t="s">
        <v>116</v>
      </c>
    </row>
    <row r="32" spans="1:7" ht="19">
      <c r="A32">
        <v>31</v>
      </c>
      <c r="B32" s="1" t="s">
        <v>216</v>
      </c>
      <c r="C32" s="2" t="s">
        <v>269</v>
      </c>
      <c r="D32" t="s">
        <v>84</v>
      </c>
      <c r="E32" t="s">
        <v>391</v>
      </c>
      <c r="F32" t="s">
        <v>192</v>
      </c>
      <c r="G32" t="s">
        <v>117</v>
      </c>
    </row>
    <row r="33" spans="1:7" ht="19">
      <c r="A33">
        <v>32</v>
      </c>
      <c r="B33" s="1" t="s">
        <v>24</v>
      </c>
      <c r="C33" s="2" t="s">
        <v>271</v>
      </c>
      <c r="D33" t="s">
        <v>84</v>
      </c>
      <c r="E33" t="s">
        <v>391</v>
      </c>
      <c r="F33" t="s">
        <v>192</v>
      </c>
      <c r="G33" t="s">
        <v>118</v>
      </c>
    </row>
    <row r="34" spans="1:7" ht="19">
      <c r="A34">
        <v>33</v>
      </c>
      <c r="B34" s="1" t="s">
        <v>25</v>
      </c>
      <c r="C34" s="2" t="s">
        <v>271</v>
      </c>
      <c r="D34" t="s">
        <v>84</v>
      </c>
      <c r="E34" t="s">
        <v>391</v>
      </c>
      <c r="F34" t="s">
        <v>192</v>
      </c>
      <c r="G34" t="s">
        <v>119</v>
      </c>
    </row>
    <row r="35" spans="1:7" ht="19">
      <c r="A35">
        <v>34</v>
      </c>
      <c r="B35" s="1" t="s">
        <v>217</v>
      </c>
      <c r="C35" s="2" t="s">
        <v>267</v>
      </c>
      <c r="D35" t="s">
        <v>84</v>
      </c>
      <c r="E35" t="s">
        <v>391</v>
      </c>
      <c r="F35" t="s">
        <v>192</v>
      </c>
      <c r="G35" t="s">
        <v>120</v>
      </c>
    </row>
    <row r="36" spans="1:7" ht="19">
      <c r="A36">
        <v>35</v>
      </c>
      <c r="B36" s="1" t="s">
        <v>218</v>
      </c>
      <c r="C36" s="2" t="s">
        <v>269</v>
      </c>
      <c r="D36" t="s">
        <v>84</v>
      </c>
      <c r="E36" t="s">
        <v>391</v>
      </c>
      <c r="F36" t="s">
        <v>192</v>
      </c>
      <c r="G36" t="s">
        <v>121</v>
      </c>
    </row>
    <row r="37" spans="1:7" ht="19">
      <c r="A37">
        <v>36</v>
      </c>
      <c r="B37" s="1" t="s">
        <v>219</v>
      </c>
      <c r="C37" s="2" t="s">
        <v>269</v>
      </c>
      <c r="D37" t="s">
        <v>84</v>
      </c>
      <c r="E37" t="s">
        <v>391</v>
      </c>
      <c r="F37" t="s">
        <v>192</v>
      </c>
      <c r="G37" t="s">
        <v>122</v>
      </c>
    </row>
    <row r="38" spans="1:7" ht="19">
      <c r="A38">
        <v>37</v>
      </c>
      <c r="B38" s="1" t="s">
        <v>220</v>
      </c>
      <c r="C38" s="2" t="s">
        <v>269</v>
      </c>
      <c r="D38" t="s">
        <v>84</v>
      </c>
      <c r="E38" t="s">
        <v>391</v>
      </c>
      <c r="F38" t="s">
        <v>192</v>
      </c>
      <c r="G38" t="s">
        <v>123</v>
      </c>
    </row>
    <row r="39" spans="1:7" ht="19">
      <c r="A39">
        <v>38</v>
      </c>
      <c r="B39" s="1" t="s">
        <v>221</v>
      </c>
      <c r="C39" s="2" t="s">
        <v>269</v>
      </c>
      <c r="D39" t="s">
        <v>84</v>
      </c>
      <c r="E39" t="s">
        <v>391</v>
      </c>
      <c r="F39" t="s">
        <v>192</v>
      </c>
      <c r="G39" t="s">
        <v>124</v>
      </c>
    </row>
    <row r="40" spans="1:7" ht="19">
      <c r="A40">
        <v>39</v>
      </c>
      <c r="B40" s="1" t="s">
        <v>222</v>
      </c>
      <c r="C40" s="2" t="s">
        <v>267</v>
      </c>
      <c r="D40" t="s">
        <v>84</v>
      </c>
      <c r="E40" t="s">
        <v>391</v>
      </c>
      <c r="F40" t="s">
        <v>192</v>
      </c>
      <c r="G40" t="s">
        <v>125</v>
      </c>
    </row>
    <row r="41" spans="1:7" ht="19">
      <c r="A41">
        <v>40</v>
      </c>
      <c r="B41" s="1" t="s">
        <v>26</v>
      </c>
      <c r="C41" s="2" t="s">
        <v>271</v>
      </c>
      <c r="D41" t="s">
        <v>84</v>
      </c>
      <c r="E41" t="s">
        <v>391</v>
      </c>
      <c r="F41" t="s">
        <v>201</v>
      </c>
      <c r="G41" t="s">
        <v>126</v>
      </c>
    </row>
    <row r="42" spans="1:7" ht="19">
      <c r="A42">
        <v>41</v>
      </c>
      <c r="B42" s="1" t="s">
        <v>223</v>
      </c>
      <c r="C42" s="2" t="s">
        <v>269</v>
      </c>
      <c r="D42" t="s">
        <v>84</v>
      </c>
      <c r="E42" t="s">
        <v>391</v>
      </c>
      <c r="F42" t="s">
        <v>192</v>
      </c>
      <c r="G42" t="s">
        <v>127</v>
      </c>
    </row>
    <row r="43" spans="1:7" ht="19">
      <c r="A43">
        <v>42</v>
      </c>
      <c r="B43" s="1" t="s">
        <v>27</v>
      </c>
      <c r="C43" s="2" t="s">
        <v>271</v>
      </c>
      <c r="D43" t="s">
        <v>84</v>
      </c>
      <c r="E43" t="s">
        <v>391</v>
      </c>
      <c r="F43" t="s">
        <v>201</v>
      </c>
      <c r="G43" t="s">
        <v>128</v>
      </c>
    </row>
    <row r="44" spans="1:7" ht="19">
      <c r="A44">
        <v>43</v>
      </c>
      <c r="B44" s="1" t="s">
        <v>224</v>
      </c>
      <c r="C44" s="2" t="s">
        <v>267</v>
      </c>
      <c r="D44" t="s">
        <v>84</v>
      </c>
      <c r="E44" t="s">
        <v>391</v>
      </c>
      <c r="F44" t="s">
        <v>192</v>
      </c>
      <c r="G44" t="s">
        <v>129</v>
      </c>
    </row>
    <row r="45" spans="1:7" ht="19">
      <c r="A45">
        <v>44</v>
      </c>
      <c r="B45" s="1" t="s">
        <v>225</v>
      </c>
      <c r="C45" s="2" t="s">
        <v>274</v>
      </c>
      <c r="D45" t="s">
        <v>84</v>
      </c>
      <c r="E45" t="s">
        <v>391</v>
      </c>
      <c r="F45" t="s">
        <v>192</v>
      </c>
      <c r="G45" t="s">
        <v>130</v>
      </c>
    </row>
    <row r="46" spans="1:7" ht="19">
      <c r="A46">
        <v>45</v>
      </c>
      <c r="B46" s="1" t="s">
        <v>226</v>
      </c>
      <c r="C46" s="2" t="s">
        <v>274</v>
      </c>
      <c r="D46" t="s">
        <v>84</v>
      </c>
      <c r="E46" t="s">
        <v>391</v>
      </c>
      <c r="F46" t="s">
        <v>192</v>
      </c>
      <c r="G46" t="s">
        <v>131</v>
      </c>
    </row>
    <row r="47" spans="1:7" ht="19">
      <c r="A47">
        <v>46</v>
      </c>
      <c r="B47" s="1" t="s">
        <v>227</v>
      </c>
      <c r="C47" s="2" t="s">
        <v>269</v>
      </c>
      <c r="D47" t="s">
        <v>84</v>
      </c>
      <c r="E47" t="s">
        <v>391</v>
      </c>
      <c r="F47" t="s">
        <v>192</v>
      </c>
      <c r="G47" t="s">
        <v>132</v>
      </c>
    </row>
    <row r="48" spans="1:7" ht="19">
      <c r="A48">
        <v>47</v>
      </c>
      <c r="B48" s="1" t="s">
        <v>228</v>
      </c>
      <c r="C48" s="2" t="s">
        <v>269</v>
      </c>
      <c r="D48" t="s">
        <v>84</v>
      </c>
      <c r="E48" t="s">
        <v>391</v>
      </c>
      <c r="F48" t="s">
        <v>192</v>
      </c>
      <c r="G48" t="s">
        <v>133</v>
      </c>
    </row>
    <row r="49" spans="1:7" ht="19">
      <c r="A49">
        <v>48</v>
      </c>
      <c r="B49" s="1" t="s">
        <v>229</v>
      </c>
      <c r="C49" s="2" t="s">
        <v>269</v>
      </c>
      <c r="D49" t="s">
        <v>84</v>
      </c>
      <c r="E49" t="s">
        <v>391</v>
      </c>
      <c r="F49" t="s">
        <v>192</v>
      </c>
      <c r="G49" t="s">
        <v>134</v>
      </c>
    </row>
    <row r="50" spans="1:7" ht="19">
      <c r="A50">
        <v>49</v>
      </c>
      <c r="B50" s="1" t="s">
        <v>230</v>
      </c>
      <c r="C50" s="2" t="s">
        <v>269</v>
      </c>
      <c r="D50" t="s">
        <v>84</v>
      </c>
      <c r="E50" t="s">
        <v>391</v>
      </c>
      <c r="F50" t="s">
        <v>192</v>
      </c>
      <c r="G50" t="s">
        <v>134</v>
      </c>
    </row>
    <row r="51" spans="1:7" ht="19">
      <c r="A51">
        <v>50</v>
      </c>
      <c r="B51" s="1" t="s">
        <v>231</v>
      </c>
      <c r="C51" s="2" t="s">
        <v>269</v>
      </c>
      <c r="D51" t="s">
        <v>84</v>
      </c>
      <c r="E51" t="s">
        <v>391</v>
      </c>
      <c r="F51" t="s">
        <v>192</v>
      </c>
      <c r="G51" t="s">
        <v>134</v>
      </c>
    </row>
    <row r="52" spans="1:7" ht="19">
      <c r="A52">
        <v>51</v>
      </c>
      <c r="B52" s="1" t="s">
        <v>232</v>
      </c>
      <c r="C52" s="2" t="s">
        <v>274</v>
      </c>
      <c r="D52" t="s">
        <v>84</v>
      </c>
      <c r="E52" t="s">
        <v>391</v>
      </c>
      <c r="F52" t="s">
        <v>192</v>
      </c>
      <c r="G52" t="s">
        <v>134</v>
      </c>
    </row>
    <row r="53" spans="1:7" ht="19">
      <c r="A53">
        <v>52</v>
      </c>
      <c r="B53" s="1" t="s">
        <v>233</v>
      </c>
      <c r="C53" s="2" t="s">
        <v>274</v>
      </c>
      <c r="D53" t="s">
        <v>84</v>
      </c>
      <c r="E53" t="s">
        <v>391</v>
      </c>
      <c r="F53" t="s">
        <v>192</v>
      </c>
      <c r="G53" t="s">
        <v>135</v>
      </c>
    </row>
    <row r="54" spans="1:7" ht="19">
      <c r="A54">
        <v>53</v>
      </c>
      <c r="B54" s="1" t="s">
        <v>234</v>
      </c>
      <c r="C54" s="2" t="s">
        <v>274</v>
      </c>
      <c r="D54" t="s">
        <v>84</v>
      </c>
      <c r="E54" t="s">
        <v>391</v>
      </c>
      <c r="F54" t="s">
        <v>192</v>
      </c>
      <c r="G54" t="s">
        <v>136</v>
      </c>
    </row>
    <row r="55" spans="1:7" ht="19">
      <c r="A55">
        <v>54</v>
      </c>
      <c r="B55" s="1" t="s">
        <v>235</v>
      </c>
      <c r="C55" s="2" t="s">
        <v>274</v>
      </c>
      <c r="D55" t="s">
        <v>84</v>
      </c>
      <c r="E55" t="s">
        <v>391</v>
      </c>
      <c r="F55" t="s">
        <v>192</v>
      </c>
      <c r="G55" t="s">
        <v>134</v>
      </c>
    </row>
    <row r="56" spans="1:7" ht="19">
      <c r="A56">
        <v>55</v>
      </c>
      <c r="B56" s="1" t="s">
        <v>236</v>
      </c>
      <c r="C56" s="2" t="s">
        <v>269</v>
      </c>
      <c r="D56" t="s">
        <v>84</v>
      </c>
      <c r="E56" t="s">
        <v>391</v>
      </c>
      <c r="F56" t="s">
        <v>192</v>
      </c>
      <c r="G56" t="s">
        <v>134</v>
      </c>
    </row>
    <row r="57" spans="1:7" ht="19">
      <c r="A57">
        <v>56</v>
      </c>
      <c r="B57" s="1" t="s">
        <v>237</v>
      </c>
      <c r="C57" s="2" t="s">
        <v>269</v>
      </c>
      <c r="D57" t="s">
        <v>84</v>
      </c>
      <c r="E57" t="s">
        <v>391</v>
      </c>
      <c r="F57" t="s">
        <v>192</v>
      </c>
      <c r="G57" t="s">
        <v>134</v>
      </c>
    </row>
    <row r="58" spans="1:7" ht="19">
      <c r="A58">
        <v>57</v>
      </c>
      <c r="B58" s="1" t="s">
        <v>238</v>
      </c>
      <c r="C58" s="2" t="s">
        <v>269</v>
      </c>
      <c r="D58" t="s">
        <v>84</v>
      </c>
      <c r="E58" t="s">
        <v>391</v>
      </c>
      <c r="F58" t="s">
        <v>192</v>
      </c>
      <c r="G58" t="s">
        <v>137</v>
      </c>
    </row>
    <row r="59" spans="1:7" ht="19">
      <c r="A59">
        <v>58</v>
      </c>
      <c r="B59" s="1" t="s">
        <v>28</v>
      </c>
      <c r="C59" s="2" t="s">
        <v>271</v>
      </c>
      <c r="D59" t="s">
        <v>84</v>
      </c>
      <c r="E59" t="s">
        <v>391</v>
      </c>
      <c r="F59" t="s">
        <v>201</v>
      </c>
      <c r="G59" t="s">
        <v>138</v>
      </c>
    </row>
    <row r="60" spans="1:7" ht="19">
      <c r="A60">
        <v>59</v>
      </c>
      <c r="B60" s="1" t="s">
        <v>29</v>
      </c>
      <c r="C60" s="2" t="s">
        <v>271</v>
      </c>
      <c r="D60" t="s">
        <v>85</v>
      </c>
      <c r="E60" t="s">
        <v>391</v>
      </c>
      <c r="F60" t="s">
        <v>201</v>
      </c>
      <c r="G60" t="s">
        <v>139</v>
      </c>
    </row>
    <row r="61" spans="1:7" ht="19">
      <c r="A61">
        <v>60</v>
      </c>
      <c r="B61" s="1" t="s">
        <v>239</v>
      </c>
      <c r="C61" s="2" t="s">
        <v>269</v>
      </c>
      <c r="D61" t="s">
        <v>84</v>
      </c>
      <c r="E61" t="s">
        <v>391</v>
      </c>
      <c r="F61" t="s">
        <v>192</v>
      </c>
      <c r="G61" t="s">
        <v>140</v>
      </c>
    </row>
    <row r="62" spans="1:7" ht="19">
      <c r="A62">
        <v>61</v>
      </c>
      <c r="B62" s="1" t="s">
        <v>30</v>
      </c>
      <c r="C62" s="2" t="s">
        <v>271</v>
      </c>
      <c r="D62" t="s">
        <v>84</v>
      </c>
      <c r="E62" t="s">
        <v>391</v>
      </c>
      <c r="F62" t="s">
        <v>201</v>
      </c>
      <c r="G62" t="s">
        <v>141</v>
      </c>
    </row>
    <row r="63" spans="1:7" ht="19">
      <c r="A63">
        <v>62</v>
      </c>
      <c r="B63" s="1" t="s">
        <v>240</v>
      </c>
      <c r="C63" s="2" t="s">
        <v>269</v>
      </c>
      <c r="D63" t="s">
        <v>84</v>
      </c>
      <c r="E63" t="s">
        <v>391</v>
      </c>
      <c r="F63" t="s">
        <v>192</v>
      </c>
      <c r="G63" t="s">
        <v>142</v>
      </c>
    </row>
    <row r="64" spans="1:7" ht="19">
      <c r="A64">
        <v>63</v>
      </c>
      <c r="B64" s="1" t="s">
        <v>31</v>
      </c>
      <c r="C64" s="2" t="s">
        <v>271</v>
      </c>
      <c r="D64" t="s">
        <v>85</v>
      </c>
      <c r="E64" t="s">
        <v>391</v>
      </c>
      <c r="F64" t="s">
        <v>201</v>
      </c>
      <c r="G64" t="s">
        <v>143</v>
      </c>
    </row>
    <row r="65" spans="1:7" ht="19">
      <c r="A65">
        <v>64</v>
      </c>
      <c r="B65" s="1" t="s">
        <v>241</v>
      </c>
      <c r="C65" s="2" t="s">
        <v>269</v>
      </c>
      <c r="D65" t="s">
        <v>84</v>
      </c>
      <c r="E65" t="s">
        <v>391</v>
      </c>
      <c r="F65" t="s">
        <v>192</v>
      </c>
      <c r="G65" t="s">
        <v>144</v>
      </c>
    </row>
    <row r="66" spans="1:7" ht="19">
      <c r="A66">
        <v>65</v>
      </c>
      <c r="B66" s="1" t="s">
        <v>32</v>
      </c>
      <c r="C66" s="2" t="s">
        <v>271</v>
      </c>
      <c r="D66" t="s">
        <v>84</v>
      </c>
      <c r="E66" t="s">
        <v>391</v>
      </c>
      <c r="F66" t="s">
        <v>192</v>
      </c>
      <c r="G66" t="s">
        <v>145</v>
      </c>
    </row>
    <row r="67" spans="1:7" ht="19">
      <c r="A67">
        <v>66</v>
      </c>
      <c r="B67" s="1" t="s">
        <v>33</v>
      </c>
      <c r="C67" s="2" t="s">
        <v>271</v>
      </c>
      <c r="D67" t="s">
        <v>85</v>
      </c>
      <c r="E67" t="s">
        <v>391</v>
      </c>
      <c r="F67" t="s">
        <v>201</v>
      </c>
      <c r="G67" t="s">
        <v>146</v>
      </c>
    </row>
    <row r="68" spans="1:7" ht="19">
      <c r="A68">
        <v>67</v>
      </c>
      <c r="B68" s="1" t="s">
        <v>34</v>
      </c>
      <c r="C68" s="2" t="s">
        <v>271</v>
      </c>
      <c r="D68" t="s">
        <v>87</v>
      </c>
      <c r="E68" t="s">
        <v>391</v>
      </c>
      <c r="F68" t="s">
        <v>201</v>
      </c>
      <c r="G68" t="s">
        <v>147</v>
      </c>
    </row>
    <row r="69" spans="1:7" ht="19">
      <c r="A69">
        <v>68</v>
      </c>
      <c r="B69" s="1" t="s">
        <v>35</v>
      </c>
      <c r="C69" s="2" t="s">
        <v>271</v>
      </c>
      <c r="D69" t="s">
        <v>85</v>
      </c>
      <c r="E69" t="s">
        <v>391</v>
      </c>
      <c r="F69" t="s">
        <v>192</v>
      </c>
      <c r="G69" t="s">
        <v>148</v>
      </c>
    </row>
    <row r="70" spans="1:7" ht="19">
      <c r="A70">
        <v>69</v>
      </c>
      <c r="B70" s="1" t="s">
        <v>36</v>
      </c>
      <c r="C70" s="2" t="s">
        <v>271</v>
      </c>
      <c r="D70" t="s">
        <v>85</v>
      </c>
      <c r="E70" t="s">
        <v>391</v>
      </c>
      <c r="F70" t="s">
        <v>201</v>
      </c>
      <c r="G70" t="s">
        <v>149</v>
      </c>
    </row>
    <row r="71" spans="1:7" ht="19">
      <c r="A71">
        <v>70</v>
      </c>
      <c r="B71" s="1" t="s">
        <v>37</v>
      </c>
      <c r="C71" s="2" t="s">
        <v>271</v>
      </c>
      <c r="D71" t="s">
        <v>85</v>
      </c>
      <c r="E71" t="s">
        <v>391</v>
      </c>
      <c r="F71" t="s">
        <v>201</v>
      </c>
      <c r="G71" t="s">
        <v>150</v>
      </c>
    </row>
    <row r="72" spans="1:7" ht="19">
      <c r="A72">
        <v>71</v>
      </c>
      <c r="B72" s="1" t="s">
        <v>38</v>
      </c>
      <c r="C72" s="2" t="s">
        <v>271</v>
      </c>
      <c r="D72" t="s">
        <v>84</v>
      </c>
      <c r="E72" t="s">
        <v>391</v>
      </c>
      <c r="F72" t="s">
        <v>192</v>
      </c>
      <c r="G72" t="s">
        <v>151</v>
      </c>
    </row>
    <row r="73" spans="1:7" ht="19">
      <c r="A73">
        <v>72</v>
      </c>
      <c r="B73" s="1" t="s">
        <v>39</v>
      </c>
      <c r="C73" s="2" t="s">
        <v>271</v>
      </c>
      <c r="D73" t="s">
        <v>84</v>
      </c>
      <c r="E73" t="s">
        <v>391</v>
      </c>
      <c r="F73" t="s">
        <v>192</v>
      </c>
      <c r="G73" t="s">
        <v>152</v>
      </c>
    </row>
    <row r="74" spans="1:7" ht="19">
      <c r="A74">
        <v>73</v>
      </c>
      <c r="B74" s="1" t="s">
        <v>242</v>
      </c>
      <c r="C74" s="2" t="s">
        <v>267</v>
      </c>
      <c r="D74" t="s">
        <v>84</v>
      </c>
      <c r="E74" t="s">
        <v>391</v>
      </c>
      <c r="F74" t="s">
        <v>192</v>
      </c>
      <c r="G74" t="s">
        <v>152</v>
      </c>
    </row>
    <row r="75" spans="1:7" ht="19">
      <c r="A75">
        <v>74</v>
      </c>
      <c r="B75" s="1" t="s">
        <v>40</v>
      </c>
      <c r="C75" s="2" t="s">
        <v>271</v>
      </c>
      <c r="D75" t="s">
        <v>84</v>
      </c>
      <c r="E75" t="s">
        <v>391</v>
      </c>
      <c r="F75" t="s">
        <v>201</v>
      </c>
      <c r="G75" t="s">
        <v>153</v>
      </c>
    </row>
    <row r="76" spans="1:7" ht="19">
      <c r="A76">
        <v>75</v>
      </c>
      <c r="B76" s="1" t="s">
        <v>243</v>
      </c>
      <c r="C76" s="2" t="s">
        <v>269</v>
      </c>
      <c r="D76" t="s">
        <v>84</v>
      </c>
      <c r="E76" t="s">
        <v>391</v>
      </c>
      <c r="F76" t="s">
        <v>192</v>
      </c>
      <c r="G76" t="s">
        <v>154</v>
      </c>
    </row>
    <row r="77" spans="1:7" ht="19">
      <c r="A77">
        <v>76</v>
      </c>
      <c r="B77" s="1" t="s">
        <v>41</v>
      </c>
      <c r="C77" s="2" t="s">
        <v>271</v>
      </c>
      <c r="D77" t="s">
        <v>84</v>
      </c>
      <c r="E77" t="s">
        <v>391</v>
      </c>
      <c r="F77" t="s">
        <v>192</v>
      </c>
      <c r="G77" t="s">
        <v>155</v>
      </c>
    </row>
    <row r="78" spans="1:7" ht="19">
      <c r="A78">
        <v>77</v>
      </c>
      <c r="B78" s="1" t="s">
        <v>244</v>
      </c>
      <c r="C78" s="2" t="s">
        <v>274</v>
      </c>
      <c r="D78" t="s">
        <v>84</v>
      </c>
      <c r="E78" t="s">
        <v>391</v>
      </c>
      <c r="F78" t="s">
        <v>192</v>
      </c>
      <c r="G78" t="s">
        <v>152</v>
      </c>
    </row>
    <row r="79" spans="1:7" ht="19">
      <c r="A79">
        <v>78</v>
      </c>
      <c r="B79" s="1" t="s">
        <v>245</v>
      </c>
      <c r="C79" s="2" t="s">
        <v>269</v>
      </c>
      <c r="D79" t="s">
        <v>84</v>
      </c>
      <c r="E79" t="s">
        <v>391</v>
      </c>
      <c r="F79" t="s">
        <v>192</v>
      </c>
      <c r="G79" t="s">
        <v>152</v>
      </c>
    </row>
    <row r="80" spans="1:7" ht="19">
      <c r="A80">
        <v>79</v>
      </c>
      <c r="B80" s="1" t="s">
        <v>42</v>
      </c>
      <c r="C80" s="2" t="s">
        <v>271</v>
      </c>
      <c r="D80" t="s">
        <v>87</v>
      </c>
      <c r="E80" t="s">
        <v>391</v>
      </c>
      <c r="F80" t="s">
        <v>201</v>
      </c>
      <c r="G80" s="2" t="s">
        <v>156</v>
      </c>
    </row>
    <row r="81" spans="1:7" ht="19">
      <c r="A81">
        <v>80</v>
      </c>
      <c r="B81" s="1" t="s">
        <v>43</v>
      </c>
      <c r="C81" s="2" t="s">
        <v>271</v>
      </c>
      <c r="D81" t="s">
        <v>87</v>
      </c>
      <c r="E81" t="s">
        <v>391</v>
      </c>
      <c r="F81" t="s">
        <v>201</v>
      </c>
      <c r="G81" t="s">
        <v>157</v>
      </c>
    </row>
    <row r="82" spans="1:7" ht="19">
      <c r="A82">
        <v>81</v>
      </c>
      <c r="B82" s="1" t="s">
        <v>246</v>
      </c>
      <c r="C82" s="2" t="s">
        <v>273</v>
      </c>
      <c r="D82" t="s">
        <v>84</v>
      </c>
      <c r="E82" t="s">
        <v>391</v>
      </c>
      <c r="F82" t="s">
        <v>192</v>
      </c>
      <c r="G82" t="s">
        <v>158</v>
      </c>
    </row>
    <row r="83" spans="1:7" ht="19">
      <c r="A83">
        <v>82</v>
      </c>
      <c r="B83" s="1" t="s">
        <v>247</v>
      </c>
      <c r="C83" s="2" t="s">
        <v>269</v>
      </c>
      <c r="D83" t="s">
        <v>84</v>
      </c>
      <c r="E83" t="s">
        <v>391</v>
      </c>
      <c r="F83" t="s">
        <v>192</v>
      </c>
      <c r="G83" t="s">
        <v>159</v>
      </c>
    </row>
    <row r="84" spans="1:7" ht="19">
      <c r="A84">
        <v>83</v>
      </c>
      <c r="B84" s="1" t="s">
        <v>248</v>
      </c>
      <c r="C84" s="2" t="s">
        <v>269</v>
      </c>
      <c r="D84" t="s">
        <v>84</v>
      </c>
      <c r="E84" t="s">
        <v>391</v>
      </c>
      <c r="F84" t="s">
        <v>192</v>
      </c>
      <c r="G84" t="s">
        <v>160</v>
      </c>
    </row>
    <row r="85" spans="1:7" ht="19">
      <c r="A85">
        <v>84</v>
      </c>
      <c r="B85" s="1" t="s">
        <v>44</v>
      </c>
      <c r="C85" s="2" t="s">
        <v>271</v>
      </c>
      <c r="D85" t="s">
        <v>87</v>
      </c>
      <c r="E85" t="s">
        <v>391</v>
      </c>
      <c r="F85" t="s">
        <v>201</v>
      </c>
      <c r="G85" t="s">
        <v>161</v>
      </c>
    </row>
    <row r="86" spans="1:7" ht="19">
      <c r="A86">
        <v>85</v>
      </c>
      <c r="B86" s="1" t="s">
        <v>249</v>
      </c>
      <c r="C86" s="2" t="s">
        <v>274</v>
      </c>
      <c r="D86" t="s">
        <v>84</v>
      </c>
      <c r="E86" t="s">
        <v>391</v>
      </c>
      <c r="F86" t="s">
        <v>192</v>
      </c>
      <c r="G86" t="s">
        <v>162</v>
      </c>
    </row>
    <row r="87" spans="1:7" ht="19">
      <c r="A87">
        <v>86</v>
      </c>
      <c r="B87" s="1" t="s">
        <v>45</v>
      </c>
      <c r="C87" s="2" t="s">
        <v>271</v>
      </c>
      <c r="D87" t="s">
        <v>84</v>
      </c>
      <c r="E87" t="s">
        <v>391</v>
      </c>
      <c r="F87" t="s">
        <v>192</v>
      </c>
      <c r="G87" t="s">
        <v>163</v>
      </c>
    </row>
    <row r="88" spans="1:7" ht="19">
      <c r="A88">
        <v>87</v>
      </c>
      <c r="B88" s="1" t="s">
        <v>250</v>
      </c>
      <c r="C88" s="2" t="s">
        <v>268</v>
      </c>
      <c r="D88" t="s">
        <v>84</v>
      </c>
      <c r="E88" t="s">
        <v>391</v>
      </c>
      <c r="F88" t="s">
        <v>192</v>
      </c>
      <c r="G88" t="s">
        <v>164</v>
      </c>
    </row>
    <row r="89" spans="1:7" ht="19">
      <c r="A89">
        <v>88</v>
      </c>
      <c r="B89" s="1" t="s">
        <v>46</v>
      </c>
      <c r="C89" s="2" t="s">
        <v>271</v>
      </c>
      <c r="D89" t="s">
        <v>84</v>
      </c>
      <c r="E89" t="s">
        <v>391</v>
      </c>
      <c r="F89" t="s">
        <v>192</v>
      </c>
      <c r="G89" t="s">
        <v>165</v>
      </c>
    </row>
    <row r="90" spans="1:7" ht="19">
      <c r="A90">
        <v>89</v>
      </c>
      <c r="B90" s="1" t="s">
        <v>47</v>
      </c>
      <c r="C90" s="2" t="s">
        <v>271</v>
      </c>
      <c r="D90" t="s">
        <v>84</v>
      </c>
      <c r="E90" t="s">
        <v>391</v>
      </c>
      <c r="F90" t="s">
        <v>192</v>
      </c>
      <c r="G90" t="s">
        <v>166</v>
      </c>
    </row>
    <row r="91" spans="1:7" ht="19">
      <c r="A91">
        <v>90</v>
      </c>
      <c r="B91" s="1" t="s">
        <v>48</v>
      </c>
      <c r="C91" s="2" t="s">
        <v>271</v>
      </c>
      <c r="D91" t="s">
        <v>84</v>
      </c>
      <c r="E91" t="s">
        <v>391</v>
      </c>
      <c r="F91" t="s">
        <v>192</v>
      </c>
      <c r="G91" t="s">
        <v>167</v>
      </c>
    </row>
    <row r="92" spans="1:7" ht="19">
      <c r="A92">
        <v>91</v>
      </c>
      <c r="B92" s="1" t="s">
        <v>49</v>
      </c>
      <c r="C92" s="2" t="s">
        <v>271</v>
      </c>
      <c r="D92" t="s">
        <v>84</v>
      </c>
      <c r="E92" t="s">
        <v>391</v>
      </c>
      <c r="F92" t="s">
        <v>192</v>
      </c>
      <c r="G92" t="s">
        <v>166</v>
      </c>
    </row>
    <row r="93" spans="1:7" ht="19">
      <c r="A93">
        <v>92</v>
      </c>
      <c r="B93" s="1" t="s">
        <v>50</v>
      </c>
      <c r="C93" s="2" t="s">
        <v>271</v>
      </c>
      <c r="D93" t="s">
        <v>84</v>
      </c>
      <c r="E93" t="s">
        <v>391</v>
      </c>
      <c r="F93" t="s">
        <v>192</v>
      </c>
      <c r="G93" t="s">
        <v>167</v>
      </c>
    </row>
    <row r="94" spans="1:7" ht="19">
      <c r="A94">
        <v>93</v>
      </c>
      <c r="B94" s="1" t="s">
        <v>51</v>
      </c>
      <c r="C94" s="2" t="s">
        <v>271</v>
      </c>
      <c r="D94" t="s">
        <v>84</v>
      </c>
      <c r="E94" t="s">
        <v>391</v>
      </c>
      <c r="F94" t="s">
        <v>192</v>
      </c>
      <c r="G94" t="s">
        <v>168</v>
      </c>
    </row>
    <row r="95" spans="1:7" ht="19">
      <c r="A95">
        <v>94</v>
      </c>
      <c r="B95" s="1" t="s">
        <v>52</v>
      </c>
      <c r="C95" s="2" t="s">
        <v>271</v>
      </c>
      <c r="D95" t="s">
        <v>84</v>
      </c>
      <c r="E95" t="s">
        <v>391</v>
      </c>
      <c r="F95" t="s">
        <v>192</v>
      </c>
      <c r="G95" t="s">
        <v>169</v>
      </c>
    </row>
    <row r="96" spans="1:7" ht="19">
      <c r="A96">
        <v>95</v>
      </c>
      <c r="B96" s="1" t="s">
        <v>53</v>
      </c>
      <c r="C96" s="2" t="s">
        <v>271</v>
      </c>
      <c r="D96" t="s">
        <v>84</v>
      </c>
      <c r="E96" t="s">
        <v>391</v>
      </c>
      <c r="F96" t="s">
        <v>192</v>
      </c>
      <c r="G96" t="s">
        <v>170</v>
      </c>
    </row>
    <row r="97" spans="1:7" ht="19">
      <c r="A97">
        <v>96</v>
      </c>
      <c r="B97" s="1" t="s">
        <v>251</v>
      </c>
      <c r="C97" s="2" t="s">
        <v>267</v>
      </c>
      <c r="D97" t="s">
        <v>84</v>
      </c>
      <c r="E97" t="s">
        <v>391</v>
      </c>
      <c r="F97" t="s">
        <v>192</v>
      </c>
      <c r="G97" t="s">
        <v>171</v>
      </c>
    </row>
    <row r="98" spans="1:7" ht="19">
      <c r="A98">
        <v>97</v>
      </c>
      <c r="B98" s="1" t="s">
        <v>54</v>
      </c>
      <c r="C98" s="2" t="s">
        <v>271</v>
      </c>
      <c r="D98" t="s">
        <v>84</v>
      </c>
      <c r="E98" t="s">
        <v>391</v>
      </c>
      <c r="F98" t="s">
        <v>192</v>
      </c>
      <c r="G98" t="s">
        <v>172</v>
      </c>
    </row>
    <row r="99" spans="1:7" ht="19">
      <c r="A99">
        <v>98</v>
      </c>
      <c r="B99" s="1" t="s">
        <v>55</v>
      </c>
      <c r="C99" s="2" t="s">
        <v>271</v>
      </c>
      <c r="D99" t="s">
        <v>84</v>
      </c>
      <c r="E99" t="s">
        <v>391</v>
      </c>
      <c r="F99" t="s">
        <v>201</v>
      </c>
      <c r="G99" t="s">
        <v>173</v>
      </c>
    </row>
    <row r="100" spans="1:7" ht="19">
      <c r="A100">
        <v>99</v>
      </c>
      <c r="B100" s="1" t="s">
        <v>252</v>
      </c>
      <c r="C100" s="2" t="s">
        <v>274</v>
      </c>
      <c r="D100" t="s">
        <v>84</v>
      </c>
      <c r="E100" t="s">
        <v>391</v>
      </c>
      <c r="F100" t="s">
        <v>192</v>
      </c>
      <c r="G100" t="s">
        <v>174</v>
      </c>
    </row>
    <row r="101" spans="1:7" ht="19">
      <c r="A101">
        <v>100</v>
      </c>
      <c r="B101" s="1" t="s">
        <v>56</v>
      </c>
      <c r="C101" s="2" t="s">
        <v>271</v>
      </c>
      <c r="D101" t="s">
        <v>84</v>
      </c>
      <c r="E101" t="s">
        <v>391</v>
      </c>
      <c r="F101" t="s">
        <v>192</v>
      </c>
      <c r="G101" t="s">
        <v>174</v>
      </c>
    </row>
    <row r="102" spans="1:7" ht="19">
      <c r="A102">
        <v>101</v>
      </c>
      <c r="B102" s="1" t="s">
        <v>253</v>
      </c>
      <c r="C102" s="2" t="s">
        <v>267</v>
      </c>
      <c r="D102" t="s">
        <v>84</v>
      </c>
      <c r="E102" t="s">
        <v>391</v>
      </c>
      <c r="F102" t="s">
        <v>192</v>
      </c>
      <c r="G102" t="s">
        <v>174</v>
      </c>
    </row>
    <row r="103" spans="1:7" ht="19">
      <c r="A103">
        <v>102</v>
      </c>
      <c r="B103" s="1" t="s">
        <v>57</v>
      </c>
      <c r="C103" s="2" t="s">
        <v>271</v>
      </c>
      <c r="D103" t="s">
        <v>84</v>
      </c>
      <c r="E103" t="s">
        <v>391</v>
      </c>
      <c r="F103" t="s">
        <v>192</v>
      </c>
      <c r="G103" t="s">
        <v>175</v>
      </c>
    </row>
    <row r="104" spans="1:7" ht="19">
      <c r="A104">
        <v>103</v>
      </c>
      <c r="B104" s="1" t="s">
        <v>58</v>
      </c>
      <c r="C104" s="2" t="s">
        <v>271</v>
      </c>
      <c r="D104" t="s">
        <v>85</v>
      </c>
      <c r="E104" t="s">
        <v>391</v>
      </c>
      <c r="F104" t="s">
        <v>201</v>
      </c>
      <c r="G104" t="s">
        <v>176</v>
      </c>
    </row>
    <row r="105" spans="1:7" ht="19">
      <c r="A105">
        <v>104</v>
      </c>
      <c r="B105" s="1" t="s">
        <v>254</v>
      </c>
      <c r="C105" s="2" t="s">
        <v>269</v>
      </c>
      <c r="D105" t="s">
        <v>84</v>
      </c>
      <c r="E105" t="s">
        <v>391</v>
      </c>
      <c r="F105" t="s">
        <v>192</v>
      </c>
      <c r="G105" t="s">
        <v>177</v>
      </c>
    </row>
    <row r="106" spans="1:7" ht="19">
      <c r="A106">
        <v>105</v>
      </c>
      <c r="B106" s="1" t="s">
        <v>255</v>
      </c>
      <c r="C106" s="2" t="s">
        <v>269</v>
      </c>
      <c r="D106" t="s">
        <v>84</v>
      </c>
      <c r="E106" t="s">
        <v>391</v>
      </c>
      <c r="F106" t="s">
        <v>201</v>
      </c>
      <c r="G106" t="s">
        <v>178</v>
      </c>
    </row>
    <row r="107" spans="1:7" ht="19">
      <c r="A107">
        <v>106</v>
      </c>
      <c r="B107" s="1" t="s">
        <v>256</v>
      </c>
      <c r="C107" s="2" t="s">
        <v>269</v>
      </c>
      <c r="D107" t="s">
        <v>84</v>
      </c>
      <c r="E107" t="s">
        <v>391</v>
      </c>
      <c r="F107" t="s">
        <v>192</v>
      </c>
      <c r="G107" t="s">
        <v>179</v>
      </c>
    </row>
    <row r="108" spans="1:7" ht="19">
      <c r="A108">
        <v>107</v>
      </c>
      <c r="B108" s="1" t="s">
        <v>257</v>
      </c>
      <c r="C108" s="2" t="s">
        <v>274</v>
      </c>
      <c r="D108" t="s">
        <v>84</v>
      </c>
      <c r="E108" t="s">
        <v>391</v>
      </c>
      <c r="F108" t="s">
        <v>192</v>
      </c>
      <c r="G108" t="s">
        <v>180</v>
      </c>
    </row>
    <row r="109" spans="1:7" ht="19">
      <c r="A109">
        <v>108</v>
      </c>
      <c r="B109" s="1" t="s">
        <v>258</v>
      </c>
      <c r="C109" s="2" t="s">
        <v>267</v>
      </c>
      <c r="D109" t="s">
        <v>84</v>
      </c>
      <c r="E109" t="s">
        <v>391</v>
      </c>
      <c r="F109" t="s">
        <v>192</v>
      </c>
      <c r="G109" t="s">
        <v>181</v>
      </c>
    </row>
    <row r="110" spans="1:7" ht="19">
      <c r="A110">
        <v>109</v>
      </c>
      <c r="B110" s="1" t="s">
        <v>259</v>
      </c>
      <c r="C110" s="2" t="s">
        <v>274</v>
      </c>
      <c r="D110" t="s">
        <v>84</v>
      </c>
      <c r="E110" t="s">
        <v>391</v>
      </c>
      <c r="F110" t="s">
        <v>192</v>
      </c>
      <c r="G110" t="s">
        <v>182</v>
      </c>
    </row>
    <row r="111" spans="1:7" ht="19">
      <c r="A111">
        <v>110</v>
      </c>
      <c r="B111" s="1" t="s">
        <v>260</v>
      </c>
      <c r="C111" s="2" t="s">
        <v>269</v>
      </c>
      <c r="D111" t="s">
        <v>84</v>
      </c>
      <c r="E111" t="s">
        <v>391</v>
      </c>
      <c r="F111" t="s">
        <v>192</v>
      </c>
      <c r="G111" t="s">
        <v>183</v>
      </c>
    </row>
    <row r="112" spans="1:7" ht="19">
      <c r="A112">
        <v>111</v>
      </c>
      <c r="B112" s="1" t="s">
        <v>261</v>
      </c>
      <c r="C112" s="2" t="s">
        <v>274</v>
      </c>
      <c r="D112" t="s">
        <v>84</v>
      </c>
      <c r="E112" t="s">
        <v>391</v>
      </c>
      <c r="F112" t="s">
        <v>192</v>
      </c>
      <c r="G112" t="s">
        <v>184</v>
      </c>
    </row>
    <row r="113" spans="1:7" ht="19">
      <c r="A113">
        <v>112</v>
      </c>
      <c r="B113" s="1" t="s">
        <v>262</v>
      </c>
      <c r="C113" s="2" t="s">
        <v>269</v>
      </c>
      <c r="D113" t="s">
        <v>84</v>
      </c>
      <c r="E113" t="s">
        <v>391</v>
      </c>
      <c r="F113" t="s">
        <v>192</v>
      </c>
      <c r="G113" t="s">
        <v>185</v>
      </c>
    </row>
    <row r="114" spans="1:7" ht="19">
      <c r="A114">
        <v>113</v>
      </c>
      <c r="B114" s="1" t="s">
        <v>263</v>
      </c>
      <c r="C114" s="2" t="s">
        <v>269</v>
      </c>
      <c r="D114" t="s">
        <v>84</v>
      </c>
      <c r="E114" t="s">
        <v>391</v>
      </c>
      <c r="F114" t="s">
        <v>192</v>
      </c>
      <c r="G114" t="s">
        <v>186</v>
      </c>
    </row>
    <row r="115" spans="1:7" ht="19">
      <c r="A115">
        <v>114</v>
      </c>
      <c r="B115" s="1" t="s">
        <v>264</v>
      </c>
      <c r="C115" s="2" t="s">
        <v>267</v>
      </c>
      <c r="D115" t="s">
        <v>85</v>
      </c>
      <c r="E115" t="s">
        <v>391</v>
      </c>
      <c r="F115" t="s">
        <v>192</v>
      </c>
      <c r="G115" t="s">
        <v>187</v>
      </c>
    </row>
    <row r="116" spans="1:7" ht="19">
      <c r="A116">
        <v>115</v>
      </c>
      <c r="B116" s="1" t="s">
        <v>59</v>
      </c>
      <c r="C116" s="2" t="s">
        <v>271</v>
      </c>
      <c r="D116" t="s">
        <v>85</v>
      </c>
      <c r="E116" t="s">
        <v>391</v>
      </c>
      <c r="F116" t="s">
        <v>201</v>
      </c>
      <c r="G116" t="s">
        <v>188</v>
      </c>
    </row>
    <row r="117" spans="1:7" ht="19">
      <c r="A117">
        <v>116</v>
      </c>
      <c r="B117" s="1" t="s">
        <v>60</v>
      </c>
      <c r="C117" s="2" t="s">
        <v>271</v>
      </c>
      <c r="D117" t="s">
        <v>84</v>
      </c>
      <c r="E117" t="s">
        <v>391</v>
      </c>
      <c r="F117" t="s">
        <v>192</v>
      </c>
      <c r="G117" t="s">
        <v>182</v>
      </c>
    </row>
    <row r="118" spans="1:7" ht="19">
      <c r="A118">
        <v>117</v>
      </c>
      <c r="B118" s="1" t="s">
        <v>265</v>
      </c>
      <c r="C118" s="2" t="s">
        <v>267</v>
      </c>
      <c r="D118" t="s">
        <v>84</v>
      </c>
      <c r="E118" t="s">
        <v>391</v>
      </c>
      <c r="F118" t="s">
        <v>192</v>
      </c>
      <c r="G118" t="s">
        <v>182</v>
      </c>
    </row>
    <row r="119" spans="1:7" ht="19">
      <c r="A119">
        <v>118</v>
      </c>
      <c r="B119" s="1" t="s">
        <v>61</v>
      </c>
      <c r="C119" s="2" t="s">
        <v>271</v>
      </c>
      <c r="D119" t="s">
        <v>85</v>
      </c>
      <c r="E119" t="s">
        <v>391</v>
      </c>
      <c r="F119" t="s">
        <v>201</v>
      </c>
      <c r="G119" t="s">
        <v>188</v>
      </c>
    </row>
    <row r="120" spans="1:7" ht="19">
      <c r="A120">
        <v>119</v>
      </c>
      <c r="B120" s="1" t="s">
        <v>266</v>
      </c>
      <c r="C120" s="2" t="s">
        <v>269</v>
      </c>
      <c r="D120" t="s">
        <v>84</v>
      </c>
      <c r="E120" t="s">
        <v>391</v>
      </c>
      <c r="F120" t="s">
        <v>192</v>
      </c>
      <c r="G120" t="s">
        <v>186</v>
      </c>
    </row>
    <row r="121" spans="1:7" ht="19">
      <c r="A121">
        <v>120</v>
      </c>
      <c r="B121" s="1" t="s">
        <v>62</v>
      </c>
      <c r="C121" s="2" t="s">
        <v>271</v>
      </c>
      <c r="D121" t="s">
        <v>84</v>
      </c>
      <c r="E121" t="s">
        <v>391</v>
      </c>
      <c r="F121" t="s">
        <v>192</v>
      </c>
      <c r="G121" t="s">
        <v>189</v>
      </c>
    </row>
    <row r="122" spans="1:7" ht="19">
      <c r="A122">
        <v>121</v>
      </c>
      <c r="B122" s="1" t="s">
        <v>63</v>
      </c>
      <c r="C122" s="2" t="s">
        <v>271</v>
      </c>
      <c r="D122" t="s">
        <v>84</v>
      </c>
      <c r="E122" t="s">
        <v>391</v>
      </c>
      <c r="F122" t="s">
        <v>201</v>
      </c>
      <c r="G122" s="12" t="s">
        <v>190</v>
      </c>
    </row>
    <row r="123" spans="1:7" ht="19">
      <c r="A123">
        <v>122</v>
      </c>
      <c r="B123" s="1" t="s">
        <v>64</v>
      </c>
      <c r="C123" s="2" t="s">
        <v>271</v>
      </c>
      <c r="D123" t="s">
        <v>84</v>
      </c>
      <c r="E123" t="s">
        <v>391</v>
      </c>
      <c r="F123" t="s">
        <v>201</v>
      </c>
      <c r="G123" s="12" t="s">
        <v>191</v>
      </c>
    </row>
    <row r="124" spans="1:7" ht="19">
      <c r="A124">
        <v>123</v>
      </c>
      <c r="B124" s="1" t="s">
        <v>65</v>
      </c>
      <c r="C124" s="2" t="s">
        <v>271</v>
      </c>
      <c r="D124" t="s">
        <v>84</v>
      </c>
      <c r="E124" t="s">
        <v>391</v>
      </c>
      <c r="F124" t="s">
        <v>201</v>
      </c>
      <c r="G124" s="12" t="s">
        <v>193</v>
      </c>
    </row>
    <row r="125" spans="1:7" ht="19">
      <c r="A125">
        <v>124</v>
      </c>
      <c r="B125" s="1" t="s">
        <v>66</v>
      </c>
      <c r="C125" s="2" t="s">
        <v>271</v>
      </c>
      <c r="D125" t="s">
        <v>84</v>
      </c>
      <c r="E125" t="s">
        <v>391</v>
      </c>
      <c r="F125" t="s">
        <v>201</v>
      </c>
      <c r="G125" s="12" t="s">
        <v>194</v>
      </c>
    </row>
    <row r="126" spans="1:7" ht="19">
      <c r="A126">
        <v>125</v>
      </c>
      <c r="B126" s="1" t="s">
        <v>67</v>
      </c>
      <c r="C126" s="2" t="s">
        <v>271</v>
      </c>
      <c r="D126" t="s">
        <v>84</v>
      </c>
      <c r="E126" t="s">
        <v>391</v>
      </c>
      <c r="F126" t="s">
        <v>201</v>
      </c>
      <c r="G126" s="12" t="s">
        <v>195</v>
      </c>
    </row>
    <row r="127" spans="1:7" ht="19">
      <c r="A127">
        <v>126</v>
      </c>
      <c r="B127" s="1" t="s">
        <v>68</v>
      </c>
      <c r="C127" s="2" t="s">
        <v>271</v>
      </c>
      <c r="D127" t="s">
        <v>84</v>
      </c>
      <c r="E127" t="s">
        <v>391</v>
      </c>
      <c r="F127" t="s">
        <v>201</v>
      </c>
      <c r="G127" s="12" t="s">
        <v>196</v>
      </c>
    </row>
    <row r="128" spans="1:7" ht="19">
      <c r="A128">
        <v>127</v>
      </c>
      <c r="B128" s="1" t="s">
        <v>69</v>
      </c>
      <c r="C128" s="2" t="s">
        <v>271</v>
      </c>
      <c r="D128" t="s">
        <v>84</v>
      </c>
      <c r="E128" t="s">
        <v>391</v>
      </c>
      <c r="F128" t="s">
        <v>201</v>
      </c>
      <c r="G128" s="12" t="s">
        <v>195</v>
      </c>
    </row>
    <row r="129" spans="1:7" ht="19">
      <c r="A129">
        <v>128</v>
      </c>
      <c r="B129" s="1" t="s">
        <v>70</v>
      </c>
      <c r="C129" s="2" t="s">
        <v>271</v>
      </c>
      <c r="D129" t="s">
        <v>84</v>
      </c>
      <c r="E129" t="s">
        <v>391</v>
      </c>
      <c r="F129" t="s">
        <v>201</v>
      </c>
      <c r="G129" s="12" t="s">
        <v>194</v>
      </c>
    </row>
    <row r="130" spans="1:7" ht="19">
      <c r="A130">
        <v>129</v>
      </c>
      <c r="B130" s="1" t="s">
        <v>71</v>
      </c>
      <c r="C130" s="2" t="s">
        <v>271</v>
      </c>
      <c r="D130" t="s">
        <v>84</v>
      </c>
      <c r="E130" t="s">
        <v>391</v>
      </c>
      <c r="F130" t="s">
        <v>201</v>
      </c>
      <c r="G130" s="12" t="s">
        <v>197</v>
      </c>
    </row>
    <row r="131" spans="1:7" ht="19">
      <c r="A131">
        <v>130</v>
      </c>
      <c r="B131" s="1" t="s">
        <v>72</v>
      </c>
      <c r="C131" s="2" t="s">
        <v>271</v>
      </c>
      <c r="D131" t="s">
        <v>84</v>
      </c>
      <c r="E131" t="s">
        <v>391</v>
      </c>
      <c r="F131" t="s">
        <v>201</v>
      </c>
      <c r="G131" s="12" t="s">
        <v>198</v>
      </c>
    </row>
    <row r="132" spans="1:7" ht="19">
      <c r="A132">
        <v>131</v>
      </c>
      <c r="B132" s="1" t="s">
        <v>73</v>
      </c>
      <c r="C132" s="2" t="s">
        <v>271</v>
      </c>
      <c r="D132" t="s">
        <v>84</v>
      </c>
      <c r="E132" t="s">
        <v>391</v>
      </c>
      <c r="F132" t="s">
        <v>201</v>
      </c>
      <c r="G132" s="12" t="s">
        <v>197</v>
      </c>
    </row>
    <row r="133" spans="1:7" ht="19">
      <c r="A133">
        <v>132</v>
      </c>
      <c r="B133" s="1" t="s">
        <v>74</v>
      </c>
      <c r="C133" s="2" t="s">
        <v>271</v>
      </c>
      <c r="D133" t="s">
        <v>84</v>
      </c>
      <c r="E133" t="s">
        <v>391</v>
      </c>
      <c r="F133" t="s">
        <v>201</v>
      </c>
      <c r="G133" s="12" t="s">
        <v>194</v>
      </c>
    </row>
    <row r="134" spans="1:7" ht="19">
      <c r="A134">
        <v>133</v>
      </c>
      <c r="B134" s="1" t="s">
        <v>75</v>
      </c>
      <c r="C134" s="2" t="s">
        <v>271</v>
      </c>
      <c r="D134" t="s">
        <v>84</v>
      </c>
      <c r="E134" t="s">
        <v>391</v>
      </c>
      <c r="F134" t="s">
        <v>201</v>
      </c>
      <c r="G134" s="12" t="s">
        <v>197</v>
      </c>
    </row>
    <row r="135" spans="1:7" ht="19">
      <c r="A135">
        <v>134</v>
      </c>
      <c r="B135" s="1" t="s">
        <v>76</v>
      </c>
      <c r="C135" s="2" t="s">
        <v>271</v>
      </c>
      <c r="D135" t="s">
        <v>84</v>
      </c>
      <c r="E135" t="s">
        <v>391</v>
      </c>
      <c r="F135" t="s">
        <v>201</v>
      </c>
      <c r="G135" s="12" t="s">
        <v>199</v>
      </c>
    </row>
    <row r="136" spans="1:7" ht="19">
      <c r="A136">
        <v>135</v>
      </c>
      <c r="B136" s="1" t="s">
        <v>77</v>
      </c>
      <c r="C136" s="2" t="s">
        <v>271</v>
      </c>
      <c r="D136" t="s">
        <v>84</v>
      </c>
      <c r="E136" t="s">
        <v>391</v>
      </c>
      <c r="F136" t="s">
        <v>201</v>
      </c>
      <c r="G136" s="12" t="s">
        <v>200</v>
      </c>
    </row>
    <row r="137" spans="1:7" ht="19">
      <c r="A137">
        <v>136</v>
      </c>
      <c r="B137" s="1" t="s">
        <v>78</v>
      </c>
      <c r="C137" s="2" t="s">
        <v>271</v>
      </c>
      <c r="D137" t="s">
        <v>84</v>
      </c>
      <c r="E137" t="s">
        <v>391</v>
      </c>
      <c r="F137" t="s">
        <v>201</v>
      </c>
      <c r="G137" s="12" t="s">
        <v>199</v>
      </c>
    </row>
    <row r="138" spans="1:7" ht="19">
      <c r="A138">
        <v>137</v>
      </c>
      <c r="B138" s="1" t="s">
        <v>79</v>
      </c>
      <c r="C138" s="2" t="s">
        <v>271</v>
      </c>
      <c r="D138" t="s">
        <v>84</v>
      </c>
      <c r="E138" t="s">
        <v>391</v>
      </c>
      <c r="F138" t="s">
        <v>201</v>
      </c>
      <c r="G138" s="12" t="s">
        <v>200</v>
      </c>
    </row>
    <row r="139" spans="1:7" ht="19">
      <c r="A139">
        <v>138</v>
      </c>
      <c r="B139" s="1" t="s">
        <v>80</v>
      </c>
      <c r="C139" s="2" t="s">
        <v>271</v>
      </c>
      <c r="D139" t="s">
        <v>84</v>
      </c>
      <c r="E139" t="s">
        <v>391</v>
      </c>
      <c r="F139" t="s">
        <v>201</v>
      </c>
      <c r="G139" s="12" t="s">
        <v>199</v>
      </c>
    </row>
    <row r="140" spans="1:7" ht="19">
      <c r="A140">
        <v>139</v>
      </c>
      <c r="B140" s="1" t="s">
        <v>81</v>
      </c>
      <c r="C140" s="2" t="s">
        <v>271</v>
      </c>
      <c r="D140" t="s">
        <v>84</v>
      </c>
      <c r="E140" t="s">
        <v>391</v>
      </c>
      <c r="F140" t="s">
        <v>201</v>
      </c>
      <c r="G140" s="12" t="s">
        <v>200</v>
      </c>
    </row>
    <row r="141" spans="1:7" ht="19">
      <c r="A141">
        <v>140</v>
      </c>
      <c r="B141" s="1" t="s">
        <v>82</v>
      </c>
      <c r="C141" s="2" t="s">
        <v>271</v>
      </c>
      <c r="D141" t="s">
        <v>84</v>
      </c>
      <c r="E141" t="s">
        <v>391</v>
      </c>
      <c r="F141" t="s">
        <v>201</v>
      </c>
      <c r="G141" s="12" t="s">
        <v>199</v>
      </c>
    </row>
    <row r="142" spans="1:7" ht="19">
      <c r="A142">
        <v>141</v>
      </c>
      <c r="B142" s="1" t="s">
        <v>83</v>
      </c>
      <c r="C142" s="2" t="s">
        <v>271</v>
      </c>
      <c r="D142" t="s">
        <v>84</v>
      </c>
      <c r="E142" t="s">
        <v>391</v>
      </c>
      <c r="F142" t="s">
        <v>201</v>
      </c>
      <c r="G142" s="12" t="s">
        <v>200</v>
      </c>
    </row>
    <row r="143" spans="1:7" ht="19">
      <c r="B143" s="1"/>
    </row>
    <row r="144" spans="1:7" ht="19">
      <c r="B144" s="1"/>
    </row>
  </sheetData>
  <autoFilter ref="A1:I145" xr:uid="{534E2F02-400F-CE45-A626-172EF99DD096}">
    <sortState xmlns:xlrd2="http://schemas.microsoft.com/office/spreadsheetml/2017/richdata2" ref="A2:I145">
      <sortCondition ref="A1:A145"/>
    </sortState>
  </autoFilter>
  <sortState xmlns:xlrd2="http://schemas.microsoft.com/office/spreadsheetml/2017/richdata2" ref="A2:I146">
    <sortCondition ref="A2:A146"/>
  </sortState>
  <phoneticPr fontId="1" type="noConversion"/>
  <conditionalFormatting sqref="E1:E1048576">
    <cfRule type="cellIs" dxfId="32" priority="3" operator="equal">
      <formula>"no"</formula>
    </cfRule>
    <cfRule type="cellIs" dxfId="31" priority="7" operator="equal">
      <formula>"yes"</formula>
    </cfRule>
  </conditionalFormatting>
  <conditionalFormatting sqref="F2:F142">
    <cfRule type="expression" dxfId="30" priority="2">
      <formula>F2&lt;&gt;E2</formula>
    </cfRule>
  </conditionalFormatting>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2CBC8-9A65-D949-9F79-B313E5D8C92D}">
  <sheetPr codeName="工作表7"/>
  <dimension ref="A1:I144"/>
  <sheetViews>
    <sheetView topLeftCell="A33" workbookViewId="0">
      <selection activeCell="I54" sqref="I54"/>
    </sheetView>
  </sheetViews>
  <sheetFormatPr baseColWidth="10" defaultRowHeight="15"/>
  <cols>
    <col min="2" max="2" width="12.5" customWidth="1"/>
    <col min="3" max="3" width="4.83203125" style="2" customWidth="1"/>
    <col min="5" max="6" width="11.33203125" customWidth="1"/>
    <col min="7" max="7" width="13.1640625" style="13" customWidth="1"/>
    <col min="8" max="8" width="13.1640625" customWidth="1"/>
    <col min="9" max="9" width="14.33203125" customWidth="1"/>
  </cols>
  <sheetData>
    <row r="1" spans="1:9">
      <c r="A1" t="s">
        <v>88</v>
      </c>
      <c r="B1" t="s">
        <v>0</v>
      </c>
      <c r="C1" s="2" t="s">
        <v>202</v>
      </c>
      <c r="D1" t="s">
        <v>6</v>
      </c>
      <c r="E1" t="s">
        <v>1</v>
      </c>
      <c r="F1" t="s">
        <v>605</v>
      </c>
      <c r="G1" s="13" t="s">
        <v>2</v>
      </c>
      <c r="H1" t="s">
        <v>5</v>
      </c>
      <c r="I1" t="s">
        <v>3</v>
      </c>
    </row>
    <row r="2" spans="1:9" ht="19">
      <c r="A2">
        <v>1</v>
      </c>
      <c r="B2" s="1" t="s">
        <v>932</v>
      </c>
      <c r="E2" t="s">
        <v>390</v>
      </c>
      <c r="G2" s="13" t="s">
        <v>1017</v>
      </c>
    </row>
    <row r="3" spans="1:9" ht="19">
      <c r="A3">
        <v>2</v>
      </c>
      <c r="B3" s="1" t="s">
        <v>933</v>
      </c>
      <c r="E3" t="s">
        <v>390</v>
      </c>
      <c r="G3" s="18" t="s">
        <v>1018</v>
      </c>
    </row>
    <row r="4" spans="1:9" ht="19">
      <c r="A4">
        <v>3</v>
      </c>
      <c r="B4" s="1" t="s">
        <v>934</v>
      </c>
      <c r="E4" t="s">
        <v>390</v>
      </c>
      <c r="G4" s="18" t="s">
        <v>1019</v>
      </c>
    </row>
    <row r="5" spans="1:9" ht="19">
      <c r="A5">
        <v>4</v>
      </c>
      <c r="B5" s="1" t="s">
        <v>935</v>
      </c>
      <c r="E5" t="s">
        <v>390</v>
      </c>
      <c r="G5" s="18" t="s">
        <v>1020</v>
      </c>
    </row>
    <row r="6" spans="1:9" ht="19">
      <c r="A6">
        <v>5</v>
      </c>
      <c r="B6" s="1" t="s">
        <v>936</v>
      </c>
      <c r="E6" t="s">
        <v>390</v>
      </c>
      <c r="G6" s="18" t="s">
        <v>1021</v>
      </c>
    </row>
    <row r="7" spans="1:9" ht="19">
      <c r="A7">
        <v>6</v>
      </c>
      <c r="B7" s="1" t="s">
        <v>937</v>
      </c>
      <c r="E7" t="s">
        <v>390</v>
      </c>
      <c r="G7" s="18" t="s">
        <v>1022</v>
      </c>
    </row>
    <row r="8" spans="1:9" ht="19">
      <c r="A8">
        <v>7</v>
      </c>
      <c r="B8" s="1" t="s">
        <v>938</v>
      </c>
      <c r="E8" t="s">
        <v>390</v>
      </c>
      <c r="G8" s="18" t="s">
        <v>1023</v>
      </c>
    </row>
    <row r="9" spans="1:9" ht="19">
      <c r="A9">
        <v>8</v>
      </c>
      <c r="B9" s="1" t="s">
        <v>939</v>
      </c>
      <c r="E9" t="s">
        <v>390</v>
      </c>
      <c r="G9" s="18" t="s">
        <v>1024</v>
      </c>
    </row>
    <row r="10" spans="1:9" ht="19">
      <c r="A10">
        <v>9</v>
      </c>
      <c r="B10" s="1" t="s">
        <v>940</v>
      </c>
      <c r="E10" t="s">
        <v>390</v>
      </c>
      <c r="G10" s="18" t="s">
        <v>1025</v>
      </c>
    </row>
    <row r="11" spans="1:9" ht="19">
      <c r="A11">
        <v>10</v>
      </c>
      <c r="B11" s="1" t="s">
        <v>941</v>
      </c>
      <c r="E11" t="s">
        <v>390</v>
      </c>
      <c r="G11" s="18" t="s">
        <v>1026</v>
      </c>
    </row>
    <row r="12" spans="1:9" ht="19">
      <c r="A12">
        <v>11</v>
      </c>
      <c r="B12" s="1" t="s">
        <v>942</v>
      </c>
      <c r="E12" t="s">
        <v>390</v>
      </c>
      <c r="G12" s="18" t="s">
        <v>1027</v>
      </c>
    </row>
    <row r="13" spans="1:9" ht="19">
      <c r="A13">
        <v>12</v>
      </c>
      <c r="B13" s="1" t="s">
        <v>943</v>
      </c>
      <c r="E13" t="s">
        <v>390</v>
      </c>
      <c r="G13" s="18" t="s">
        <v>1028</v>
      </c>
    </row>
    <row r="14" spans="1:9" ht="19">
      <c r="A14">
        <v>13</v>
      </c>
      <c r="B14" s="1" t="s">
        <v>944</v>
      </c>
      <c r="E14" t="s">
        <v>390</v>
      </c>
      <c r="G14" s="18" t="s">
        <v>1029</v>
      </c>
    </row>
    <row r="15" spans="1:9" ht="19">
      <c r="A15">
        <v>14</v>
      </c>
      <c r="B15" s="1" t="s">
        <v>945</v>
      </c>
      <c r="E15" t="s">
        <v>390</v>
      </c>
      <c r="G15" s="18" t="s">
        <v>1030</v>
      </c>
    </row>
    <row r="16" spans="1:9" ht="19">
      <c r="A16">
        <v>15</v>
      </c>
      <c r="B16" s="1" t="s">
        <v>946</v>
      </c>
      <c r="E16" t="s">
        <v>390</v>
      </c>
      <c r="G16" s="18" t="s">
        <v>1031</v>
      </c>
    </row>
    <row r="17" spans="1:7" ht="19">
      <c r="A17">
        <v>16</v>
      </c>
      <c r="B17" s="1" t="s">
        <v>947</v>
      </c>
      <c r="E17" t="s">
        <v>390</v>
      </c>
      <c r="G17" s="18" t="s">
        <v>1032</v>
      </c>
    </row>
    <row r="18" spans="1:7" ht="19">
      <c r="A18">
        <v>17</v>
      </c>
      <c r="B18" s="1" t="s">
        <v>948</v>
      </c>
      <c r="E18" t="s">
        <v>390</v>
      </c>
      <c r="G18" s="18" t="s">
        <v>1033</v>
      </c>
    </row>
    <row r="19" spans="1:7" ht="19">
      <c r="A19">
        <v>18</v>
      </c>
      <c r="B19" s="1" t="s">
        <v>949</v>
      </c>
      <c r="E19" t="s">
        <v>390</v>
      </c>
      <c r="G19" s="18" t="s">
        <v>1034</v>
      </c>
    </row>
    <row r="20" spans="1:7" ht="19">
      <c r="A20">
        <v>19</v>
      </c>
      <c r="B20" s="1" t="s">
        <v>950</v>
      </c>
      <c r="E20" t="s">
        <v>390</v>
      </c>
      <c r="G20" s="18" t="s">
        <v>1035</v>
      </c>
    </row>
    <row r="21" spans="1:7" ht="19">
      <c r="A21">
        <v>20</v>
      </c>
      <c r="B21" s="1" t="s">
        <v>951</v>
      </c>
      <c r="E21" t="s">
        <v>390</v>
      </c>
      <c r="G21" s="18" t="s">
        <v>1036</v>
      </c>
    </row>
    <row r="22" spans="1:7" ht="19">
      <c r="A22">
        <v>21</v>
      </c>
      <c r="B22" s="1" t="s">
        <v>952</v>
      </c>
      <c r="E22" t="s">
        <v>390</v>
      </c>
      <c r="G22" s="18" t="s">
        <v>1037</v>
      </c>
    </row>
    <row r="23" spans="1:7" ht="19">
      <c r="A23">
        <v>22</v>
      </c>
      <c r="B23" s="1" t="s">
        <v>953</v>
      </c>
      <c r="E23" t="s">
        <v>390</v>
      </c>
      <c r="G23" s="18" t="s">
        <v>1038</v>
      </c>
    </row>
    <row r="24" spans="1:7" ht="19">
      <c r="A24">
        <v>23</v>
      </c>
      <c r="B24" s="1" t="s">
        <v>954</v>
      </c>
      <c r="E24" t="s">
        <v>390</v>
      </c>
      <c r="G24" s="18" t="s">
        <v>1039</v>
      </c>
    </row>
    <row r="25" spans="1:7" ht="19">
      <c r="A25">
        <v>24</v>
      </c>
      <c r="B25" s="1" t="s">
        <v>955</v>
      </c>
      <c r="E25" t="s">
        <v>390</v>
      </c>
      <c r="G25" s="18" t="s">
        <v>1040</v>
      </c>
    </row>
    <row r="26" spans="1:7" ht="19">
      <c r="A26">
        <v>25</v>
      </c>
      <c r="B26" s="1" t="s">
        <v>956</v>
      </c>
      <c r="E26" t="s">
        <v>390</v>
      </c>
      <c r="G26" s="18" t="s">
        <v>1041</v>
      </c>
    </row>
    <row r="27" spans="1:7" ht="19">
      <c r="A27">
        <v>26</v>
      </c>
      <c r="B27" s="1" t="s">
        <v>957</v>
      </c>
      <c r="E27" t="s">
        <v>390</v>
      </c>
      <c r="G27" s="18" t="s">
        <v>1042</v>
      </c>
    </row>
    <row r="28" spans="1:7" ht="19">
      <c r="A28">
        <v>27</v>
      </c>
      <c r="B28" s="1" t="s">
        <v>958</v>
      </c>
      <c r="E28" t="s">
        <v>390</v>
      </c>
      <c r="G28" s="18" t="s">
        <v>1043</v>
      </c>
    </row>
    <row r="29" spans="1:7" ht="19">
      <c r="A29">
        <v>28</v>
      </c>
      <c r="B29" s="1" t="s">
        <v>959</v>
      </c>
      <c r="E29" t="s">
        <v>390</v>
      </c>
      <c r="G29" s="18" t="s">
        <v>1044</v>
      </c>
    </row>
    <row r="30" spans="1:7" ht="19">
      <c r="A30">
        <v>29</v>
      </c>
      <c r="B30" s="1" t="s">
        <v>960</v>
      </c>
      <c r="E30" t="s">
        <v>390</v>
      </c>
      <c r="G30" s="18" t="s">
        <v>1045</v>
      </c>
    </row>
    <row r="31" spans="1:7" ht="19">
      <c r="A31">
        <v>30</v>
      </c>
      <c r="B31" s="1" t="s">
        <v>961</v>
      </c>
      <c r="E31" t="s">
        <v>390</v>
      </c>
      <c r="G31" s="18" t="s">
        <v>1046</v>
      </c>
    </row>
    <row r="32" spans="1:7" ht="19">
      <c r="A32">
        <v>31</v>
      </c>
      <c r="B32" s="1" t="s">
        <v>962</v>
      </c>
      <c r="E32" t="s">
        <v>390</v>
      </c>
      <c r="G32" s="18" t="s">
        <v>1047</v>
      </c>
    </row>
    <row r="33" spans="1:7" ht="19">
      <c r="A33">
        <v>32</v>
      </c>
      <c r="B33" s="1" t="s">
        <v>963</v>
      </c>
      <c r="E33" t="s">
        <v>390</v>
      </c>
      <c r="G33" s="18" t="s">
        <v>1048</v>
      </c>
    </row>
    <row r="34" spans="1:7" ht="19">
      <c r="A34">
        <v>33</v>
      </c>
      <c r="B34" s="1" t="s">
        <v>964</v>
      </c>
      <c r="E34" t="s">
        <v>390</v>
      </c>
      <c r="G34" s="18" t="s">
        <v>1049</v>
      </c>
    </row>
    <row r="35" spans="1:7" ht="19">
      <c r="A35">
        <v>34</v>
      </c>
      <c r="B35" s="1" t="s">
        <v>965</v>
      </c>
      <c r="E35" t="s">
        <v>390</v>
      </c>
      <c r="G35" s="18" t="s">
        <v>1050</v>
      </c>
    </row>
    <row r="36" spans="1:7" ht="19">
      <c r="A36">
        <v>35</v>
      </c>
      <c r="B36" s="1" t="s">
        <v>966</v>
      </c>
      <c r="E36" t="s">
        <v>390</v>
      </c>
      <c r="G36" s="18" t="s">
        <v>1051</v>
      </c>
    </row>
    <row r="37" spans="1:7" ht="19">
      <c r="A37">
        <v>36</v>
      </c>
      <c r="B37" s="1" t="s">
        <v>967</v>
      </c>
      <c r="E37" t="s">
        <v>390</v>
      </c>
      <c r="G37" s="18" t="s">
        <v>1052</v>
      </c>
    </row>
    <row r="38" spans="1:7" ht="19">
      <c r="A38">
        <v>37</v>
      </c>
      <c r="B38" s="1" t="s">
        <v>968</v>
      </c>
      <c r="E38" t="s">
        <v>390</v>
      </c>
      <c r="G38" s="18" t="s">
        <v>1053</v>
      </c>
    </row>
    <row r="39" spans="1:7" ht="19">
      <c r="A39">
        <v>38</v>
      </c>
      <c r="B39" s="1" t="s">
        <v>969</v>
      </c>
      <c r="E39" t="s">
        <v>390</v>
      </c>
      <c r="G39" s="18" t="s">
        <v>1054</v>
      </c>
    </row>
    <row r="40" spans="1:7" ht="19">
      <c r="A40">
        <v>39</v>
      </c>
      <c r="B40" s="1" t="s">
        <v>970</v>
      </c>
      <c r="E40" t="s">
        <v>390</v>
      </c>
      <c r="G40" s="18" t="s">
        <v>1055</v>
      </c>
    </row>
    <row r="41" spans="1:7" ht="19">
      <c r="A41">
        <v>40</v>
      </c>
      <c r="B41" s="1" t="s">
        <v>971</v>
      </c>
      <c r="E41" t="s">
        <v>390</v>
      </c>
      <c r="G41" s="18" t="s">
        <v>1056</v>
      </c>
    </row>
    <row r="42" spans="1:7" ht="19">
      <c r="A42">
        <v>41</v>
      </c>
      <c r="B42" s="1" t="s">
        <v>972</v>
      </c>
      <c r="E42" t="s">
        <v>390</v>
      </c>
      <c r="G42" s="18" t="s">
        <v>1057</v>
      </c>
    </row>
    <row r="43" spans="1:7" ht="19">
      <c r="A43">
        <v>42</v>
      </c>
      <c r="B43" s="1" t="s">
        <v>973</v>
      </c>
      <c r="E43" t="s">
        <v>390</v>
      </c>
      <c r="G43" s="18" t="s">
        <v>1058</v>
      </c>
    </row>
    <row r="44" spans="1:7" ht="19">
      <c r="A44">
        <v>43</v>
      </c>
      <c r="B44" s="1" t="s">
        <v>974</v>
      </c>
      <c r="E44" t="s">
        <v>390</v>
      </c>
      <c r="G44" s="18" t="s">
        <v>1059</v>
      </c>
    </row>
    <row r="45" spans="1:7" ht="19">
      <c r="A45">
        <v>44</v>
      </c>
      <c r="B45" s="1" t="s">
        <v>975</v>
      </c>
      <c r="E45" t="s">
        <v>390</v>
      </c>
      <c r="G45" s="18" t="s">
        <v>1060</v>
      </c>
    </row>
    <row r="46" spans="1:7" ht="19">
      <c r="A46">
        <v>45</v>
      </c>
      <c r="B46" s="1" t="s">
        <v>976</v>
      </c>
      <c r="E46" t="s">
        <v>390</v>
      </c>
      <c r="G46" s="18" t="s">
        <v>1061</v>
      </c>
    </row>
    <row r="47" spans="1:7" ht="19">
      <c r="A47">
        <v>46</v>
      </c>
      <c r="B47" s="1" t="s">
        <v>977</v>
      </c>
      <c r="E47" t="s">
        <v>390</v>
      </c>
      <c r="G47" s="18" t="s">
        <v>1062</v>
      </c>
    </row>
    <row r="48" spans="1:7" ht="19">
      <c r="A48">
        <v>47</v>
      </c>
      <c r="B48" s="1" t="s">
        <v>978</v>
      </c>
      <c r="E48" t="s">
        <v>390</v>
      </c>
      <c r="G48" s="18" t="s">
        <v>1063</v>
      </c>
    </row>
    <row r="49" spans="1:7" ht="19">
      <c r="A49">
        <v>48</v>
      </c>
      <c r="B49" s="1" t="s">
        <v>979</v>
      </c>
      <c r="E49" t="s">
        <v>390</v>
      </c>
      <c r="G49" s="18" t="s">
        <v>1064</v>
      </c>
    </row>
    <row r="50" spans="1:7" ht="19">
      <c r="A50">
        <v>49</v>
      </c>
      <c r="B50" s="1" t="s">
        <v>980</v>
      </c>
      <c r="E50" t="s">
        <v>390</v>
      </c>
      <c r="G50" s="18" t="s">
        <v>1065</v>
      </c>
    </row>
    <row r="51" spans="1:7" ht="19">
      <c r="A51">
        <v>50</v>
      </c>
      <c r="B51" s="1" t="s">
        <v>981</v>
      </c>
      <c r="E51" t="s">
        <v>390</v>
      </c>
      <c r="G51" s="18" t="s">
        <v>1066</v>
      </c>
    </row>
    <row r="52" spans="1:7" ht="19">
      <c r="A52">
        <v>51</v>
      </c>
      <c r="B52" s="1" t="s">
        <v>982</v>
      </c>
      <c r="E52" t="s">
        <v>390</v>
      </c>
      <c r="G52" s="18"/>
    </row>
    <row r="53" spans="1:7" ht="19">
      <c r="A53">
        <v>52</v>
      </c>
      <c r="B53" s="1" t="s">
        <v>983</v>
      </c>
      <c r="E53" t="s">
        <v>390</v>
      </c>
      <c r="G53" s="18"/>
    </row>
    <row r="54" spans="1:7" ht="19">
      <c r="A54">
        <v>53</v>
      </c>
      <c r="B54" s="1" t="s">
        <v>984</v>
      </c>
      <c r="E54" t="s">
        <v>390</v>
      </c>
      <c r="G54" s="18"/>
    </row>
    <row r="55" spans="1:7" ht="19">
      <c r="A55">
        <v>54</v>
      </c>
      <c r="B55" s="1" t="s">
        <v>985</v>
      </c>
      <c r="E55" t="s">
        <v>390</v>
      </c>
      <c r="G55" s="18"/>
    </row>
    <row r="56" spans="1:7" ht="19">
      <c r="A56">
        <v>55</v>
      </c>
      <c r="B56" s="1" t="s">
        <v>986</v>
      </c>
      <c r="E56" t="s">
        <v>390</v>
      </c>
      <c r="G56" s="18"/>
    </row>
    <row r="57" spans="1:7" ht="19">
      <c r="A57">
        <v>56</v>
      </c>
      <c r="B57" s="1" t="s">
        <v>987</v>
      </c>
      <c r="E57" t="s">
        <v>390</v>
      </c>
      <c r="G57" s="18"/>
    </row>
    <row r="58" spans="1:7" ht="19">
      <c r="A58">
        <v>57</v>
      </c>
      <c r="B58" s="1" t="s">
        <v>988</v>
      </c>
      <c r="E58" t="s">
        <v>390</v>
      </c>
      <c r="G58" s="18"/>
    </row>
    <row r="59" spans="1:7" ht="19">
      <c r="A59">
        <v>58</v>
      </c>
      <c r="B59" s="1" t="s">
        <v>989</v>
      </c>
      <c r="E59" t="s">
        <v>390</v>
      </c>
      <c r="G59" s="18"/>
    </row>
    <row r="60" spans="1:7" ht="19">
      <c r="A60">
        <v>59</v>
      </c>
      <c r="B60" s="1" t="s">
        <v>990</v>
      </c>
      <c r="E60" t="s">
        <v>390</v>
      </c>
      <c r="G60" s="18"/>
    </row>
    <row r="61" spans="1:7" ht="19">
      <c r="A61">
        <v>60</v>
      </c>
      <c r="B61" s="1" t="s">
        <v>991</v>
      </c>
      <c r="E61" t="s">
        <v>390</v>
      </c>
      <c r="G61" s="18"/>
    </row>
    <row r="62" spans="1:7" ht="19">
      <c r="A62">
        <v>61</v>
      </c>
      <c r="B62" s="1" t="s">
        <v>992</v>
      </c>
      <c r="E62" t="s">
        <v>390</v>
      </c>
      <c r="G62" s="18"/>
    </row>
    <row r="63" spans="1:7" ht="19">
      <c r="A63">
        <v>62</v>
      </c>
      <c r="B63" s="1" t="s">
        <v>993</v>
      </c>
      <c r="E63" t="s">
        <v>390</v>
      </c>
      <c r="G63" s="18"/>
    </row>
    <row r="64" spans="1:7" ht="19">
      <c r="A64">
        <v>63</v>
      </c>
      <c r="B64" s="1" t="s">
        <v>994</v>
      </c>
      <c r="E64" t="s">
        <v>390</v>
      </c>
      <c r="G64" s="18"/>
    </row>
    <row r="65" spans="1:7" ht="19">
      <c r="A65">
        <v>64</v>
      </c>
      <c r="B65" s="1" t="s">
        <v>995</v>
      </c>
      <c r="E65" t="s">
        <v>390</v>
      </c>
      <c r="G65" s="18"/>
    </row>
    <row r="66" spans="1:7" ht="19">
      <c r="A66">
        <v>65</v>
      </c>
      <c r="B66" s="1" t="s">
        <v>996</v>
      </c>
      <c r="E66" t="s">
        <v>390</v>
      </c>
      <c r="G66" s="18"/>
    </row>
    <row r="67" spans="1:7" ht="19">
      <c r="A67">
        <v>66</v>
      </c>
      <c r="B67" s="1" t="s">
        <v>997</v>
      </c>
      <c r="E67" t="s">
        <v>390</v>
      </c>
      <c r="G67" s="18"/>
    </row>
    <row r="68" spans="1:7" ht="19">
      <c r="A68">
        <v>67</v>
      </c>
      <c r="B68" s="1" t="s">
        <v>998</v>
      </c>
      <c r="E68" t="s">
        <v>390</v>
      </c>
      <c r="G68" s="18"/>
    </row>
    <row r="69" spans="1:7" ht="19">
      <c r="A69">
        <v>68</v>
      </c>
      <c r="B69" s="1" t="s">
        <v>999</v>
      </c>
      <c r="E69" t="s">
        <v>390</v>
      </c>
      <c r="G69" s="18"/>
    </row>
    <row r="70" spans="1:7" ht="19">
      <c r="A70">
        <v>69</v>
      </c>
      <c r="B70" s="1" t="s">
        <v>1000</v>
      </c>
      <c r="E70" t="s">
        <v>390</v>
      </c>
      <c r="G70" s="18"/>
    </row>
    <row r="71" spans="1:7" ht="19">
      <c r="A71">
        <v>70</v>
      </c>
      <c r="B71" s="1" t="s">
        <v>1001</v>
      </c>
      <c r="E71" t="s">
        <v>390</v>
      </c>
      <c r="G71" s="18"/>
    </row>
    <row r="72" spans="1:7" ht="19">
      <c r="A72">
        <v>71</v>
      </c>
      <c r="B72" s="1" t="s">
        <v>1002</v>
      </c>
      <c r="E72" t="s">
        <v>390</v>
      </c>
      <c r="G72" s="18"/>
    </row>
    <row r="73" spans="1:7" ht="19">
      <c r="A73">
        <v>72</v>
      </c>
      <c r="B73" s="1" t="s">
        <v>1003</v>
      </c>
      <c r="E73" t="s">
        <v>390</v>
      </c>
      <c r="G73" s="18"/>
    </row>
    <row r="74" spans="1:7" ht="19">
      <c r="A74">
        <v>73</v>
      </c>
      <c r="B74" s="1" t="s">
        <v>1004</v>
      </c>
      <c r="E74" t="s">
        <v>390</v>
      </c>
      <c r="G74" s="18"/>
    </row>
    <row r="75" spans="1:7" ht="19">
      <c r="A75">
        <v>74</v>
      </c>
      <c r="B75" s="1" t="s">
        <v>1005</v>
      </c>
      <c r="E75" t="s">
        <v>390</v>
      </c>
      <c r="G75" s="18"/>
    </row>
    <row r="76" spans="1:7" ht="19">
      <c r="A76">
        <v>75</v>
      </c>
      <c r="B76" s="1" t="s">
        <v>1006</v>
      </c>
      <c r="E76" t="s">
        <v>390</v>
      </c>
      <c r="G76" s="18"/>
    </row>
    <row r="77" spans="1:7" ht="19">
      <c r="A77">
        <v>76</v>
      </c>
      <c r="B77" s="1" t="s">
        <v>1007</v>
      </c>
      <c r="E77" t="s">
        <v>390</v>
      </c>
      <c r="G77" s="18"/>
    </row>
    <row r="78" spans="1:7" ht="19">
      <c r="A78">
        <v>77</v>
      </c>
      <c r="B78" s="1" t="s">
        <v>1008</v>
      </c>
      <c r="E78" t="s">
        <v>390</v>
      </c>
      <c r="G78" s="18"/>
    </row>
    <row r="79" spans="1:7" ht="19">
      <c r="A79">
        <v>78</v>
      </c>
      <c r="B79" s="1" t="s">
        <v>1009</v>
      </c>
      <c r="E79" t="s">
        <v>390</v>
      </c>
      <c r="G79" s="18"/>
    </row>
    <row r="80" spans="1:7" ht="19">
      <c r="A80">
        <v>79</v>
      </c>
      <c r="B80" s="1" t="s">
        <v>1010</v>
      </c>
      <c r="E80" t="s">
        <v>390</v>
      </c>
      <c r="G80" s="18"/>
    </row>
    <row r="81" spans="1:7" ht="19">
      <c r="A81">
        <v>80</v>
      </c>
      <c r="B81" s="1" t="s">
        <v>1011</v>
      </c>
      <c r="E81" t="s">
        <v>390</v>
      </c>
      <c r="G81" s="18"/>
    </row>
    <row r="82" spans="1:7" ht="19">
      <c r="A82">
        <v>81</v>
      </c>
      <c r="B82" s="1" t="s">
        <v>1012</v>
      </c>
      <c r="E82" t="s">
        <v>390</v>
      </c>
      <c r="G82" s="18"/>
    </row>
    <row r="83" spans="1:7" ht="19">
      <c r="A83">
        <v>82</v>
      </c>
      <c r="B83" s="1" t="s">
        <v>1013</v>
      </c>
      <c r="E83" t="s">
        <v>390</v>
      </c>
      <c r="G83" s="18"/>
    </row>
    <row r="84" spans="1:7" ht="19">
      <c r="A84">
        <v>83</v>
      </c>
      <c r="B84" s="1" t="s">
        <v>1014</v>
      </c>
      <c r="E84" t="s">
        <v>390</v>
      </c>
      <c r="G84" s="18"/>
    </row>
    <row r="85" spans="1:7" ht="19">
      <c r="A85">
        <v>84</v>
      </c>
      <c r="B85" s="1" t="s">
        <v>1015</v>
      </c>
      <c r="E85" t="s">
        <v>390</v>
      </c>
      <c r="G85" s="18"/>
    </row>
    <row r="86" spans="1:7" ht="19">
      <c r="A86">
        <v>85</v>
      </c>
      <c r="B86" s="1" t="s">
        <v>1016</v>
      </c>
      <c r="E86" t="s">
        <v>390</v>
      </c>
      <c r="G86" s="18"/>
    </row>
    <row r="87" spans="1:7" ht="19">
      <c r="B87" s="1"/>
      <c r="G87" s="18"/>
    </row>
    <row r="88" spans="1:7" ht="19">
      <c r="B88" s="1"/>
      <c r="G88" s="18"/>
    </row>
    <row r="89" spans="1:7" ht="19">
      <c r="B89" s="1"/>
      <c r="G89" s="18"/>
    </row>
    <row r="90" spans="1:7" ht="19">
      <c r="B90" s="1"/>
      <c r="G90" s="18"/>
    </row>
    <row r="91" spans="1:7" ht="19">
      <c r="B91" s="1"/>
      <c r="G91" s="18"/>
    </row>
    <row r="92" spans="1:7" ht="19">
      <c r="B92" s="1"/>
      <c r="G92" s="18"/>
    </row>
    <row r="93" spans="1:7" ht="19">
      <c r="B93" s="1"/>
      <c r="G93" s="18"/>
    </row>
    <row r="94" spans="1:7" ht="19">
      <c r="B94" s="1"/>
      <c r="G94" s="18"/>
    </row>
    <row r="95" spans="1:7" ht="19">
      <c r="B95" s="1"/>
      <c r="G95" s="18"/>
    </row>
    <row r="96" spans="1:7" ht="19">
      <c r="B96" s="1"/>
      <c r="G96" s="18"/>
    </row>
    <row r="97" spans="2:7" ht="19">
      <c r="B97" s="1"/>
      <c r="G97" s="18"/>
    </row>
    <row r="98" spans="2:7" ht="19">
      <c r="B98" s="1"/>
      <c r="G98" s="18"/>
    </row>
    <row r="99" spans="2:7" ht="19">
      <c r="B99" s="1"/>
      <c r="G99" s="18"/>
    </row>
    <row r="100" spans="2:7" ht="19">
      <c r="B100" s="1"/>
      <c r="G100" s="18"/>
    </row>
    <row r="101" spans="2:7" ht="19">
      <c r="B101" s="1"/>
      <c r="G101" s="18"/>
    </row>
    <row r="102" spans="2:7" ht="19">
      <c r="B102" s="1"/>
      <c r="G102" s="18"/>
    </row>
    <row r="103" spans="2:7" ht="19">
      <c r="B103" s="1"/>
      <c r="G103" s="18"/>
    </row>
    <row r="104" spans="2:7" ht="19">
      <c r="B104" s="1"/>
      <c r="G104" s="18"/>
    </row>
    <row r="105" spans="2:7" ht="19">
      <c r="B105" s="1"/>
      <c r="G105" s="18"/>
    </row>
    <row r="106" spans="2:7" ht="19">
      <c r="B106" s="1"/>
      <c r="G106" s="18"/>
    </row>
    <row r="107" spans="2:7" ht="19">
      <c r="B107" s="1"/>
      <c r="G107" s="18"/>
    </row>
    <row r="108" spans="2:7" ht="19">
      <c r="B108" s="1"/>
      <c r="G108" s="18"/>
    </row>
    <row r="109" spans="2:7" ht="19">
      <c r="B109" s="1"/>
      <c r="G109" s="18"/>
    </row>
    <row r="110" spans="2:7" ht="19">
      <c r="B110" s="1"/>
      <c r="G110" s="18"/>
    </row>
    <row r="111" spans="2:7" ht="19">
      <c r="B111" s="1"/>
      <c r="G111" s="18"/>
    </row>
    <row r="112" spans="2:7" ht="19">
      <c r="B112" s="1"/>
      <c r="G112" s="18"/>
    </row>
    <row r="113" spans="2:7" ht="19">
      <c r="B113" s="1"/>
      <c r="G113" s="18"/>
    </row>
    <row r="114" spans="2:7" ht="19">
      <c r="B114" s="1"/>
      <c r="G114" s="18"/>
    </row>
    <row r="115" spans="2:7" ht="19">
      <c r="B115" s="1"/>
      <c r="G115" s="18"/>
    </row>
    <row r="116" spans="2:7" ht="19">
      <c r="B116" s="1"/>
      <c r="G116" s="18"/>
    </row>
    <row r="117" spans="2:7" ht="19">
      <c r="B117" s="1"/>
      <c r="G117" s="18"/>
    </row>
    <row r="118" spans="2:7" ht="19">
      <c r="B118" s="1"/>
      <c r="G118" s="18"/>
    </row>
    <row r="119" spans="2:7" ht="19">
      <c r="B119" s="1"/>
      <c r="G119" s="18"/>
    </row>
    <row r="120" spans="2:7" ht="19">
      <c r="B120" s="1"/>
      <c r="G120" s="18"/>
    </row>
    <row r="121" spans="2:7" ht="19">
      <c r="B121" s="1"/>
      <c r="G121" s="18"/>
    </row>
    <row r="122" spans="2:7" ht="19">
      <c r="B122" s="1"/>
      <c r="G122" s="18"/>
    </row>
    <row r="123" spans="2:7" ht="19">
      <c r="B123" s="1"/>
      <c r="G123" s="18"/>
    </row>
    <row r="124" spans="2:7" ht="19">
      <c r="B124" s="1"/>
      <c r="G124" s="18"/>
    </row>
    <row r="125" spans="2:7" ht="19">
      <c r="B125" s="1"/>
      <c r="G125" s="18"/>
    </row>
    <row r="126" spans="2:7" ht="19">
      <c r="B126" s="1"/>
      <c r="G126" s="18"/>
    </row>
    <row r="127" spans="2:7" ht="19">
      <c r="B127" s="1"/>
      <c r="G127" s="18"/>
    </row>
    <row r="128" spans="2:7" ht="19">
      <c r="B128" s="1"/>
      <c r="G128" s="18"/>
    </row>
    <row r="129" spans="2:7" ht="19">
      <c r="B129" s="1"/>
      <c r="G129" s="18"/>
    </row>
    <row r="130" spans="2:7" ht="19">
      <c r="B130" s="1"/>
      <c r="G130" s="18"/>
    </row>
    <row r="131" spans="2:7" ht="19">
      <c r="B131" s="1"/>
      <c r="G131" s="18"/>
    </row>
    <row r="132" spans="2:7" ht="19">
      <c r="B132" s="1"/>
      <c r="G132" s="18"/>
    </row>
    <row r="133" spans="2:7" ht="19">
      <c r="B133" s="1"/>
      <c r="G133" s="18"/>
    </row>
    <row r="134" spans="2:7" ht="19">
      <c r="B134" s="1"/>
      <c r="G134" s="18"/>
    </row>
    <row r="135" spans="2:7" ht="19">
      <c r="B135" s="1"/>
      <c r="G135" s="18"/>
    </row>
    <row r="136" spans="2:7" ht="19">
      <c r="B136" s="1"/>
      <c r="G136" s="18"/>
    </row>
    <row r="137" spans="2:7" ht="19">
      <c r="B137" s="1"/>
      <c r="G137" s="18"/>
    </row>
    <row r="138" spans="2:7" ht="19">
      <c r="B138" s="1"/>
      <c r="G138" s="18"/>
    </row>
    <row r="139" spans="2:7" ht="19">
      <c r="B139" s="1"/>
      <c r="G139" s="18"/>
    </row>
    <row r="140" spans="2:7" ht="19">
      <c r="B140" s="1"/>
      <c r="G140" s="18"/>
    </row>
    <row r="141" spans="2:7" ht="19">
      <c r="B141" s="1"/>
      <c r="G141" s="18"/>
    </row>
    <row r="142" spans="2:7" ht="19">
      <c r="B142" s="1"/>
      <c r="G142" s="18"/>
    </row>
    <row r="143" spans="2:7" ht="19">
      <c r="B143" s="1"/>
    </row>
    <row r="144" spans="2:7" ht="19">
      <c r="B144" s="1"/>
    </row>
  </sheetData>
  <autoFilter ref="A1:I144" xr:uid="{3216B4BD-7F37-5148-95AF-17A163F1BBD5}"/>
  <phoneticPr fontId="1" type="noConversion"/>
  <conditionalFormatting sqref="E1:E1048576">
    <cfRule type="cellIs" dxfId="29" priority="2" operator="equal">
      <formula>"no"</formula>
    </cfRule>
    <cfRule type="cellIs" dxfId="28" priority="3" operator="equal">
      <formula>"yes"</formula>
    </cfRule>
  </conditionalFormatting>
  <conditionalFormatting sqref="F2:F142">
    <cfRule type="expression" dxfId="27" priority="1">
      <formula>F2&lt;&gt;E2</formula>
    </cfRule>
  </conditionalFormatting>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4D76-5BD6-5041-8416-CBD6D5D3EC2F}">
  <sheetPr codeName="工作表14" filterMode="1"/>
  <dimension ref="A1:I56"/>
  <sheetViews>
    <sheetView workbookViewId="0">
      <selection sqref="A1:I56"/>
    </sheetView>
  </sheetViews>
  <sheetFormatPr baseColWidth="10" defaultRowHeight="15"/>
  <cols>
    <col min="2" max="2" width="12" style="5" customWidth="1"/>
    <col min="3" max="3" width="5.1640625" customWidth="1"/>
    <col min="5" max="6" width="11.33203125" customWidth="1"/>
    <col min="7" max="7" width="10.83203125" style="5"/>
  </cols>
  <sheetData>
    <row r="1" spans="1:9">
      <c r="A1" t="s">
        <v>88</v>
      </c>
      <c r="B1" s="5" t="s">
        <v>0</v>
      </c>
      <c r="C1" s="2" t="s">
        <v>202</v>
      </c>
      <c r="D1" t="s">
        <v>6</v>
      </c>
      <c r="E1" t="s">
        <v>1</v>
      </c>
      <c r="F1" t="s">
        <v>605</v>
      </c>
      <c r="G1" s="5" t="s">
        <v>2</v>
      </c>
      <c r="H1" t="s">
        <v>5</v>
      </c>
      <c r="I1" t="s">
        <v>3</v>
      </c>
    </row>
    <row r="2" spans="1:9" ht="19">
      <c r="A2">
        <v>1</v>
      </c>
      <c r="B2" s="14" t="s">
        <v>299</v>
      </c>
      <c r="C2" t="s">
        <v>271</v>
      </c>
      <c r="E2" t="s">
        <v>390</v>
      </c>
      <c r="F2" t="s">
        <v>201</v>
      </c>
      <c r="G2" s="5" t="s">
        <v>606</v>
      </c>
    </row>
    <row r="3" spans="1:9" ht="19">
      <c r="A3">
        <v>2</v>
      </c>
      <c r="B3" s="14" t="s">
        <v>300</v>
      </c>
      <c r="C3" t="s">
        <v>271</v>
      </c>
      <c r="E3" t="s">
        <v>390</v>
      </c>
      <c r="F3" t="s">
        <v>201</v>
      </c>
      <c r="G3" s="5" t="s">
        <v>607</v>
      </c>
    </row>
    <row r="4" spans="1:9" ht="19" hidden="1">
      <c r="A4">
        <v>3</v>
      </c>
      <c r="B4" s="14" t="s">
        <v>301</v>
      </c>
      <c r="C4" t="s">
        <v>295</v>
      </c>
      <c r="E4" t="s">
        <v>391</v>
      </c>
      <c r="F4" t="s">
        <v>201</v>
      </c>
      <c r="G4" s="5" t="s">
        <v>608</v>
      </c>
    </row>
    <row r="5" spans="1:9" ht="19">
      <c r="A5">
        <v>4</v>
      </c>
      <c r="B5" s="14" t="s">
        <v>302</v>
      </c>
      <c r="C5" t="s">
        <v>271</v>
      </c>
      <c r="E5" t="s">
        <v>390</v>
      </c>
      <c r="F5" t="s">
        <v>201</v>
      </c>
      <c r="G5" s="5" t="s">
        <v>609</v>
      </c>
    </row>
    <row r="6" spans="1:9" ht="19">
      <c r="A6">
        <v>5</v>
      </c>
      <c r="B6" s="14" t="s">
        <v>303</v>
      </c>
      <c r="C6" t="s">
        <v>271</v>
      </c>
      <c r="E6" t="s">
        <v>390</v>
      </c>
      <c r="F6" t="s">
        <v>192</v>
      </c>
      <c r="G6" s="5" t="s">
        <v>610</v>
      </c>
    </row>
    <row r="7" spans="1:9" ht="19">
      <c r="A7">
        <v>6</v>
      </c>
      <c r="B7" s="14" t="s">
        <v>304</v>
      </c>
      <c r="C7" t="s">
        <v>268</v>
      </c>
      <c r="E7" t="s">
        <v>390</v>
      </c>
      <c r="F7" t="s">
        <v>192</v>
      </c>
      <c r="G7" s="5" t="s">
        <v>611</v>
      </c>
    </row>
    <row r="8" spans="1:9" ht="19">
      <c r="A8">
        <v>7</v>
      </c>
      <c r="B8" s="14" t="s">
        <v>305</v>
      </c>
      <c r="C8" t="s">
        <v>269</v>
      </c>
      <c r="E8" t="s">
        <v>390</v>
      </c>
      <c r="F8" t="s">
        <v>201</v>
      </c>
      <c r="G8" s="5" t="s">
        <v>612</v>
      </c>
    </row>
    <row r="9" spans="1:9" ht="19" hidden="1">
      <c r="A9">
        <v>8</v>
      </c>
      <c r="B9" s="14" t="s">
        <v>306</v>
      </c>
      <c r="C9" t="s">
        <v>295</v>
      </c>
      <c r="E9" t="s">
        <v>391</v>
      </c>
      <c r="F9" t="s">
        <v>201</v>
      </c>
      <c r="G9" s="5" t="s">
        <v>613</v>
      </c>
    </row>
    <row r="10" spans="1:9" ht="19" hidden="1">
      <c r="A10">
        <v>9</v>
      </c>
      <c r="B10" s="14" t="s">
        <v>307</v>
      </c>
      <c r="C10" t="s">
        <v>295</v>
      </c>
      <c r="E10" t="s">
        <v>391</v>
      </c>
      <c r="F10" t="s">
        <v>192</v>
      </c>
      <c r="G10" s="5" t="s">
        <v>614</v>
      </c>
    </row>
    <row r="11" spans="1:9" ht="19" hidden="1">
      <c r="A11">
        <v>10</v>
      </c>
      <c r="B11" s="14" t="s">
        <v>308</v>
      </c>
      <c r="C11" t="s">
        <v>295</v>
      </c>
      <c r="E11" t="s">
        <v>391</v>
      </c>
      <c r="F11" t="s">
        <v>192</v>
      </c>
      <c r="G11" s="5" t="s">
        <v>615</v>
      </c>
    </row>
    <row r="12" spans="1:9" ht="19" hidden="1">
      <c r="A12">
        <v>11</v>
      </c>
      <c r="B12" s="14" t="s">
        <v>309</v>
      </c>
      <c r="C12" t="s">
        <v>354</v>
      </c>
      <c r="E12" t="s">
        <v>391</v>
      </c>
      <c r="F12" t="s">
        <v>192</v>
      </c>
      <c r="G12" s="5" t="s">
        <v>616</v>
      </c>
    </row>
    <row r="13" spans="1:9" ht="19" hidden="1">
      <c r="A13">
        <v>12</v>
      </c>
      <c r="B13" s="14" t="s">
        <v>310</v>
      </c>
      <c r="C13" t="s">
        <v>295</v>
      </c>
      <c r="E13" t="s">
        <v>391</v>
      </c>
      <c r="F13" t="s">
        <v>192</v>
      </c>
      <c r="G13" s="5" t="s">
        <v>617</v>
      </c>
    </row>
    <row r="14" spans="1:9" ht="19" hidden="1">
      <c r="A14">
        <v>13</v>
      </c>
      <c r="B14" s="14" t="s">
        <v>311</v>
      </c>
      <c r="C14" t="s">
        <v>355</v>
      </c>
      <c r="E14" t="s">
        <v>391</v>
      </c>
      <c r="F14" t="s">
        <v>192</v>
      </c>
      <c r="G14" s="5" t="s">
        <v>618</v>
      </c>
    </row>
    <row r="15" spans="1:9" ht="19">
      <c r="A15">
        <v>14</v>
      </c>
      <c r="B15" s="14" t="s">
        <v>312</v>
      </c>
      <c r="C15" t="s">
        <v>271</v>
      </c>
      <c r="E15" t="s">
        <v>390</v>
      </c>
      <c r="F15" t="s">
        <v>201</v>
      </c>
      <c r="G15" s="5" t="s">
        <v>619</v>
      </c>
    </row>
    <row r="16" spans="1:9" ht="19" hidden="1">
      <c r="A16">
        <v>15</v>
      </c>
      <c r="B16" s="14" t="s">
        <v>313</v>
      </c>
      <c r="C16" t="s">
        <v>355</v>
      </c>
      <c r="E16" t="s">
        <v>391</v>
      </c>
      <c r="F16" t="s">
        <v>201</v>
      </c>
      <c r="G16" s="5" t="s">
        <v>620</v>
      </c>
    </row>
    <row r="17" spans="1:7" ht="19">
      <c r="A17">
        <v>16</v>
      </c>
      <c r="B17" s="14" t="s">
        <v>314</v>
      </c>
      <c r="C17" t="s">
        <v>270</v>
      </c>
      <c r="E17" t="s">
        <v>390</v>
      </c>
      <c r="F17" t="s">
        <v>192</v>
      </c>
      <c r="G17" s="5" t="s">
        <v>621</v>
      </c>
    </row>
    <row r="18" spans="1:7" ht="19">
      <c r="A18">
        <v>17</v>
      </c>
      <c r="B18" s="14" t="s">
        <v>315</v>
      </c>
      <c r="C18" t="s">
        <v>271</v>
      </c>
      <c r="E18" t="s">
        <v>390</v>
      </c>
      <c r="F18" t="s">
        <v>201</v>
      </c>
      <c r="G18" s="5" t="s">
        <v>622</v>
      </c>
    </row>
    <row r="19" spans="1:7" ht="19">
      <c r="A19">
        <v>18</v>
      </c>
      <c r="B19" s="14" t="s">
        <v>316</v>
      </c>
      <c r="C19" t="s">
        <v>271</v>
      </c>
      <c r="E19" t="s">
        <v>390</v>
      </c>
      <c r="F19" t="s">
        <v>201</v>
      </c>
      <c r="G19" s="5" t="s">
        <v>623</v>
      </c>
    </row>
    <row r="20" spans="1:7" ht="19">
      <c r="A20">
        <v>19</v>
      </c>
      <c r="B20" s="14" t="s">
        <v>317</v>
      </c>
      <c r="C20" t="s">
        <v>271</v>
      </c>
      <c r="E20" t="s">
        <v>390</v>
      </c>
      <c r="F20" t="s">
        <v>192</v>
      </c>
      <c r="G20" s="5" t="s">
        <v>624</v>
      </c>
    </row>
    <row r="21" spans="1:7" ht="19" hidden="1">
      <c r="A21">
        <v>20</v>
      </c>
      <c r="B21" s="14" t="s">
        <v>318</v>
      </c>
      <c r="C21" t="s">
        <v>295</v>
      </c>
      <c r="E21" t="s">
        <v>391</v>
      </c>
      <c r="F21" t="s">
        <v>192</v>
      </c>
      <c r="G21" s="5" t="s">
        <v>625</v>
      </c>
    </row>
    <row r="22" spans="1:7" ht="19" hidden="1">
      <c r="A22">
        <v>21</v>
      </c>
      <c r="B22" s="14" t="s">
        <v>319</v>
      </c>
      <c r="C22" t="s">
        <v>295</v>
      </c>
      <c r="E22" t="s">
        <v>391</v>
      </c>
      <c r="F22" t="s">
        <v>192</v>
      </c>
      <c r="G22" s="5" t="s">
        <v>626</v>
      </c>
    </row>
    <row r="23" spans="1:7" ht="19" hidden="1">
      <c r="A23">
        <v>22</v>
      </c>
      <c r="B23" s="14" t="s">
        <v>320</v>
      </c>
      <c r="C23" t="s">
        <v>295</v>
      </c>
      <c r="E23" t="s">
        <v>391</v>
      </c>
      <c r="F23" t="s">
        <v>192</v>
      </c>
      <c r="G23" s="5" t="s">
        <v>616</v>
      </c>
    </row>
    <row r="24" spans="1:7" ht="19" hidden="1">
      <c r="A24">
        <v>23</v>
      </c>
      <c r="B24" s="14" t="s">
        <v>321</v>
      </c>
      <c r="C24" t="s">
        <v>296</v>
      </c>
      <c r="E24" t="s">
        <v>391</v>
      </c>
      <c r="F24" t="s">
        <v>192</v>
      </c>
      <c r="G24" s="5" t="s">
        <v>627</v>
      </c>
    </row>
    <row r="25" spans="1:7" ht="19" hidden="1">
      <c r="A25">
        <v>24</v>
      </c>
      <c r="B25" s="14" t="s">
        <v>322</v>
      </c>
      <c r="C25" t="s">
        <v>296</v>
      </c>
      <c r="E25" t="s">
        <v>391</v>
      </c>
      <c r="F25" t="s">
        <v>192</v>
      </c>
      <c r="G25" s="5" t="s">
        <v>628</v>
      </c>
    </row>
    <row r="26" spans="1:7" ht="19" hidden="1">
      <c r="A26">
        <v>25</v>
      </c>
      <c r="B26" s="14" t="s">
        <v>323</v>
      </c>
      <c r="C26" t="s">
        <v>296</v>
      </c>
      <c r="E26" t="s">
        <v>391</v>
      </c>
      <c r="F26" t="s">
        <v>192</v>
      </c>
      <c r="G26" s="5" t="s">
        <v>628</v>
      </c>
    </row>
    <row r="27" spans="1:7" ht="19" hidden="1">
      <c r="A27">
        <v>26</v>
      </c>
      <c r="B27" s="14" t="s">
        <v>324</v>
      </c>
      <c r="C27" t="s">
        <v>296</v>
      </c>
      <c r="E27" t="s">
        <v>391</v>
      </c>
      <c r="F27" t="s">
        <v>192</v>
      </c>
      <c r="G27" s="5" t="s">
        <v>616</v>
      </c>
    </row>
    <row r="28" spans="1:7" ht="19" hidden="1">
      <c r="A28">
        <v>27</v>
      </c>
      <c r="B28" s="14" t="s">
        <v>325</v>
      </c>
      <c r="C28" t="s">
        <v>296</v>
      </c>
      <c r="E28" t="s">
        <v>391</v>
      </c>
      <c r="F28" t="s">
        <v>192</v>
      </c>
      <c r="G28" s="5" t="s">
        <v>616</v>
      </c>
    </row>
    <row r="29" spans="1:7" ht="19" hidden="1">
      <c r="A29">
        <v>28</v>
      </c>
      <c r="B29" s="14" t="s">
        <v>326</v>
      </c>
      <c r="C29" t="s">
        <v>296</v>
      </c>
      <c r="E29" t="s">
        <v>391</v>
      </c>
      <c r="F29" t="s">
        <v>192</v>
      </c>
      <c r="G29" s="5" t="s">
        <v>628</v>
      </c>
    </row>
    <row r="30" spans="1:7" ht="19">
      <c r="A30">
        <v>29</v>
      </c>
      <c r="B30" s="14" t="s">
        <v>327</v>
      </c>
      <c r="C30" t="s">
        <v>271</v>
      </c>
      <c r="E30" t="s">
        <v>390</v>
      </c>
      <c r="F30" t="s">
        <v>192</v>
      </c>
      <c r="G30" s="5" t="s">
        <v>629</v>
      </c>
    </row>
    <row r="31" spans="1:7" ht="19">
      <c r="A31">
        <v>30</v>
      </c>
      <c r="B31" s="14" t="s">
        <v>328</v>
      </c>
      <c r="C31" t="s">
        <v>270</v>
      </c>
      <c r="E31" t="s">
        <v>390</v>
      </c>
      <c r="F31" t="s">
        <v>201</v>
      </c>
      <c r="G31" s="5" t="s">
        <v>623</v>
      </c>
    </row>
    <row r="32" spans="1:7" ht="19">
      <c r="A32">
        <v>31</v>
      </c>
      <c r="B32" s="14" t="s">
        <v>329</v>
      </c>
      <c r="C32" t="s">
        <v>269</v>
      </c>
      <c r="E32" t="s">
        <v>390</v>
      </c>
      <c r="F32" t="s">
        <v>201</v>
      </c>
      <c r="G32" s="5" t="s">
        <v>623</v>
      </c>
    </row>
    <row r="33" spans="1:7" ht="19">
      <c r="A33">
        <v>32</v>
      </c>
      <c r="B33" s="14" t="s">
        <v>330</v>
      </c>
      <c r="C33" t="s">
        <v>269</v>
      </c>
      <c r="E33" t="s">
        <v>390</v>
      </c>
      <c r="F33" t="s">
        <v>201</v>
      </c>
      <c r="G33" s="5" t="s">
        <v>620</v>
      </c>
    </row>
    <row r="34" spans="1:7" ht="19">
      <c r="A34">
        <v>33</v>
      </c>
      <c r="B34" s="14" t="s">
        <v>331</v>
      </c>
      <c r="C34" t="s">
        <v>271</v>
      </c>
      <c r="E34" t="s">
        <v>390</v>
      </c>
      <c r="F34" t="s">
        <v>201</v>
      </c>
      <c r="G34" s="5" t="s">
        <v>620</v>
      </c>
    </row>
    <row r="35" spans="1:7" ht="19" hidden="1">
      <c r="A35">
        <v>34</v>
      </c>
      <c r="B35" s="14" t="s">
        <v>332</v>
      </c>
      <c r="C35" t="s">
        <v>295</v>
      </c>
      <c r="E35" t="s">
        <v>391</v>
      </c>
      <c r="F35" t="s">
        <v>201</v>
      </c>
      <c r="G35" s="5" t="s">
        <v>630</v>
      </c>
    </row>
    <row r="36" spans="1:7" ht="19">
      <c r="A36">
        <v>35</v>
      </c>
      <c r="B36" s="14" t="s">
        <v>333</v>
      </c>
      <c r="C36" t="s">
        <v>269</v>
      </c>
      <c r="E36" t="s">
        <v>390</v>
      </c>
      <c r="F36" t="s">
        <v>201</v>
      </c>
      <c r="G36" s="5" t="s">
        <v>631</v>
      </c>
    </row>
    <row r="37" spans="1:7" ht="19" hidden="1">
      <c r="A37">
        <v>36</v>
      </c>
      <c r="B37" s="14" t="s">
        <v>334</v>
      </c>
      <c r="C37" t="s">
        <v>296</v>
      </c>
      <c r="E37" t="s">
        <v>391</v>
      </c>
      <c r="F37" t="s">
        <v>192</v>
      </c>
      <c r="G37" s="5" t="s">
        <v>632</v>
      </c>
    </row>
    <row r="38" spans="1:7" ht="19" hidden="1">
      <c r="A38">
        <v>37</v>
      </c>
      <c r="B38" s="14" t="s">
        <v>335</v>
      </c>
      <c r="C38" t="s">
        <v>355</v>
      </c>
      <c r="E38" t="s">
        <v>391</v>
      </c>
      <c r="F38" t="s">
        <v>192</v>
      </c>
      <c r="G38" s="5" t="s">
        <v>633</v>
      </c>
    </row>
    <row r="39" spans="1:7" ht="19">
      <c r="A39">
        <v>38</v>
      </c>
      <c r="B39" s="14" t="s">
        <v>336</v>
      </c>
      <c r="C39" t="s">
        <v>268</v>
      </c>
      <c r="E39" t="s">
        <v>390</v>
      </c>
      <c r="F39" t="s">
        <v>201</v>
      </c>
      <c r="G39" s="5" t="s">
        <v>634</v>
      </c>
    </row>
    <row r="40" spans="1:7" ht="19" hidden="1">
      <c r="A40">
        <v>39</v>
      </c>
      <c r="B40" s="14" t="s">
        <v>337</v>
      </c>
      <c r="C40" t="s">
        <v>296</v>
      </c>
      <c r="E40" t="s">
        <v>391</v>
      </c>
      <c r="F40" t="s">
        <v>192</v>
      </c>
      <c r="G40" s="5" t="s">
        <v>635</v>
      </c>
    </row>
    <row r="41" spans="1:7" ht="19" hidden="1">
      <c r="A41">
        <v>40</v>
      </c>
      <c r="B41" s="14" t="s">
        <v>338</v>
      </c>
      <c r="C41" t="s">
        <v>296</v>
      </c>
      <c r="E41" t="s">
        <v>391</v>
      </c>
      <c r="F41" t="s">
        <v>192</v>
      </c>
      <c r="G41" s="5" t="s">
        <v>636</v>
      </c>
    </row>
    <row r="42" spans="1:7" ht="19">
      <c r="A42">
        <v>41</v>
      </c>
      <c r="B42" s="14" t="s">
        <v>339</v>
      </c>
      <c r="C42" t="s">
        <v>271</v>
      </c>
      <c r="E42" t="s">
        <v>390</v>
      </c>
      <c r="F42" t="s">
        <v>201</v>
      </c>
      <c r="G42" s="5" t="s">
        <v>637</v>
      </c>
    </row>
    <row r="43" spans="1:7" ht="19" hidden="1">
      <c r="A43">
        <v>42</v>
      </c>
      <c r="B43" s="14" t="s">
        <v>340</v>
      </c>
      <c r="C43" t="s">
        <v>296</v>
      </c>
      <c r="E43" t="s">
        <v>391</v>
      </c>
      <c r="F43" t="s">
        <v>192</v>
      </c>
      <c r="G43" s="5" t="s">
        <v>638</v>
      </c>
    </row>
    <row r="44" spans="1:7" ht="19" hidden="1">
      <c r="A44">
        <v>43</v>
      </c>
      <c r="B44" s="14" t="s">
        <v>341</v>
      </c>
      <c r="C44" t="s">
        <v>295</v>
      </c>
      <c r="E44" t="s">
        <v>391</v>
      </c>
      <c r="F44" t="s">
        <v>192</v>
      </c>
      <c r="G44" s="5" t="s">
        <v>639</v>
      </c>
    </row>
    <row r="45" spans="1:7" ht="19">
      <c r="A45">
        <v>44</v>
      </c>
      <c r="B45" s="14" t="s">
        <v>342</v>
      </c>
      <c r="C45" t="s">
        <v>269</v>
      </c>
      <c r="E45" t="s">
        <v>390</v>
      </c>
      <c r="F45" t="s">
        <v>201</v>
      </c>
      <c r="G45" s="5" t="s">
        <v>640</v>
      </c>
    </row>
    <row r="46" spans="1:7" ht="19" hidden="1">
      <c r="A46">
        <v>45</v>
      </c>
      <c r="B46" s="14" t="s">
        <v>343</v>
      </c>
      <c r="C46" t="s">
        <v>296</v>
      </c>
      <c r="E46" t="s">
        <v>391</v>
      </c>
      <c r="F46" t="s">
        <v>192</v>
      </c>
      <c r="G46" s="5" t="s">
        <v>641</v>
      </c>
    </row>
    <row r="47" spans="1:7" ht="19" hidden="1">
      <c r="A47">
        <v>46</v>
      </c>
      <c r="B47" s="14" t="s">
        <v>344</v>
      </c>
      <c r="C47" t="s">
        <v>295</v>
      </c>
      <c r="E47" t="s">
        <v>391</v>
      </c>
      <c r="F47" t="s">
        <v>192</v>
      </c>
      <c r="G47" s="5" t="s">
        <v>642</v>
      </c>
    </row>
    <row r="48" spans="1:7" ht="19" hidden="1">
      <c r="A48">
        <v>47</v>
      </c>
      <c r="B48" s="14" t="s">
        <v>345</v>
      </c>
      <c r="C48" t="s">
        <v>296</v>
      </c>
      <c r="E48" t="s">
        <v>391</v>
      </c>
      <c r="F48" t="s">
        <v>192</v>
      </c>
      <c r="G48" s="5" t="s">
        <v>643</v>
      </c>
    </row>
    <row r="49" spans="1:7" ht="19" hidden="1">
      <c r="A49">
        <v>48</v>
      </c>
      <c r="B49" s="14" t="s">
        <v>346</v>
      </c>
      <c r="C49" t="s">
        <v>296</v>
      </c>
      <c r="E49" t="s">
        <v>391</v>
      </c>
      <c r="F49" t="s">
        <v>192</v>
      </c>
      <c r="G49" s="5" t="s">
        <v>644</v>
      </c>
    </row>
    <row r="50" spans="1:7" ht="19" hidden="1">
      <c r="A50">
        <v>49</v>
      </c>
      <c r="B50" s="14" t="s">
        <v>347</v>
      </c>
      <c r="C50" t="s">
        <v>295</v>
      </c>
      <c r="E50" t="s">
        <v>391</v>
      </c>
      <c r="F50" t="s">
        <v>192</v>
      </c>
      <c r="G50" s="5" t="s">
        <v>645</v>
      </c>
    </row>
    <row r="51" spans="1:7" ht="19">
      <c r="A51">
        <v>50</v>
      </c>
      <c r="B51" s="14" t="s">
        <v>348</v>
      </c>
      <c r="C51" t="s">
        <v>268</v>
      </c>
      <c r="E51" t="s">
        <v>390</v>
      </c>
      <c r="F51" t="s">
        <v>201</v>
      </c>
      <c r="G51" s="5" t="s">
        <v>646</v>
      </c>
    </row>
    <row r="52" spans="1:7" ht="19">
      <c r="A52">
        <v>51</v>
      </c>
      <c r="B52" s="14" t="s">
        <v>349</v>
      </c>
      <c r="C52" t="s">
        <v>271</v>
      </c>
      <c r="E52" t="s">
        <v>390</v>
      </c>
      <c r="F52" t="s">
        <v>201</v>
      </c>
      <c r="G52" s="5" t="s">
        <v>647</v>
      </c>
    </row>
    <row r="53" spans="1:7" ht="19">
      <c r="A53">
        <v>52</v>
      </c>
      <c r="B53" s="14" t="s">
        <v>350</v>
      </c>
      <c r="C53" t="s">
        <v>271</v>
      </c>
      <c r="E53" t="s">
        <v>390</v>
      </c>
      <c r="F53" t="s">
        <v>201</v>
      </c>
      <c r="G53" s="5" t="s">
        <v>648</v>
      </c>
    </row>
    <row r="54" spans="1:7" ht="19">
      <c r="A54">
        <v>53</v>
      </c>
      <c r="B54" s="14" t="s">
        <v>351</v>
      </c>
      <c r="E54" t="s">
        <v>390</v>
      </c>
      <c r="F54" t="s">
        <v>192</v>
      </c>
      <c r="G54" s="5" t="s">
        <v>649</v>
      </c>
    </row>
    <row r="55" spans="1:7" ht="19">
      <c r="A55">
        <v>54</v>
      </c>
      <c r="B55" s="14" t="s">
        <v>352</v>
      </c>
      <c r="E55" t="s">
        <v>390</v>
      </c>
      <c r="F55" t="s">
        <v>201</v>
      </c>
      <c r="G55" s="5" t="s">
        <v>650</v>
      </c>
    </row>
    <row r="56" spans="1:7" ht="19">
      <c r="A56">
        <v>55</v>
      </c>
      <c r="B56" s="14" t="s">
        <v>353</v>
      </c>
      <c r="E56" t="s">
        <v>390</v>
      </c>
      <c r="F56" t="s">
        <v>201</v>
      </c>
      <c r="G56" s="5" t="s">
        <v>651</v>
      </c>
    </row>
  </sheetData>
  <autoFilter ref="A1:I56" xr:uid="{3B806E74-F49E-204F-88DB-37CA4C4E2951}">
    <filterColumn colId="4">
      <filters>
        <filter val="no"/>
      </filters>
    </filterColumn>
  </autoFilter>
  <phoneticPr fontId="1" type="noConversion"/>
  <conditionalFormatting sqref="E1:E1048576">
    <cfRule type="cellIs" dxfId="26" priority="2" operator="equal">
      <formula>"no"</formula>
    </cfRule>
    <cfRule type="cellIs" dxfId="25" priority="3" operator="equal">
      <formula>"yes"</formula>
    </cfRule>
  </conditionalFormatting>
  <conditionalFormatting sqref="F2:F142">
    <cfRule type="expression" dxfId="24" priority="1">
      <formula>F2&lt;&gt;E2</formula>
    </cfRule>
  </conditionalFormatting>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7B36A-1D2B-1C44-A857-A9414C502CDD}">
  <sheetPr codeName="工作表13" filterMode="1"/>
  <dimension ref="A1:I56"/>
  <sheetViews>
    <sheetView topLeftCell="B1" workbookViewId="0">
      <selection activeCell="H52" sqref="A1:I56"/>
    </sheetView>
  </sheetViews>
  <sheetFormatPr baseColWidth="10" defaultRowHeight="15"/>
  <cols>
    <col min="2" max="2" width="12" style="5" customWidth="1"/>
    <col min="3" max="3" width="5.1640625" customWidth="1"/>
    <col min="5" max="6" width="11.33203125" customWidth="1"/>
    <col min="7" max="7" width="10.83203125" style="5"/>
  </cols>
  <sheetData>
    <row r="1" spans="1:9">
      <c r="A1" t="s">
        <v>88</v>
      </c>
      <c r="B1" s="5" t="s">
        <v>0</v>
      </c>
      <c r="C1" s="2" t="s">
        <v>202</v>
      </c>
      <c r="D1" t="s">
        <v>6</v>
      </c>
      <c r="E1" t="s">
        <v>1</v>
      </c>
      <c r="F1" t="s">
        <v>500</v>
      </c>
      <c r="G1" s="5" t="s">
        <v>2</v>
      </c>
      <c r="H1" t="s">
        <v>5</v>
      </c>
      <c r="I1" t="s">
        <v>3</v>
      </c>
    </row>
    <row r="2" spans="1:9" ht="19">
      <c r="A2">
        <v>1</v>
      </c>
      <c r="B2" s="14" t="s">
        <v>299</v>
      </c>
      <c r="C2" t="s">
        <v>271</v>
      </c>
      <c r="E2" t="s">
        <v>390</v>
      </c>
      <c r="F2" t="s">
        <v>201</v>
      </c>
      <c r="G2" s="5" t="s">
        <v>795</v>
      </c>
    </row>
    <row r="3" spans="1:9" ht="19">
      <c r="A3">
        <v>2</v>
      </c>
      <c r="B3" s="14" t="s">
        <v>300</v>
      </c>
      <c r="C3" t="s">
        <v>271</v>
      </c>
      <c r="E3" t="s">
        <v>390</v>
      </c>
      <c r="F3" t="s">
        <v>192</v>
      </c>
      <c r="G3" s="5" t="s">
        <v>796</v>
      </c>
    </row>
    <row r="4" spans="1:9" ht="19" hidden="1">
      <c r="A4">
        <v>3</v>
      </c>
      <c r="B4" s="14" t="s">
        <v>301</v>
      </c>
      <c r="C4" t="s">
        <v>295</v>
      </c>
      <c r="E4" t="s">
        <v>391</v>
      </c>
      <c r="F4" t="s">
        <v>201</v>
      </c>
      <c r="G4" s="5" t="s">
        <v>797</v>
      </c>
    </row>
    <row r="5" spans="1:9" ht="19">
      <c r="A5">
        <v>4</v>
      </c>
      <c r="B5" s="14" t="s">
        <v>302</v>
      </c>
      <c r="C5" t="s">
        <v>271</v>
      </c>
      <c r="E5" t="s">
        <v>390</v>
      </c>
      <c r="F5" t="s">
        <v>201</v>
      </c>
      <c r="G5" s="5" t="s">
        <v>797</v>
      </c>
    </row>
    <row r="6" spans="1:9" ht="19">
      <c r="A6">
        <v>5</v>
      </c>
      <c r="B6" s="14" t="s">
        <v>303</v>
      </c>
      <c r="C6" t="s">
        <v>271</v>
      </c>
      <c r="E6" t="s">
        <v>390</v>
      </c>
      <c r="F6" t="s">
        <v>201</v>
      </c>
      <c r="G6" s="5" t="s">
        <v>798</v>
      </c>
    </row>
    <row r="7" spans="1:9" ht="19">
      <c r="A7">
        <v>6</v>
      </c>
      <c r="B7" s="14" t="s">
        <v>304</v>
      </c>
      <c r="C7" t="s">
        <v>268</v>
      </c>
      <c r="E7" t="s">
        <v>390</v>
      </c>
      <c r="F7" t="s">
        <v>201</v>
      </c>
      <c r="G7" s="5" t="s">
        <v>799</v>
      </c>
    </row>
    <row r="8" spans="1:9" ht="19">
      <c r="A8">
        <v>7</v>
      </c>
      <c r="B8" s="14" t="s">
        <v>305</v>
      </c>
      <c r="C8" t="s">
        <v>269</v>
      </c>
      <c r="E8" t="s">
        <v>390</v>
      </c>
      <c r="F8" t="s">
        <v>201</v>
      </c>
      <c r="G8" s="5" t="s">
        <v>800</v>
      </c>
    </row>
    <row r="9" spans="1:9" ht="19" hidden="1">
      <c r="A9">
        <v>8</v>
      </c>
      <c r="B9" s="14" t="s">
        <v>306</v>
      </c>
      <c r="C9" t="s">
        <v>295</v>
      </c>
      <c r="E9" t="s">
        <v>391</v>
      </c>
      <c r="F9" t="s">
        <v>192</v>
      </c>
      <c r="G9" s="5" t="s">
        <v>801</v>
      </c>
    </row>
    <row r="10" spans="1:9" ht="19" hidden="1">
      <c r="A10">
        <v>9</v>
      </c>
      <c r="B10" s="14" t="s">
        <v>307</v>
      </c>
      <c r="C10" t="s">
        <v>295</v>
      </c>
      <c r="E10" t="s">
        <v>391</v>
      </c>
      <c r="F10" t="s">
        <v>192</v>
      </c>
      <c r="G10" s="5" t="s">
        <v>802</v>
      </c>
    </row>
    <row r="11" spans="1:9" ht="19" hidden="1">
      <c r="A11">
        <v>10</v>
      </c>
      <c r="B11" s="14" t="s">
        <v>308</v>
      </c>
      <c r="C11" t="s">
        <v>295</v>
      </c>
      <c r="E11" t="s">
        <v>391</v>
      </c>
      <c r="F11" t="s">
        <v>201</v>
      </c>
      <c r="G11" s="5" t="s">
        <v>803</v>
      </c>
    </row>
    <row r="12" spans="1:9" ht="19" hidden="1">
      <c r="A12">
        <v>11</v>
      </c>
      <c r="B12" s="14" t="s">
        <v>309</v>
      </c>
      <c r="C12" t="s">
        <v>354</v>
      </c>
      <c r="E12" t="s">
        <v>391</v>
      </c>
      <c r="F12" t="s">
        <v>192</v>
      </c>
      <c r="G12" s="5" t="s">
        <v>804</v>
      </c>
    </row>
    <row r="13" spans="1:9" ht="19" hidden="1">
      <c r="A13">
        <v>12</v>
      </c>
      <c r="B13" s="14" t="s">
        <v>310</v>
      </c>
      <c r="C13" t="s">
        <v>295</v>
      </c>
      <c r="E13" t="s">
        <v>391</v>
      </c>
      <c r="F13" t="s">
        <v>201</v>
      </c>
      <c r="G13" s="5" t="s">
        <v>805</v>
      </c>
    </row>
    <row r="14" spans="1:9" ht="19" hidden="1">
      <c r="A14">
        <v>13</v>
      </c>
      <c r="B14" s="14" t="s">
        <v>311</v>
      </c>
      <c r="C14" t="s">
        <v>355</v>
      </c>
      <c r="E14" t="s">
        <v>391</v>
      </c>
      <c r="F14" t="s">
        <v>201</v>
      </c>
      <c r="G14" s="5" t="s">
        <v>806</v>
      </c>
    </row>
    <row r="15" spans="1:9" ht="19">
      <c r="A15">
        <v>14</v>
      </c>
      <c r="B15" s="14" t="s">
        <v>312</v>
      </c>
      <c r="C15" t="s">
        <v>271</v>
      </c>
      <c r="E15" t="s">
        <v>390</v>
      </c>
      <c r="F15" t="s">
        <v>201</v>
      </c>
      <c r="G15" s="5" t="s">
        <v>807</v>
      </c>
    </row>
    <row r="16" spans="1:9" ht="19" hidden="1">
      <c r="A16">
        <v>15</v>
      </c>
      <c r="B16" s="14" t="s">
        <v>313</v>
      </c>
      <c r="C16" t="s">
        <v>355</v>
      </c>
      <c r="E16" t="s">
        <v>391</v>
      </c>
      <c r="F16" t="s">
        <v>201</v>
      </c>
      <c r="G16" s="5" t="s">
        <v>800</v>
      </c>
    </row>
    <row r="17" spans="1:7" ht="19">
      <c r="A17">
        <v>16</v>
      </c>
      <c r="B17" s="14" t="s">
        <v>314</v>
      </c>
      <c r="C17" t="s">
        <v>270</v>
      </c>
      <c r="E17" t="s">
        <v>390</v>
      </c>
      <c r="F17" t="s">
        <v>192</v>
      </c>
      <c r="G17" s="5" t="s">
        <v>808</v>
      </c>
    </row>
    <row r="18" spans="1:7" ht="19">
      <c r="A18">
        <v>17</v>
      </c>
      <c r="B18" s="14" t="s">
        <v>315</v>
      </c>
      <c r="C18" t="s">
        <v>271</v>
      </c>
      <c r="E18" t="s">
        <v>390</v>
      </c>
      <c r="F18" t="s">
        <v>201</v>
      </c>
      <c r="G18" s="5" t="s">
        <v>809</v>
      </c>
    </row>
    <row r="19" spans="1:7" ht="19">
      <c r="A19">
        <v>18</v>
      </c>
      <c r="B19" s="14" t="s">
        <v>316</v>
      </c>
      <c r="C19" t="s">
        <v>271</v>
      </c>
      <c r="E19" t="s">
        <v>390</v>
      </c>
      <c r="F19" t="s">
        <v>201</v>
      </c>
      <c r="G19" s="5" t="s">
        <v>800</v>
      </c>
    </row>
    <row r="20" spans="1:7" ht="19">
      <c r="A20">
        <v>19</v>
      </c>
      <c r="B20" s="14" t="s">
        <v>317</v>
      </c>
      <c r="C20" t="s">
        <v>271</v>
      </c>
      <c r="E20" t="s">
        <v>390</v>
      </c>
      <c r="F20" t="s">
        <v>201</v>
      </c>
      <c r="G20" s="5" t="s">
        <v>810</v>
      </c>
    </row>
    <row r="21" spans="1:7" ht="19" hidden="1">
      <c r="A21">
        <v>20</v>
      </c>
      <c r="B21" s="14" t="s">
        <v>318</v>
      </c>
      <c r="C21" t="s">
        <v>295</v>
      </c>
      <c r="E21" t="s">
        <v>391</v>
      </c>
      <c r="F21" t="s">
        <v>192</v>
      </c>
      <c r="G21" s="5" t="s">
        <v>811</v>
      </c>
    </row>
    <row r="22" spans="1:7" ht="19" hidden="1">
      <c r="A22">
        <v>21</v>
      </c>
      <c r="B22" s="14" t="s">
        <v>319</v>
      </c>
      <c r="C22" t="s">
        <v>295</v>
      </c>
      <c r="E22" t="s">
        <v>391</v>
      </c>
      <c r="F22" t="s">
        <v>192</v>
      </c>
      <c r="G22" s="5" t="s">
        <v>812</v>
      </c>
    </row>
    <row r="23" spans="1:7" ht="19" hidden="1">
      <c r="A23">
        <v>22</v>
      </c>
      <c r="B23" s="14" t="s">
        <v>320</v>
      </c>
      <c r="C23" t="s">
        <v>295</v>
      </c>
      <c r="E23" t="s">
        <v>391</v>
      </c>
      <c r="F23" t="s">
        <v>192</v>
      </c>
      <c r="G23" s="5" t="s">
        <v>813</v>
      </c>
    </row>
    <row r="24" spans="1:7" ht="19" hidden="1">
      <c r="A24">
        <v>23</v>
      </c>
      <c r="B24" s="14" t="s">
        <v>321</v>
      </c>
      <c r="C24" t="s">
        <v>296</v>
      </c>
      <c r="E24" t="s">
        <v>391</v>
      </c>
      <c r="F24" t="s">
        <v>201</v>
      </c>
      <c r="G24" s="5" t="s">
        <v>818</v>
      </c>
    </row>
    <row r="25" spans="1:7" ht="19" hidden="1">
      <c r="A25">
        <v>24</v>
      </c>
      <c r="B25" s="14" t="s">
        <v>322</v>
      </c>
      <c r="C25" t="s">
        <v>296</v>
      </c>
      <c r="E25" t="s">
        <v>391</v>
      </c>
      <c r="F25" t="s">
        <v>192</v>
      </c>
      <c r="G25" s="5" t="s">
        <v>814</v>
      </c>
    </row>
    <row r="26" spans="1:7" ht="19" hidden="1">
      <c r="A26">
        <v>25</v>
      </c>
      <c r="B26" s="14" t="s">
        <v>323</v>
      </c>
      <c r="C26" t="s">
        <v>296</v>
      </c>
      <c r="E26" t="s">
        <v>391</v>
      </c>
      <c r="F26" t="s">
        <v>192</v>
      </c>
      <c r="G26" s="5" t="s">
        <v>814</v>
      </c>
    </row>
    <row r="27" spans="1:7" ht="19" hidden="1">
      <c r="A27">
        <v>26</v>
      </c>
      <c r="B27" s="14" t="s">
        <v>324</v>
      </c>
      <c r="C27" t="s">
        <v>296</v>
      </c>
      <c r="E27" t="s">
        <v>391</v>
      </c>
      <c r="F27" t="s">
        <v>192</v>
      </c>
      <c r="G27" s="5" t="s">
        <v>815</v>
      </c>
    </row>
    <row r="28" spans="1:7" ht="19" hidden="1">
      <c r="A28">
        <v>27</v>
      </c>
      <c r="B28" s="14" t="s">
        <v>325</v>
      </c>
      <c r="C28" t="s">
        <v>296</v>
      </c>
      <c r="E28" t="s">
        <v>391</v>
      </c>
      <c r="F28" t="s">
        <v>192</v>
      </c>
      <c r="G28" s="5" t="s">
        <v>816</v>
      </c>
    </row>
    <row r="29" spans="1:7" ht="19" hidden="1">
      <c r="A29">
        <v>28</v>
      </c>
      <c r="B29" s="14" t="s">
        <v>326</v>
      </c>
      <c r="C29" t="s">
        <v>296</v>
      </c>
      <c r="E29" t="s">
        <v>391</v>
      </c>
      <c r="F29" t="s">
        <v>192</v>
      </c>
      <c r="G29" s="5" t="s">
        <v>817</v>
      </c>
    </row>
    <row r="30" spans="1:7" ht="19">
      <c r="A30">
        <v>29</v>
      </c>
      <c r="B30" s="14" t="s">
        <v>327</v>
      </c>
      <c r="C30" t="s">
        <v>271</v>
      </c>
      <c r="E30" t="s">
        <v>390</v>
      </c>
      <c r="F30" t="s">
        <v>192</v>
      </c>
      <c r="G30" s="5" t="s">
        <v>819</v>
      </c>
    </row>
    <row r="31" spans="1:7" ht="19">
      <c r="A31">
        <v>30</v>
      </c>
      <c r="B31" s="14" t="s">
        <v>328</v>
      </c>
      <c r="C31" t="s">
        <v>270</v>
      </c>
      <c r="E31" t="s">
        <v>390</v>
      </c>
      <c r="F31" t="s">
        <v>192</v>
      </c>
      <c r="G31" s="5" t="s">
        <v>820</v>
      </c>
    </row>
    <row r="32" spans="1:7" ht="19">
      <c r="A32">
        <v>31</v>
      </c>
      <c r="B32" s="14" t="s">
        <v>329</v>
      </c>
      <c r="C32" t="s">
        <v>269</v>
      </c>
      <c r="E32" t="s">
        <v>390</v>
      </c>
      <c r="F32" t="s">
        <v>201</v>
      </c>
      <c r="G32" s="5" t="s">
        <v>821</v>
      </c>
    </row>
    <row r="33" spans="1:7" ht="19">
      <c r="A33">
        <v>32</v>
      </c>
      <c r="B33" s="14" t="s">
        <v>330</v>
      </c>
      <c r="C33" t="s">
        <v>269</v>
      </c>
      <c r="E33" t="s">
        <v>390</v>
      </c>
      <c r="F33" t="s">
        <v>201</v>
      </c>
      <c r="G33" s="5" t="s">
        <v>822</v>
      </c>
    </row>
    <row r="34" spans="1:7" ht="19">
      <c r="A34">
        <v>33</v>
      </c>
      <c r="B34" s="14" t="s">
        <v>331</v>
      </c>
      <c r="C34" t="s">
        <v>271</v>
      </c>
      <c r="E34" t="s">
        <v>390</v>
      </c>
      <c r="F34" t="s">
        <v>201</v>
      </c>
      <c r="G34" s="5" t="s">
        <v>823</v>
      </c>
    </row>
    <row r="35" spans="1:7" ht="19" hidden="1">
      <c r="A35">
        <v>34</v>
      </c>
      <c r="B35" s="14" t="s">
        <v>332</v>
      </c>
      <c r="C35" t="s">
        <v>295</v>
      </c>
      <c r="E35" t="s">
        <v>391</v>
      </c>
      <c r="F35" t="s">
        <v>201</v>
      </c>
      <c r="G35" s="5" t="s">
        <v>821</v>
      </c>
    </row>
    <row r="36" spans="1:7" ht="19">
      <c r="A36">
        <v>35</v>
      </c>
      <c r="B36" s="14" t="s">
        <v>333</v>
      </c>
      <c r="C36" t="s">
        <v>269</v>
      </c>
      <c r="E36" t="s">
        <v>390</v>
      </c>
      <c r="F36" t="s">
        <v>201</v>
      </c>
      <c r="G36" s="5" t="s">
        <v>824</v>
      </c>
    </row>
    <row r="37" spans="1:7" ht="19" hidden="1">
      <c r="A37">
        <v>36</v>
      </c>
      <c r="B37" s="14" t="s">
        <v>334</v>
      </c>
      <c r="C37" t="s">
        <v>296</v>
      </c>
      <c r="E37" t="s">
        <v>391</v>
      </c>
      <c r="F37" t="s">
        <v>192</v>
      </c>
      <c r="G37" s="5" t="s">
        <v>825</v>
      </c>
    </row>
    <row r="38" spans="1:7" ht="19" hidden="1">
      <c r="A38">
        <v>37</v>
      </c>
      <c r="B38" s="14" t="s">
        <v>335</v>
      </c>
      <c r="C38" t="s">
        <v>355</v>
      </c>
      <c r="E38" t="s">
        <v>391</v>
      </c>
      <c r="F38" t="s">
        <v>192</v>
      </c>
      <c r="G38" s="5" t="s">
        <v>826</v>
      </c>
    </row>
    <row r="39" spans="1:7" ht="19">
      <c r="A39">
        <v>38</v>
      </c>
      <c r="B39" s="14" t="s">
        <v>336</v>
      </c>
      <c r="C39" t="s">
        <v>268</v>
      </c>
      <c r="E39" t="s">
        <v>390</v>
      </c>
      <c r="F39" t="s">
        <v>192</v>
      </c>
      <c r="G39" s="5" t="s">
        <v>827</v>
      </c>
    </row>
    <row r="40" spans="1:7" ht="19" hidden="1">
      <c r="A40">
        <v>39</v>
      </c>
      <c r="B40" s="14" t="s">
        <v>337</v>
      </c>
      <c r="C40" t="s">
        <v>296</v>
      </c>
      <c r="E40" t="s">
        <v>391</v>
      </c>
      <c r="F40" t="s">
        <v>192</v>
      </c>
      <c r="G40" s="5" t="s">
        <v>828</v>
      </c>
    </row>
    <row r="41" spans="1:7" ht="19" hidden="1">
      <c r="A41">
        <v>40</v>
      </c>
      <c r="B41" s="14" t="s">
        <v>338</v>
      </c>
      <c r="C41" t="s">
        <v>296</v>
      </c>
      <c r="E41" t="s">
        <v>391</v>
      </c>
      <c r="F41" t="s">
        <v>192</v>
      </c>
      <c r="G41" s="5" t="s">
        <v>829</v>
      </c>
    </row>
    <row r="42" spans="1:7" ht="19">
      <c r="A42">
        <v>41</v>
      </c>
      <c r="B42" s="14" t="s">
        <v>339</v>
      </c>
      <c r="C42" t="s">
        <v>271</v>
      </c>
      <c r="E42" t="s">
        <v>390</v>
      </c>
      <c r="F42" t="s">
        <v>201</v>
      </c>
      <c r="G42" s="5" t="s">
        <v>830</v>
      </c>
    </row>
    <row r="43" spans="1:7" ht="19" hidden="1">
      <c r="A43">
        <v>42</v>
      </c>
      <c r="B43" s="14" t="s">
        <v>340</v>
      </c>
      <c r="C43" t="s">
        <v>296</v>
      </c>
      <c r="E43" t="s">
        <v>391</v>
      </c>
      <c r="F43" t="s">
        <v>192</v>
      </c>
      <c r="G43" s="5" t="s">
        <v>831</v>
      </c>
    </row>
    <row r="44" spans="1:7" ht="19" hidden="1">
      <c r="A44">
        <v>43</v>
      </c>
      <c r="B44" s="14" t="s">
        <v>341</v>
      </c>
      <c r="C44" t="s">
        <v>295</v>
      </c>
      <c r="E44" t="s">
        <v>391</v>
      </c>
      <c r="F44" t="s">
        <v>192</v>
      </c>
      <c r="G44" s="5" t="s">
        <v>832</v>
      </c>
    </row>
    <row r="45" spans="1:7" ht="19">
      <c r="A45">
        <v>44</v>
      </c>
      <c r="B45" s="14" t="s">
        <v>342</v>
      </c>
      <c r="C45" t="s">
        <v>269</v>
      </c>
      <c r="E45" t="s">
        <v>390</v>
      </c>
      <c r="F45" t="s">
        <v>201</v>
      </c>
      <c r="G45" s="5" t="s">
        <v>833</v>
      </c>
    </row>
    <row r="46" spans="1:7" ht="19" hidden="1">
      <c r="A46">
        <v>45</v>
      </c>
      <c r="B46" s="14" t="s">
        <v>343</v>
      </c>
      <c r="C46" t="s">
        <v>296</v>
      </c>
      <c r="E46" t="s">
        <v>391</v>
      </c>
      <c r="F46" t="s">
        <v>192</v>
      </c>
      <c r="G46" s="5" t="s">
        <v>834</v>
      </c>
    </row>
    <row r="47" spans="1:7" ht="19" hidden="1">
      <c r="A47">
        <v>46</v>
      </c>
      <c r="B47" s="14" t="s">
        <v>344</v>
      </c>
      <c r="C47" t="s">
        <v>295</v>
      </c>
      <c r="E47" t="s">
        <v>391</v>
      </c>
      <c r="F47" t="s">
        <v>192</v>
      </c>
      <c r="G47" s="5" t="s">
        <v>835</v>
      </c>
    </row>
    <row r="48" spans="1:7" ht="19" hidden="1">
      <c r="A48">
        <v>47</v>
      </c>
      <c r="B48" s="14" t="s">
        <v>345</v>
      </c>
      <c r="C48" t="s">
        <v>296</v>
      </c>
      <c r="E48" t="s">
        <v>391</v>
      </c>
      <c r="F48" t="s">
        <v>192</v>
      </c>
      <c r="G48" s="5" t="s">
        <v>836</v>
      </c>
    </row>
    <row r="49" spans="1:7" ht="19" hidden="1">
      <c r="A49">
        <v>48</v>
      </c>
      <c r="B49" s="14" t="s">
        <v>346</v>
      </c>
      <c r="C49" t="s">
        <v>296</v>
      </c>
      <c r="E49" t="s">
        <v>391</v>
      </c>
      <c r="F49" t="s">
        <v>192</v>
      </c>
      <c r="G49" s="5" t="s">
        <v>837</v>
      </c>
    </row>
    <row r="50" spans="1:7" ht="19" hidden="1">
      <c r="A50">
        <v>49</v>
      </c>
      <c r="B50" s="14" t="s">
        <v>347</v>
      </c>
      <c r="C50" t="s">
        <v>295</v>
      </c>
      <c r="E50" t="s">
        <v>391</v>
      </c>
      <c r="F50" t="s">
        <v>192</v>
      </c>
      <c r="G50" s="5" t="s">
        <v>838</v>
      </c>
    </row>
    <row r="51" spans="1:7" ht="19">
      <c r="A51">
        <v>50</v>
      </c>
      <c r="B51" s="14" t="s">
        <v>348</v>
      </c>
      <c r="C51" t="s">
        <v>268</v>
      </c>
      <c r="E51" t="s">
        <v>390</v>
      </c>
      <c r="F51" t="s">
        <v>201</v>
      </c>
      <c r="G51" s="5" t="s">
        <v>839</v>
      </c>
    </row>
    <row r="52" spans="1:7" ht="19">
      <c r="A52">
        <v>51</v>
      </c>
      <c r="B52" s="14" t="s">
        <v>349</v>
      </c>
      <c r="C52" t="s">
        <v>271</v>
      </c>
      <c r="E52" t="s">
        <v>390</v>
      </c>
      <c r="F52" t="s">
        <v>201</v>
      </c>
      <c r="G52" s="5" t="s">
        <v>840</v>
      </c>
    </row>
    <row r="53" spans="1:7" ht="19">
      <c r="A53">
        <v>52</v>
      </c>
      <c r="B53" s="14" t="s">
        <v>350</v>
      </c>
      <c r="C53" t="s">
        <v>271</v>
      </c>
      <c r="E53" t="s">
        <v>390</v>
      </c>
      <c r="F53" t="s">
        <v>201</v>
      </c>
      <c r="G53" s="5" t="s">
        <v>841</v>
      </c>
    </row>
    <row r="54" spans="1:7" ht="19">
      <c r="A54">
        <v>53</v>
      </c>
      <c r="B54" s="14" t="s">
        <v>351</v>
      </c>
      <c r="E54" t="s">
        <v>390</v>
      </c>
      <c r="F54" t="s">
        <v>192</v>
      </c>
      <c r="G54" s="5" t="s">
        <v>842</v>
      </c>
    </row>
    <row r="55" spans="1:7" ht="19">
      <c r="A55">
        <v>54</v>
      </c>
      <c r="B55" s="14" t="s">
        <v>352</v>
      </c>
      <c r="E55" t="s">
        <v>390</v>
      </c>
      <c r="F55" t="s">
        <v>192</v>
      </c>
      <c r="G55" s="5" t="s">
        <v>843</v>
      </c>
    </row>
    <row r="56" spans="1:7" ht="19">
      <c r="A56">
        <v>55</v>
      </c>
      <c r="B56" s="14" t="s">
        <v>353</v>
      </c>
      <c r="E56" t="s">
        <v>390</v>
      </c>
      <c r="F56" t="s">
        <v>192</v>
      </c>
      <c r="G56" s="5" t="s">
        <v>844</v>
      </c>
    </row>
  </sheetData>
  <autoFilter ref="A1:I56" xr:uid="{3B806E74-F49E-204F-88DB-37CA4C4E2951}">
    <filterColumn colId="4">
      <filters>
        <filter val="no"/>
      </filters>
    </filterColumn>
  </autoFilter>
  <phoneticPr fontId="1" type="noConversion"/>
  <conditionalFormatting sqref="E1:E1048576">
    <cfRule type="cellIs" dxfId="23" priority="2" operator="equal">
      <formula>"no"</formula>
    </cfRule>
    <cfRule type="cellIs" dxfId="22" priority="3" operator="equal">
      <formula>"yes"</formula>
    </cfRule>
  </conditionalFormatting>
  <conditionalFormatting sqref="F2:F142">
    <cfRule type="expression" dxfId="21" priority="1">
      <formula>F2&lt;&gt;E2</formula>
    </cfRule>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6E74-F49E-204F-88DB-37CA4C4E2951}">
  <sheetPr codeName="工作表12" filterMode="1"/>
  <dimension ref="A1:I56"/>
  <sheetViews>
    <sheetView workbookViewId="0">
      <selection sqref="A1:I56"/>
    </sheetView>
  </sheetViews>
  <sheetFormatPr baseColWidth="10" defaultRowHeight="15"/>
  <cols>
    <col min="2" max="2" width="12" customWidth="1"/>
    <col min="3" max="3" width="5.1640625" customWidth="1"/>
    <col min="5" max="6" width="11.33203125" customWidth="1"/>
  </cols>
  <sheetData>
    <row r="1" spans="1:9">
      <c r="A1" t="s">
        <v>88</v>
      </c>
      <c r="B1" t="s">
        <v>0</v>
      </c>
      <c r="C1" s="2" t="s">
        <v>202</v>
      </c>
      <c r="D1" t="s">
        <v>6</v>
      </c>
      <c r="E1" t="s">
        <v>1</v>
      </c>
      <c r="F1" t="s">
        <v>4</v>
      </c>
      <c r="G1" t="s">
        <v>2</v>
      </c>
      <c r="H1" t="s">
        <v>5</v>
      </c>
      <c r="I1" t="s">
        <v>3</v>
      </c>
    </row>
    <row r="2" spans="1:9" ht="19">
      <c r="A2">
        <v>1</v>
      </c>
      <c r="B2" s="1" t="s">
        <v>299</v>
      </c>
      <c r="C2" t="s">
        <v>271</v>
      </c>
      <c r="E2" t="s">
        <v>390</v>
      </c>
      <c r="F2" t="s">
        <v>201</v>
      </c>
      <c r="G2" t="s">
        <v>392</v>
      </c>
    </row>
    <row r="3" spans="1:9" ht="19">
      <c r="A3">
        <v>2</v>
      </c>
      <c r="B3" s="1" t="s">
        <v>300</v>
      </c>
      <c r="C3" t="s">
        <v>271</v>
      </c>
      <c r="E3" t="s">
        <v>390</v>
      </c>
      <c r="F3" t="s">
        <v>201</v>
      </c>
      <c r="G3" t="s">
        <v>393</v>
      </c>
    </row>
    <row r="4" spans="1:9" ht="19" hidden="1">
      <c r="A4">
        <v>3</v>
      </c>
      <c r="B4" s="1" t="s">
        <v>301</v>
      </c>
      <c r="C4" t="s">
        <v>295</v>
      </c>
      <c r="E4" t="s">
        <v>391</v>
      </c>
      <c r="F4" t="s">
        <v>192</v>
      </c>
      <c r="G4" t="s">
        <v>394</v>
      </c>
    </row>
    <row r="5" spans="1:9" ht="19">
      <c r="A5">
        <v>4</v>
      </c>
      <c r="B5" s="1" t="s">
        <v>302</v>
      </c>
      <c r="C5" t="s">
        <v>271</v>
      </c>
      <c r="E5" t="s">
        <v>390</v>
      </c>
      <c r="F5" t="s">
        <v>201</v>
      </c>
      <c r="G5" t="s">
        <v>395</v>
      </c>
    </row>
    <row r="6" spans="1:9" ht="19">
      <c r="A6">
        <v>5</v>
      </c>
      <c r="B6" s="1" t="s">
        <v>303</v>
      </c>
      <c r="C6" t="s">
        <v>271</v>
      </c>
      <c r="E6" t="s">
        <v>390</v>
      </c>
      <c r="F6" t="s">
        <v>201</v>
      </c>
      <c r="G6" t="s">
        <v>396</v>
      </c>
    </row>
    <row r="7" spans="1:9" ht="19">
      <c r="A7">
        <v>6</v>
      </c>
      <c r="B7" s="1" t="s">
        <v>304</v>
      </c>
      <c r="C7" t="s">
        <v>268</v>
      </c>
      <c r="E7" t="s">
        <v>390</v>
      </c>
      <c r="F7" t="s">
        <v>192</v>
      </c>
      <c r="G7" t="s">
        <v>397</v>
      </c>
    </row>
    <row r="8" spans="1:9" ht="19">
      <c r="A8">
        <v>7</v>
      </c>
      <c r="B8" s="1" t="s">
        <v>305</v>
      </c>
      <c r="C8" t="s">
        <v>269</v>
      </c>
      <c r="E8" t="s">
        <v>390</v>
      </c>
      <c r="F8" t="s">
        <v>201</v>
      </c>
      <c r="G8" t="s">
        <v>398</v>
      </c>
    </row>
    <row r="9" spans="1:9" ht="19" hidden="1">
      <c r="A9">
        <v>8</v>
      </c>
      <c r="B9" s="1" t="s">
        <v>306</v>
      </c>
      <c r="C9" t="s">
        <v>295</v>
      </c>
      <c r="E9" t="s">
        <v>391</v>
      </c>
      <c r="F9" t="s">
        <v>192</v>
      </c>
      <c r="G9" t="s">
        <v>399</v>
      </c>
    </row>
    <row r="10" spans="1:9" ht="19" hidden="1">
      <c r="A10">
        <v>9</v>
      </c>
      <c r="B10" s="1" t="s">
        <v>307</v>
      </c>
      <c r="C10" t="s">
        <v>295</v>
      </c>
      <c r="E10" t="s">
        <v>391</v>
      </c>
      <c r="F10" t="s">
        <v>192</v>
      </c>
      <c r="G10" t="s">
        <v>400</v>
      </c>
    </row>
    <row r="11" spans="1:9" ht="19" hidden="1">
      <c r="A11">
        <v>10</v>
      </c>
      <c r="B11" s="1" t="s">
        <v>308</v>
      </c>
      <c r="C11" t="s">
        <v>295</v>
      </c>
      <c r="E11" t="s">
        <v>391</v>
      </c>
      <c r="F11" t="s">
        <v>192</v>
      </c>
      <c r="G11" t="s">
        <v>401</v>
      </c>
    </row>
    <row r="12" spans="1:9" ht="19" hidden="1">
      <c r="A12">
        <v>11</v>
      </c>
      <c r="B12" s="1" t="s">
        <v>309</v>
      </c>
      <c r="C12" t="s">
        <v>354</v>
      </c>
      <c r="E12" t="s">
        <v>391</v>
      </c>
      <c r="F12" t="s">
        <v>192</v>
      </c>
      <c r="G12" t="s">
        <v>402</v>
      </c>
    </row>
    <row r="13" spans="1:9" ht="19" hidden="1">
      <c r="A13">
        <v>12</v>
      </c>
      <c r="B13" s="1" t="s">
        <v>310</v>
      </c>
      <c r="C13" t="s">
        <v>295</v>
      </c>
      <c r="E13" t="s">
        <v>391</v>
      </c>
      <c r="F13" t="s">
        <v>192</v>
      </c>
      <c r="G13" t="s">
        <v>403</v>
      </c>
    </row>
    <row r="14" spans="1:9" ht="19" hidden="1">
      <c r="A14">
        <v>13</v>
      </c>
      <c r="B14" s="1" t="s">
        <v>311</v>
      </c>
      <c r="C14" t="s">
        <v>355</v>
      </c>
      <c r="E14" t="s">
        <v>391</v>
      </c>
      <c r="F14" t="s">
        <v>192</v>
      </c>
      <c r="G14" t="s">
        <v>404</v>
      </c>
    </row>
    <row r="15" spans="1:9" ht="19">
      <c r="A15">
        <v>14</v>
      </c>
      <c r="B15" s="1" t="s">
        <v>312</v>
      </c>
      <c r="C15" t="s">
        <v>271</v>
      </c>
      <c r="E15" t="s">
        <v>390</v>
      </c>
      <c r="F15" t="s">
        <v>201</v>
      </c>
      <c r="G15" t="s">
        <v>405</v>
      </c>
    </row>
    <row r="16" spans="1:9" ht="19" hidden="1">
      <c r="A16">
        <v>15</v>
      </c>
      <c r="B16" s="1" t="s">
        <v>313</v>
      </c>
      <c r="C16" t="s">
        <v>355</v>
      </c>
      <c r="E16" t="s">
        <v>391</v>
      </c>
      <c r="F16" t="s">
        <v>201</v>
      </c>
      <c r="G16" t="s">
        <v>406</v>
      </c>
    </row>
    <row r="17" spans="1:7" ht="19">
      <c r="A17">
        <v>16</v>
      </c>
      <c r="B17" s="11" t="s">
        <v>314</v>
      </c>
      <c r="C17" t="s">
        <v>270</v>
      </c>
      <c r="E17" t="s">
        <v>390</v>
      </c>
      <c r="F17" t="s">
        <v>192</v>
      </c>
      <c r="G17" t="s">
        <v>407</v>
      </c>
    </row>
    <row r="18" spans="1:7" ht="19">
      <c r="A18">
        <v>17</v>
      </c>
      <c r="B18" s="1" t="s">
        <v>315</v>
      </c>
      <c r="C18" t="s">
        <v>271</v>
      </c>
      <c r="E18" t="s">
        <v>390</v>
      </c>
      <c r="F18" t="s">
        <v>201</v>
      </c>
      <c r="G18" t="s">
        <v>408</v>
      </c>
    </row>
    <row r="19" spans="1:7" ht="19">
      <c r="A19">
        <v>18</v>
      </c>
      <c r="B19" s="1" t="s">
        <v>316</v>
      </c>
      <c r="C19" t="s">
        <v>271</v>
      </c>
      <c r="E19" t="s">
        <v>390</v>
      </c>
      <c r="F19" t="s">
        <v>201</v>
      </c>
      <c r="G19" t="s">
        <v>409</v>
      </c>
    </row>
    <row r="20" spans="1:7" ht="19">
      <c r="A20">
        <v>19</v>
      </c>
      <c r="B20" s="11" t="s">
        <v>317</v>
      </c>
      <c r="C20" t="s">
        <v>271</v>
      </c>
      <c r="E20" t="s">
        <v>390</v>
      </c>
      <c r="F20" t="s">
        <v>192</v>
      </c>
      <c r="G20" s="2" t="s">
        <v>410</v>
      </c>
    </row>
    <row r="21" spans="1:7" ht="19" hidden="1">
      <c r="A21">
        <v>20</v>
      </c>
      <c r="B21" s="1" t="s">
        <v>318</v>
      </c>
      <c r="C21" t="s">
        <v>295</v>
      </c>
      <c r="E21" t="s">
        <v>391</v>
      </c>
      <c r="F21" t="s">
        <v>192</v>
      </c>
      <c r="G21" t="s">
        <v>411</v>
      </c>
    </row>
    <row r="22" spans="1:7" ht="19" hidden="1">
      <c r="A22">
        <v>21</v>
      </c>
      <c r="B22" s="1" t="s">
        <v>319</v>
      </c>
      <c r="C22" t="s">
        <v>295</v>
      </c>
      <c r="E22" t="s">
        <v>391</v>
      </c>
      <c r="F22" t="s">
        <v>192</v>
      </c>
      <c r="G22" t="s">
        <v>412</v>
      </c>
    </row>
    <row r="23" spans="1:7" ht="19" hidden="1">
      <c r="A23">
        <v>22</v>
      </c>
      <c r="B23" s="1" t="s">
        <v>320</v>
      </c>
      <c r="C23" t="s">
        <v>295</v>
      </c>
      <c r="E23" t="s">
        <v>391</v>
      </c>
      <c r="F23" t="s">
        <v>192</v>
      </c>
      <c r="G23" t="s">
        <v>402</v>
      </c>
    </row>
    <row r="24" spans="1:7" ht="19" hidden="1">
      <c r="A24">
        <v>23</v>
      </c>
      <c r="B24" s="1" t="s">
        <v>321</v>
      </c>
      <c r="C24" t="s">
        <v>296</v>
      </c>
      <c r="E24" t="s">
        <v>391</v>
      </c>
      <c r="F24" t="s">
        <v>192</v>
      </c>
      <c r="G24" t="s">
        <v>413</v>
      </c>
    </row>
    <row r="25" spans="1:7" ht="19" hidden="1">
      <c r="A25">
        <v>24</v>
      </c>
      <c r="B25" s="1" t="s">
        <v>322</v>
      </c>
      <c r="C25" t="s">
        <v>296</v>
      </c>
      <c r="E25" t="s">
        <v>391</v>
      </c>
      <c r="F25" t="s">
        <v>192</v>
      </c>
      <c r="G25" t="s">
        <v>414</v>
      </c>
    </row>
    <row r="26" spans="1:7" ht="19" hidden="1">
      <c r="A26">
        <v>25</v>
      </c>
      <c r="B26" s="1" t="s">
        <v>323</v>
      </c>
      <c r="C26" t="s">
        <v>296</v>
      </c>
      <c r="E26" t="s">
        <v>391</v>
      </c>
      <c r="F26" t="s">
        <v>192</v>
      </c>
      <c r="G26" t="s">
        <v>415</v>
      </c>
    </row>
    <row r="27" spans="1:7" ht="19" hidden="1">
      <c r="A27">
        <v>26</v>
      </c>
      <c r="B27" s="1" t="s">
        <v>324</v>
      </c>
      <c r="C27" t="s">
        <v>296</v>
      </c>
      <c r="E27" t="s">
        <v>391</v>
      </c>
      <c r="F27" t="s">
        <v>192</v>
      </c>
      <c r="G27" t="s">
        <v>416</v>
      </c>
    </row>
    <row r="28" spans="1:7" ht="19" hidden="1">
      <c r="A28">
        <v>27</v>
      </c>
      <c r="B28" s="1" t="s">
        <v>325</v>
      </c>
      <c r="C28" t="s">
        <v>296</v>
      </c>
      <c r="E28" t="s">
        <v>391</v>
      </c>
      <c r="F28" t="s">
        <v>192</v>
      </c>
      <c r="G28" t="s">
        <v>417</v>
      </c>
    </row>
    <row r="29" spans="1:7" ht="19" hidden="1">
      <c r="A29">
        <v>28</v>
      </c>
      <c r="B29" s="1" t="s">
        <v>326</v>
      </c>
      <c r="C29" t="s">
        <v>296</v>
      </c>
      <c r="E29" t="s">
        <v>391</v>
      </c>
      <c r="F29" t="s">
        <v>192</v>
      </c>
      <c r="G29" t="s">
        <v>418</v>
      </c>
    </row>
    <row r="30" spans="1:7" ht="19">
      <c r="A30">
        <v>29</v>
      </c>
      <c r="B30" s="1" t="s">
        <v>327</v>
      </c>
      <c r="C30" t="s">
        <v>271</v>
      </c>
      <c r="E30" t="s">
        <v>390</v>
      </c>
      <c r="F30" t="s">
        <v>192</v>
      </c>
      <c r="G30" t="s">
        <v>419</v>
      </c>
    </row>
    <row r="31" spans="1:7" ht="19">
      <c r="A31">
        <v>30</v>
      </c>
      <c r="B31" s="1" t="s">
        <v>328</v>
      </c>
      <c r="C31" t="s">
        <v>270</v>
      </c>
      <c r="E31" t="s">
        <v>390</v>
      </c>
      <c r="F31" t="s">
        <v>192</v>
      </c>
      <c r="G31" t="s">
        <v>420</v>
      </c>
    </row>
    <row r="32" spans="1:7" ht="19">
      <c r="A32">
        <v>31</v>
      </c>
      <c r="B32" s="1" t="s">
        <v>329</v>
      </c>
      <c r="C32" t="s">
        <v>269</v>
      </c>
      <c r="E32" t="s">
        <v>390</v>
      </c>
      <c r="F32" t="s">
        <v>201</v>
      </c>
      <c r="G32" t="s">
        <v>421</v>
      </c>
    </row>
    <row r="33" spans="1:7" ht="19">
      <c r="A33">
        <v>32</v>
      </c>
      <c r="B33" s="1" t="s">
        <v>330</v>
      </c>
      <c r="C33" t="s">
        <v>269</v>
      </c>
      <c r="E33" t="s">
        <v>390</v>
      </c>
      <c r="F33" t="s">
        <v>201</v>
      </c>
      <c r="G33" t="s">
        <v>422</v>
      </c>
    </row>
    <row r="34" spans="1:7" ht="19">
      <c r="A34">
        <v>33</v>
      </c>
      <c r="B34" s="1" t="s">
        <v>331</v>
      </c>
      <c r="C34" t="s">
        <v>271</v>
      </c>
      <c r="E34" t="s">
        <v>390</v>
      </c>
      <c r="F34" t="s">
        <v>201</v>
      </c>
      <c r="G34" t="s">
        <v>423</v>
      </c>
    </row>
    <row r="35" spans="1:7" ht="19" hidden="1">
      <c r="A35">
        <v>34</v>
      </c>
      <c r="B35" s="1" t="s">
        <v>332</v>
      </c>
      <c r="C35" t="s">
        <v>295</v>
      </c>
      <c r="E35" t="s">
        <v>391</v>
      </c>
      <c r="F35" t="s">
        <v>201</v>
      </c>
      <c r="G35" t="s">
        <v>424</v>
      </c>
    </row>
    <row r="36" spans="1:7" ht="19">
      <c r="A36">
        <v>35</v>
      </c>
      <c r="B36" s="1" t="s">
        <v>333</v>
      </c>
      <c r="C36" t="s">
        <v>269</v>
      </c>
      <c r="E36" t="s">
        <v>390</v>
      </c>
      <c r="F36" t="s">
        <v>192</v>
      </c>
      <c r="G36" t="s">
        <v>425</v>
      </c>
    </row>
    <row r="37" spans="1:7" ht="19" hidden="1">
      <c r="A37">
        <v>36</v>
      </c>
      <c r="B37" s="1" t="s">
        <v>334</v>
      </c>
      <c r="C37" t="s">
        <v>296</v>
      </c>
      <c r="E37" t="s">
        <v>391</v>
      </c>
      <c r="F37" t="s">
        <v>192</v>
      </c>
      <c r="G37" t="s">
        <v>426</v>
      </c>
    </row>
    <row r="38" spans="1:7" ht="19" hidden="1">
      <c r="A38">
        <v>37</v>
      </c>
      <c r="B38" s="1" t="s">
        <v>335</v>
      </c>
      <c r="C38" t="s">
        <v>355</v>
      </c>
      <c r="E38" t="s">
        <v>391</v>
      </c>
      <c r="F38" t="s">
        <v>192</v>
      </c>
      <c r="G38" t="s">
        <v>427</v>
      </c>
    </row>
    <row r="39" spans="1:7" ht="19">
      <c r="A39">
        <v>38</v>
      </c>
      <c r="B39" s="1" t="s">
        <v>336</v>
      </c>
      <c r="C39" t="s">
        <v>268</v>
      </c>
      <c r="E39" t="s">
        <v>390</v>
      </c>
      <c r="F39" t="s">
        <v>192</v>
      </c>
      <c r="G39" s="2" t="s">
        <v>430</v>
      </c>
    </row>
    <row r="40" spans="1:7" ht="19" hidden="1">
      <c r="A40">
        <v>39</v>
      </c>
      <c r="B40" s="1" t="s">
        <v>337</v>
      </c>
      <c r="C40" t="s">
        <v>296</v>
      </c>
      <c r="E40" t="s">
        <v>391</v>
      </c>
      <c r="F40" t="s">
        <v>192</v>
      </c>
      <c r="G40" t="s">
        <v>428</v>
      </c>
    </row>
    <row r="41" spans="1:7" ht="19" hidden="1">
      <c r="A41">
        <v>40</v>
      </c>
      <c r="B41" s="1" t="s">
        <v>338</v>
      </c>
      <c r="C41" t="s">
        <v>296</v>
      </c>
      <c r="E41" t="s">
        <v>391</v>
      </c>
      <c r="F41" t="s">
        <v>192</v>
      </c>
      <c r="G41" t="s">
        <v>429</v>
      </c>
    </row>
    <row r="42" spans="1:7" ht="19">
      <c r="A42">
        <v>41</v>
      </c>
      <c r="B42" s="1" t="s">
        <v>339</v>
      </c>
      <c r="C42" t="s">
        <v>271</v>
      </c>
      <c r="E42" t="s">
        <v>390</v>
      </c>
      <c r="F42" t="s">
        <v>201</v>
      </c>
      <c r="G42" t="s">
        <v>431</v>
      </c>
    </row>
    <row r="43" spans="1:7" ht="19" hidden="1">
      <c r="A43">
        <v>42</v>
      </c>
      <c r="B43" s="1" t="s">
        <v>340</v>
      </c>
      <c r="C43" t="s">
        <v>296</v>
      </c>
      <c r="E43" t="s">
        <v>391</v>
      </c>
      <c r="F43" t="s">
        <v>192</v>
      </c>
      <c r="G43" t="s">
        <v>432</v>
      </c>
    </row>
    <row r="44" spans="1:7" ht="19" hidden="1">
      <c r="A44">
        <v>43</v>
      </c>
      <c r="B44" s="1" t="s">
        <v>341</v>
      </c>
      <c r="C44" t="s">
        <v>295</v>
      </c>
      <c r="E44" t="s">
        <v>391</v>
      </c>
      <c r="F44" t="s">
        <v>192</v>
      </c>
      <c r="G44" t="s">
        <v>433</v>
      </c>
    </row>
    <row r="45" spans="1:7" ht="19">
      <c r="A45">
        <v>44</v>
      </c>
      <c r="B45" s="1" t="s">
        <v>342</v>
      </c>
      <c r="C45" t="s">
        <v>269</v>
      </c>
      <c r="E45" t="s">
        <v>390</v>
      </c>
      <c r="F45" t="s">
        <v>192</v>
      </c>
      <c r="G45" t="s">
        <v>434</v>
      </c>
    </row>
    <row r="46" spans="1:7" ht="19" hidden="1">
      <c r="A46">
        <v>45</v>
      </c>
      <c r="B46" s="1" t="s">
        <v>343</v>
      </c>
      <c r="C46" t="s">
        <v>296</v>
      </c>
      <c r="E46" t="s">
        <v>391</v>
      </c>
      <c r="F46" t="s">
        <v>192</v>
      </c>
      <c r="G46" t="s">
        <v>435</v>
      </c>
    </row>
    <row r="47" spans="1:7" ht="19" hidden="1">
      <c r="A47">
        <v>46</v>
      </c>
      <c r="B47" s="1" t="s">
        <v>344</v>
      </c>
      <c r="C47" t="s">
        <v>295</v>
      </c>
      <c r="E47" t="s">
        <v>391</v>
      </c>
      <c r="F47" t="s">
        <v>192</v>
      </c>
      <c r="G47" t="s">
        <v>436</v>
      </c>
    </row>
    <row r="48" spans="1:7" ht="19" hidden="1">
      <c r="A48">
        <v>47</v>
      </c>
      <c r="B48" s="1" t="s">
        <v>345</v>
      </c>
      <c r="C48" t="s">
        <v>296</v>
      </c>
      <c r="E48" t="s">
        <v>391</v>
      </c>
      <c r="F48" t="s">
        <v>192</v>
      </c>
      <c r="G48" t="s">
        <v>437</v>
      </c>
    </row>
    <row r="49" spans="1:7" ht="19" hidden="1">
      <c r="A49">
        <v>48</v>
      </c>
      <c r="B49" s="1" t="s">
        <v>346</v>
      </c>
      <c r="C49" t="s">
        <v>296</v>
      </c>
      <c r="E49" t="s">
        <v>391</v>
      </c>
      <c r="F49" t="s">
        <v>192</v>
      </c>
      <c r="G49" t="s">
        <v>438</v>
      </c>
    </row>
    <row r="50" spans="1:7" ht="19" hidden="1">
      <c r="A50">
        <v>49</v>
      </c>
      <c r="B50" s="1" t="s">
        <v>347</v>
      </c>
      <c r="C50" t="s">
        <v>295</v>
      </c>
      <c r="E50" t="s">
        <v>391</v>
      </c>
      <c r="F50" t="s">
        <v>192</v>
      </c>
      <c r="G50" t="s">
        <v>439</v>
      </c>
    </row>
    <row r="51" spans="1:7" ht="19">
      <c r="A51">
        <v>50</v>
      </c>
      <c r="B51" s="1" t="s">
        <v>348</v>
      </c>
      <c r="C51" t="s">
        <v>268</v>
      </c>
      <c r="E51" t="s">
        <v>390</v>
      </c>
      <c r="F51" t="s">
        <v>201</v>
      </c>
      <c r="G51" t="s">
        <v>440</v>
      </c>
    </row>
    <row r="52" spans="1:7" ht="19">
      <c r="A52">
        <v>51</v>
      </c>
      <c r="B52" s="1" t="s">
        <v>349</v>
      </c>
      <c r="C52" t="s">
        <v>271</v>
      </c>
      <c r="E52" t="s">
        <v>390</v>
      </c>
      <c r="F52" t="s">
        <v>201</v>
      </c>
      <c r="G52" t="s">
        <v>441</v>
      </c>
    </row>
    <row r="53" spans="1:7" ht="19">
      <c r="A53">
        <v>52</v>
      </c>
      <c r="B53" s="1" t="s">
        <v>350</v>
      </c>
      <c r="C53" t="s">
        <v>271</v>
      </c>
      <c r="E53" t="s">
        <v>390</v>
      </c>
      <c r="F53" t="s">
        <v>201</v>
      </c>
      <c r="G53" t="s">
        <v>442</v>
      </c>
    </row>
    <row r="54" spans="1:7" ht="19">
      <c r="A54">
        <v>53</v>
      </c>
      <c r="B54" s="1" t="s">
        <v>351</v>
      </c>
      <c r="E54" t="s">
        <v>390</v>
      </c>
      <c r="F54" t="s">
        <v>192</v>
      </c>
      <c r="G54" t="s">
        <v>443</v>
      </c>
    </row>
    <row r="55" spans="1:7" ht="19">
      <c r="A55">
        <v>54</v>
      </c>
      <c r="B55" s="1" t="s">
        <v>352</v>
      </c>
      <c r="E55" t="s">
        <v>390</v>
      </c>
      <c r="F55" t="s">
        <v>201</v>
      </c>
      <c r="G55" t="s">
        <v>444</v>
      </c>
    </row>
    <row r="56" spans="1:7" ht="19">
      <c r="A56">
        <v>55</v>
      </c>
      <c r="B56" s="1" t="s">
        <v>353</v>
      </c>
      <c r="E56" t="s">
        <v>390</v>
      </c>
      <c r="F56" t="s">
        <v>192</v>
      </c>
      <c r="G56" t="s">
        <v>445</v>
      </c>
    </row>
  </sheetData>
  <autoFilter ref="A1:I56" xr:uid="{3B806E74-F49E-204F-88DB-37CA4C4E2951}">
    <filterColumn colId="4">
      <filters>
        <filter val="no"/>
      </filters>
    </filterColumn>
  </autoFilter>
  <phoneticPr fontId="1" type="noConversion"/>
  <conditionalFormatting sqref="E1:E1048576">
    <cfRule type="cellIs" dxfId="20" priority="2" operator="equal">
      <formula>"no"</formula>
    </cfRule>
    <cfRule type="cellIs" dxfId="19" priority="3" operator="equal">
      <formula>"yes"</formula>
    </cfRule>
  </conditionalFormatting>
  <conditionalFormatting sqref="F2:F142">
    <cfRule type="expression" dxfId="18" priority="1">
      <formula>F2&lt;&gt;E2</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8B605-C0C7-2741-8E91-E50E123228A3}">
  <sheetPr codeName="工作表17" filterMode="1"/>
  <dimension ref="A1:I21"/>
  <sheetViews>
    <sheetView workbookViewId="0">
      <selection sqref="A1:I21"/>
    </sheetView>
  </sheetViews>
  <sheetFormatPr baseColWidth="10" defaultRowHeight="15"/>
  <cols>
    <col min="3" max="3" width="4.83203125" customWidth="1"/>
    <col min="5" max="6" width="11.33203125" customWidth="1"/>
  </cols>
  <sheetData>
    <row r="1" spans="1:9">
      <c r="A1" t="s">
        <v>88</v>
      </c>
      <c r="B1" t="s">
        <v>0</v>
      </c>
      <c r="C1" s="2" t="s">
        <v>202</v>
      </c>
      <c r="D1" t="s">
        <v>6</v>
      </c>
      <c r="E1" t="s">
        <v>1</v>
      </c>
      <c r="F1" t="s">
        <v>605</v>
      </c>
      <c r="G1" t="s">
        <v>2</v>
      </c>
      <c r="H1" t="s">
        <v>5</v>
      </c>
      <c r="I1" t="s">
        <v>3</v>
      </c>
    </row>
    <row r="2" spans="1:9" ht="19">
      <c r="A2">
        <v>1</v>
      </c>
      <c r="B2" s="1" t="s">
        <v>275</v>
      </c>
      <c r="C2" t="s">
        <v>271</v>
      </c>
      <c r="E2" t="s">
        <v>390</v>
      </c>
      <c r="F2" t="s">
        <v>201</v>
      </c>
      <c r="G2" t="s">
        <v>652</v>
      </c>
    </row>
    <row r="3" spans="1:9" ht="19">
      <c r="A3">
        <v>2</v>
      </c>
      <c r="B3" s="1" t="s">
        <v>276</v>
      </c>
      <c r="C3" t="s">
        <v>269</v>
      </c>
      <c r="E3" t="s">
        <v>390</v>
      </c>
      <c r="F3" t="s">
        <v>201</v>
      </c>
      <c r="G3" t="s">
        <v>653</v>
      </c>
    </row>
    <row r="4" spans="1:9" ht="19">
      <c r="A4">
        <v>3</v>
      </c>
      <c r="B4" s="1" t="s">
        <v>277</v>
      </c>
      <c r="C4" t="s">
        <v>267</v>
      </c>
      <c r="E4" t="s">
        <v>390</v>
      </c>
      <c r="F4" t="s">
        <v>201</v>
      </c>
      <c r="G4" t="s">
        <v>654</v>
      </c>
    </row>
    <row r="5" spans="1:9" ht="19">
      <c r="A5">
        <v>4</v>
      </c>
      <c r="B5" s="1" t="s">
        <v>278</v>
      </c>
      <c r="C5" t="s">
        <v>271</v>
      </c>
      <c r="E5" t="s">
        <v>390</v>
      </c>
      <c r="F5" t="s">
        <v>201</v>
      </c>
      <c r="G5" t="s">
        <v>655</v>
      </c>
    </row>
    <row r="6" spans="1:9" ht="19">
      <c r="A6">
        <v>5</v>
      </c>
      <c r="B6" s="1" t="s">
        <v>279</v>
      </c>
      <c r="C6" t="s">
        <v>271</v>
      </c>
      <c r="E6" t="s">
        <v>390</v>
      </c>
      <c r="F6" t="s">
        <v>201</v>
      </c>
      <c r="G6" t="s">
        <v>656</v>
      </c>
    </row>
    <row r="7" spans="1:9" ht="19" hidden="1">
      <c r="A7">
        <v>6</v>
      </c>
      <c r="B7" s="1" t="s">
        <v>280</v>
      </c>
      <c r="C7" t="s">
        <v>297</v>
      </c>
      <c r="E7" t="s">
        <v>391</v>
      </c>
      <c r="F7" t="s">
        <v>192</v>
      </c>
      <c r="G7" t="s">
        <v>657</v>
      </c>
    </row>
    <row r="8" spans="1:9" ht="19" hidden="1">
      <c r="A8">
        <v>7</v>
      </c>
      <c r="B8" s="1" t="s">
        <v>281</v>
      </c>
      <c r="C8" t="s">
        <v>298</v>
      </c>
      <c r="E8" t="s">
        <v>391</v>
      </c>
      <c r="F8" t="s">
        <v>201</v>
      </c>
      <c r="G8" t="s">
        <v>658</v>
      </c>
    </row>
    <row r="9" spans="1:9" ht="19" hidden="1">
      <c r="A9">
        <v>8</v>
      </c>
      <c r="B9" s="1" t="s">
        <v>282</v>
      </c>
      <c r="C9" t="s">
        <v>298</v>
      </c>
      <c r="E9" t="s">
        <v>391</v>
      </c>
      <c r="F9" t="s">
        <v>192</v>
      </c>
      <c r="G9" t="s">
        <v>659</v>
      </c>
    </row>
    <row r="10" spans="1:9" ht="19">
      <c r="A10">
        <v>9</v>
      </c>
      <c r="B10" s="1" t="s">
        <v>283</v>
      </c>
      <c r="C10" t="s">
        <v>274</v>
      </c>
      <c r="E10" t="s">
        <v>390</v>
      </c>
      <c r="F10" t="s">
        <v>192</v>
      </c>
      <c r="G10" t="s">
        <v>660</v>
      </c>
    </row>
    <row r="11" spans="1:9" ht="19">
      <c r="A11">
        <v>10</v>
      </c>
      <c r="B11" s="1" t="s">
        <v>284</v>
      </c>
      <c r="C11" t="s">
        <v>271</v>
      </c>
      <c r="E11" t="s">
        <v>390</v>
      </c>
      <c r="F11" t="s">
        <v>201</v>
      </c>
      <c r="G11" t="s">
        <v>661</v>
      </c>
    </row>
    <row r="12" spans="1:9" ht="19">
      <c r="A12">
        <v>11</v>
      </c>
      <c r="B12" s="1" t="s">
        <v>285</v>
      </c>
      <c r="C12" t="s">
        <v>274</v>
      </c>
      <c r="E12" t="s">
        <v>390</v>
      </c>
      <c r="F12" t="s">
        <v>201</v>
      </c>
      <c r="G12" t="s">
        <v>662</v>
      </c>
    </row>
    <row r="13" spans="1:9" ht="19">
      <c r="A13">
        <v>12</v>
      </c>
      <c r="B13" s="1" t="s">
        <v>286</v>
      </c>
      <c r="C13" t="s">
        <v>271</v>
      </c>
      <c r="E13" t="s">
        <v>390</v>
      </c>
      <c r="F13" t="s">
        <v>192</v>
      </c>
      <c r="G13" t="s">
        <v>663</v>
      </c>
    </row>
    <row r="14" spans="1:9" ht="19" hidden="1">
      <c r="A14">
        <v>13</v>
      </c>
      <c r="B14" s="1" t="s">
        <v>287</v>
      </c>
      <c r="C14" t="s">
        <v>298</v>
      </c>
      <c r="E14" t="s">
        <v>391</v>
      </c>
      <c r="F14" t="s">
        <v>192</v>
      </c>
      <c r="G14" t="s">
        <v>664</v>
      </c>
    </row>
    <row r="15" spans="1:9" ht="19">
      <c r="A15">
        <v>14</v>
      </c>
      <c r="B15" s="1" t="s">
        <v>288</v>
      </c>
      <c r="C15" t="s">
        <v>274</v>
      </c>
      <c r="E15" t="s">
        <v>390</v>
      </c>
      <c r="F15" t="s">
        <v>201</v>
      </c>
      <c r="G15" t="s">
        <v>665</v>
      </c>
    </row>
    <row r="16" spans="1:9" ht="19" hidden="1">
      <c r="A16">
        <v>15</v>
      </c>
      <c r="B16" s="1" t="s">
        <v>289</v>
      </c>
      <c r="C16" t="s">
        <v>295</v>
      </c>
      <c r="E16" t="s">
        <v>391</v>
      </c>
      <c r="F16" t="s">
        <v>192</v>
      </c>
      <c r="G16" t="s">
        <v>666</v>
      </c>
    </row>
    <row r="17" spans="1:7" ht="19">
      <c r="A17">
        <v>16</v>
      </c>
      <c r="B17" s="1" t="s">
        <v>290</v>
      </c>
      <c r="C17" t="s">
        <v>271</v>
      </c>
      <c r="E17" t="s">
        <v>390</v>
      </c>
      <c r="F17" t="s">
        <v>201</v>
      </c>
      <c r="G17" t="s">
        <v>665</v>
      </c>
    </row>
    <row r="18" spans="1:7" ht="19">
      <c r="A18">
        <v>17</v>
      </c>
      <c r="B18" s="1" t="s">
        <v>291</v>
      </c>
      <c r="C18" t="s">
        <v>271</v>
      </c>
      <c r="E18" t="s">
        <v>390</v>
      </c>
      <c r="F18" t="s">
        <v>201</v>
      </c>
      <c r="G18" t="s">
        <v>667</v>
      </c>
    </row>
    <row r="19" spans="1:7" ht="19">
      <c r="A19">
        <v>18</v>
      </c>
      <c r="B19" s="1" t="s">
        <v>292</v>
      </c>
      <c r="C19" t="s">
        <v>267</v>
      </c>
      <c r="E19" t="s">
        <v>390</v>
      </c>
      <c r="F19" t="s">
        <v>201</v>
      </c>
      <c r="G19" t="s">
        <v>668</v>
      </c>
    </row>
    <row r="20" spans="1:7" ht="19">
      <c r="A20">
        <v>19</v>
      </c>
      <c r="B20" s="1" t="s">
        <v>293</v>
      </c>
      <c r="C20" t="s">
        <v>271</v>
      </c>
      <c r="E20" t="s">
        <v>390</v>
      </c>
      <c r="F20" t="s">
        <v>201</v>
      </c>
      <c r="G20" t="s">
        <v>667</v>
      </c>
    </row>
    <row r="21" spans="1:7" ht="19">
      <c r="A21">
        <v>20</v>
      </c>
      <c r="B21" s="1" t="s">
        <v>294</v>
      </c>
      <c r="C21" t="s">
        <v>271</v>
      </c>
      <c r="E21" t="s">
        <v>390</v>
      </c>
      <c r="F21" t="s">
        <v>201</v>
      </c>
      <c r="G21" t="s">
        <v>669</v>
      </c>
    </row>
  </sheetData>
  <autoFilter ref="A1:I21" xr:uid="{46E281F8-A859-224A-892F-F3EE4BBD4B3E}">
    <filterColumn colId="4">
      <filters>
        <filter val="no"/>
      </filters>
    </filterColumn>
  </autoFilter>
  <phoneticPr fontId="1" type="noConversion"/>
  <conditionalFormatting sqref="E1:E1048576">
    <cfRule type="cellIs" dxfId="17" priority="2" operator="equal">
      <formula>"no"</formula>
    </cfRule>
    <cfRule type="cellIs" dxfId="16" priority="3" operator="equal">
      <formula>"yes"</formula>
    </cfRule>
  </conditionalFormatting>
  <conditionalFormatting sqref="F2:F142">
    <cfRule type="expression" dxfId="15" priority="1">
      <formula>F2&lt;&gt;E2</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DA743-5176-C24F-87E7-81ABA97D0551}">
  <sheetPr codeName="工作表16" filterMode="1"/>
  <dimension ref="A1:I21"/>
  <sheetViews>
    <sheetView workbookViewId="0">
      <selection sqref="A1:I21"/>
    </sheetView>
  </sheetViews>
  <sheetFormatPr baseColWidth="10" defaultRowHeight="15"/>
  <cols>
    <col min="3" max="3" width="4.83203125" customWidth="1"/>
    <col min="5" max="6" width="11.33203125" customWidth="1"/>
  </cols>
  <sheetData>
    <row r="1" spans="1:9">
      <c r="A1" t="s">
        <v>88</v>
      </c>
      <c r="B1" t="s">
        <v>0</v>
      </c>
      <c r="C1" s="2" t="s">
        <v>202</v>
      </c>
      <c r="D1" t="s">
        <v>6</v>
      </c>
      <c r="E1" t="s">
        <v>1</v>
      </c>
      <c r="F1" t="s">
        <v>605</v>
      </c>
      <c r="G1" t="s">
        <v>2</v>
      </c>
      <c r="H1" t="s">
        <v>5</v>
      </c>
      <c r="I1" t="s">
        <v>3</v>
      </c>
    </row>
    <row r="2" spans="1:9" ht="19">
      <c r="A2">
        <v>1</v>
      </c>
      <c r="B2" s="1" t="s">
        <v>275</v>
      </c>
      <c r="C2" t="s">
        <v>271</v>
      </c>
      <c r="E2" t="s">
        <v>390</v>
      </c>
      <c r="F2" t="s">
        <v>201</v>
      </c>
      <c r="G2" t="s">
        <v>878</v>
      </c>
    </row>
    <row r="3" spans="1:9" ht="19">
      <c r="A3">
        <v>2</v>
      </c>
      <c r="B3" s="1" t="s">
        <v>276</v>
      </c>
      <c r="C3" t="s">
        <v>269</v>
      </c>
      <c r="E3" t="s">
        <v>390</v>
      </c>
      <c r="F3" t="s">
        <v>201</v>
      </c>
      <c r="G3" t="s">
        <v>880</v>
      </c>
    </row>
    <row r="4" spans="1:9" ht="19">
      <c r="A4">
        <v>3</v>
      </c>
      <c r="B4" s="1" t="s">
        <v>277</v>
      </c>
      <c r="C4" t="s">
        <v>267</v>
      </c>
      <c r="E4" t="s">
        <v>390</v>
      </c>
      <c r="F4" t="s">
        <v>201</v>
      </c>
      <c r="G4" t="s">
        <v>881</v>
      </c>
    </row>
    <row r="5" spans="1:9" ht="19">
      <c r="A5">
        <v>4</v>
      </c>
      <c r="B5" s="1" t="s">
        <v>278</v>
      </c>
      <c r="C5" t="s">
        <v>271</v>
      </c>
      <c r="E5" t="s">
        <v>390</v>
      </c>
      <c r="F5" t="s">
        <v>201</v>
      </c>
      <c r="G5" t="s">
        <v>882</v>
      </c>
    </row>
    <row r="6" spans="1:9" ht="19">
      <c r="A6">
        <v>5</v>
      </c>
      <c r="B6" s="1" t="s">
        <v>279</v>
      </c>
      <c r="C6" t="s">
        <v>271</v>
      </c>
      <c r="E6" t="s">
        <v>390</v>
      </c>
      <c r="F6" t="s">
        <v>201</v>
      </c>
      <c r="G6" t="s">
        <v>883</v>
      </c>
    </row>
    <row r="7" spans="1:9" ht="19" hidden="1">
      <c r="A7">
        <v>6</v>
      </c>
      <c r="B7" s="1" t="s">
        <v>280</v>
      </c>
      <c r="C7" t="s">
        <v>297</v>
      </c>
      <c r="E7" t="s">
        <v>391</v>
      </c>
      <c r="F7" t="s">
        <v>201</v>
      </c>
      <c r="G7" t="s">
        <v>884</v>
      </c>
    </row>
    <row r="8" spans="1:9" ht="19" hidden="1">
      <c r="A8">
        <v>7</v>
      </c>
      <c r="B8" s="1" t="s">
        <v>281</v>
      </c>
      <c r="C8" t="s">
        <v>298</v>
      </c>
      <c r="E8" t="s">
        <v>391</v>
      </c>
      <c r="F8" t="s">
        <v>201</v>
      </c>
      <c r="G8" t="s">
        <v>885</v>
      </c>
    </row>
    <row r="9" spans="1:9" ht="19" hidden="1">
      <c r="A9">
        <v>8</v>
      </c>
      <c r="B9" s="1" t="s">
        <v>282</v>
      </c>
      <c r="C9" t="s">
        <v>298</v>
      </c>
      <c r="E9" t="s">
        <v>391</v>
      </c>
      <c r="F9" t="s">
        <v>192</v>
      </c>
      <c r="G9" t="s">
        <v>886</v>
      </c>
    </row>
    <row r="10" spans="1:9" ht="19">
      <c r="A10">
        <v>9</v>
      </c>
      <c r="B10" s="1" t="s">
        <v>283</v>
      </c>
      <c r="C10" t="s">
        <v>274</v>
      </c>
      <c r="E10" t="s">
        <v>390</v>
      </c>
      <c r="F10" t="s">
        <v>192</v>
      </c>
      <c r="G10" t="s">
        <v>887</v>
      </c>
    </row>
    <row r="11" spans="1:9" ht="19">
      <c r="A11">
        <v>10</v>
      </c>
      <c r="B11" s="1" t="s">
        <v>284</v>
      </c>
      <c r="C11" t="s">
        <v>271</v>
      </c>
      <c r="E11" t="s">
        <v>390</v>
      </c>
      <c r="F11" t="s">
        <v>201</v>
      </c>
      <c r="G11" t="s">
        <v>888</v>
      </c>
    </row>
    <row r="12" spans="1:9" ht="19">
      <c r="A12">
        <v>11</v>
      </c>
      <c r="B12" s="1" t="s">
        <v>285</v>
      </c>
      <c r="C12" t="s">
        <v>274</v>
      </c>
      <c r="E12" t="s">
        <v>390</v>
      </c>
      <c r="F12" t="s">
        <v>201</v>
      </c>
      <c r="G12" t="s">
        <v>889</v>
      </c>
    </row>
    <row r="13" spans="1:9" ht="19">
      <c r="A13">
        <v>12</v>
      </c>
      <c r="B13" s="1" t="s">
        <v>286</v>
      </c>
      <c r="C13" t="s">
        <v>271</v>
      </c>
      <c r="E13" t="s">
        <v>390</v>
      </c>
      <c r="F13" t="s">
        <v>201</v>
      </c>
      <c r="G13" t="s">
        <v>890</v>
      </c>
    </row>
    <row r="14" spans="1:9" ht="19" hidden="1">
      <c r="A14">
        <v>13</v>
      </c>
      <c r="B14" s="1" t="s">
        <v>287</v>
      </c>
      <c r="C14" t="s">
        <v>298</v>
      </c>
      <c r="E14" t="s">
        <v>391</v>
      </c>
      <c r="F14" t="s">
        <v>192</v>
      </c>
      <c r="G14" t="s">
        <v>891</v>
      </c>
    </row>
    <row r="15" spans="1:9" ht="19">
      <c r="A15">
        <v>14</v>
      </c>
      <c r="B15" s="1" t="s">
        <v>288</v>
      </c>
      <c r="C15" t="s">
        <v>274</v>
      </c>
      <c r="E15" t="s">
        <v>390</v>
      </c>
      <c r="F15" t="s">
        <v>201</v>
      </c>
      <c r="G15" t="s">
        <v>892</v>
      </c>
    </row>
    <row r="16" spans="1:9" ht="19" hidden="1">
      <c r="A16">
        <v>15</v>
      </c>
      <c r="B16" s="1" t="s">
        <v>289</v>
      </c>
      <c r="C16" t="s">
        <v>295</v>
      </c>
      <c r="E16" t="s">
        <v>391</v>
      </c>
      <c r="F16" t="s">
        <v>192</v>
      </c>
      <c r="G16" t="s">
        <v>893</v>
      </c>
    </row>
    <row r="17" spans="1:7" ht="19">
      <c r="A17">
        <v>16</v>
      </c>
      <c r="B17" s="1" t="s">
        <v>290</v>
      </c>
      <c r="C17" t="s">
        <v>271</v>
      </c>
      <c r="E17" t="s">
        <v>390</v>
      </c>
      <c r="F17" t="s">
        <v>201</v>
      </c>
      <c r="G17" t="s">
        <v>894</v>
      </c>
    </row>
    <row r="18" spans="1:7" ht="19">
      <c r="A18">
        <v>17</v>
      </c>
      <c r="B18" s="1" t="s">
        <v>291</v>
      </c>
      <c r="C18" t="s">
        <v>271</v>
      </c>
      <c r="E18" t="s">
        <v>390</v>
      </c>
      <c r="F18" t="s">
        <v>201</v>
      </c>
      <c r="G18" t="s">
        <v>895</v>
      </c>
    </row>
    <row r="19" spans="1:7" ht="19">
      <c r="A19">
        <v>18</v>
      </c>
      <c r="B19" s="1" t="s">
        <v>292</v>
      </c>
      <c r="C19" t="s">
        <v>267</v>
      </c>
      <c r="E19" t="s">
        <v>390</v>
      </c>
      <c r="F19" t="s">
        <v>201</v>
      </c>
      <c r="G19" t="s">
        <v>896</v>
      </c>
    </row>
    <row r="20" spans="1:7" ht="19">
      <c r="A20">
        <v>19</v>
      </c>
      <c r="B20" s="1" t="s">
        <v>293</v>
      </c>
      <c r="C20" t="s">
        <v>271</v>
      </c>
      <c r="E20" t="s">
        <v>390</v>
      </c>
      <c r="F20" t="s">
        <v>201</v>
      </c>
      <c r="G20" t="s">
        <v>897</v>
      </c>
    </row>
    <row r="21" spans="1:7" ht="19">
      <c r="A21">
        <v>20</v>
      </c>
      <c r="B21" s="1" t="s">
        <v>294</v>
      </c>
      <c r="C21" t="s">
        <v>271</v>
      </c>
      <c r="E21" t="s">
        <v>390</v>
      </c>
      <c r="F21" t="s">
        <v>201</v>
      </c>
      <c r="G21" t="s">
        <v>898</v>
      </c>
    </row>
  </sheetData>
  <autoFilter ref="A1:I21" xr:uid="{46E281F8-A859-224A-892F-F3EE4BBD4B3E}">
    <filterColumn colId="4">
      <filters>
        <filter val="no"/>
      </filters>
    </filterColumn>
  </autoFilter>
  <phoneticPr fontId="1" type="noConversion"/>
  <conditionalFormatting sqref="E1:E1048576">
    <cfRule type="cellIs" dxfId="14" priority="2" operator="equal">
      <formula>"no"</formula>
    </cfRule>
    <cfRule type="cellIs" dxfId="13" priority="3" operator="equal">
      <formula>"yes"</formula>
    </cfRule>
  </conditionalFormatting>
  <conditionalFormatting sqref="F2:F142">
    <cfRule type="expression" dxfId="12" priority="1">
      <formula>F2&lt;&gt;E2</formula>
    </cfRule>
  </conditionalFormatting>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281F8-A859-224A-892F-F3EE4BBD4B3E}">
  <sheetPr codeName="工作表15" filterMode="1"/>
  <dimension ref="A1:I21"/>
  <sheetViews>
    <sheetView workbookViewId="0">
      <selection sqref="A1:I21"/>
    </sheetView>
  </sheetViews>
  <sheetFormatPr baseColWidth="10" defaultRowHeight="15"/>
  <cols>
    <col min="3" max="3" width="4.83203125" customWidth="1"/>
    <col min="5" max="6" width="11.33203125" customWidth="1"/>
  </cols>
  <sheetData>
    <row r="1" spans="1:9">
      <c r="A1" t="s">
        <v>88</v>
      </c>
      <c r="B1" t="s">
        <v>0</v>
      </c>
      <c r="C1" s="2" t="s">
        <v>202</v>
      </c>
      <c r="D1" t="s">
        <v>6</v>
      </c>
      <c r="E1" t="s">
        <v>1</v>
      </c>
      <c r="F1" t="s">
        <v>4</v>
      </c>
      <c r="G1" t="s">
        <v>2</v>
      </c>
      <c r="H1" t="s">
        <v>5</v>
      </c>
      <c r="I1" t="s">
        <v>3</v>
      </c>
    </row>
    <row r="2" spans="1:9" ht="19">
      <c r="A2">
        <v>1</v>
      </c>
      <c r="B2" s="1" t="s">
        <v>275</v>
      </c>
      <c r="C2" t="s">
        <v>271</v>
      </c>
      <c r="E2" t="s">
        <v>390</v>
      </c>
      <c r="F2" t="s">
        <v>201</v>
      </c>
      <c r="G2" t="s">
        <v>470</v>
      </c>
    </row>
    <row r="3" spans="1:9" ht="19">
      <c r="A3">
        <v>2</v>
      </c>
      <c r="B3" s="1" t="s">
        <v>276</v>
      </c>
      <c r="C3" t="s">
        <v>269</v>
      </c>
      <c r="E3" t="s">
        <v>390</v>
      </c>
      <c r="F3" t="s">
        <v>201</v>
      </c>
      <c r="G3" t="s">
        <v>481</v>
      </c>
    </row>
    <row r="4" spans="1:9" ht="19">
      <c r="A4">
        <v>3</v>
      </c>
      <c r="B4" s="1" t="s">
        <v>277</v>
      </c>
      <c r="C4" t="s">
        <v>267</v>
      </c>
      <c r="E4" t="s">
        <v>390</v>
      </c>
      <c r="F4" t="s">
        <v>192</v>
      </c>
      <c r="G4" t="s">
        <v>482</v>
      </c>
    </row>
    <row r="5" spans="1:9" ht="19">
      <c r="A5">
        <v>4</v>
      </c>
      <c r="B5" s="1" t="s">
        <v>278</v>
      </c>
      <c r="C5" t="s">
        <v>271</v>
      </c>
      <c r="E5" t="s">
        <v>390</v>
      </c>
      <c r="F5" t="s">
        <v>201</v>
      </c>
      <c r="G5" t="s">
        <v>483</v>
      </c>
    </row>
    <row r="6" spans="1:9" ht="19">
      <c r="A6">
        <v>5</v>
      </c>
      <c r="B6" s="1" t="s">
        <v>279</v>
      </c>
      <c r="C6" t="s">
        <v>271</v>
      </c>
      <c r="E6" t="s">
        <v>390</v>
      </c>
      <c r="F6" t="s">
        <v>201</v>
      </c>
      <c r="G6" t="s">
        <v>484</v>
      </c>
    </row>
    <row r="7" spans="1:9" ht="19" hidden="1">
      <c r="A7">
        <v>6</v>
      </c>
      <c r="B7" s="1" t="s">
        <v>280</v>
      </c>
      <c r="C7" t="s">
        <v>297</v>
      </c>
      <c r="E7" t="s">
        <v>391</v>
      </c>
      <c r="F7" t="s">
        <v>192</v>
      </c>
      <c r="G7" t="s">
        <v>485</v>
      </c>
    </row>
    <row r="8" spans="1:9" ht="19" hidden="1">
      <c r="A8">
        <v>7</v>
      </c>
      <c r="B8" s="1" t="s">
        <v>281</v>
      </c>
      <c r="C8" t="s">
        <v>298</v>
      </c>
      <c r="E8" t="s">
        <v>391</v>
      </c>
      <c r="F8" t="s">
        <v>192</v>
      </c>
      <c r="G8" t="s">
        <v>486</v>
      </c>
    </row>
    <row r="9" spans="1:9" ht="19" hidden="1">
      <c r="A9">
        <v>8</v>
      </c>
      <c r="B9" s="1" t="s">
        <v>282</v>
      </c>
      <c r="C9" t="s">
        <v>298</v>
      </c>
      <c r="E9" t="s">
        <v>391</v>
      </c>
      <c r="F9" t="s">
        <v>192</v>
      </c>
      <c r="G9" t="s">
        <v>487</v>
      </c>
    </row>
    <row r="10" spans="1:9" ht="19">
      <c r="A10">
        <v>9</v>
      </c>
      <c r="B10" s="1" t="s">
        <v>283</v>
      </c>
      <c r="C10" t="s">
        <v>274</v>
      </c>
      <c r="E10" t="s">
        <v>390</v>
      </c>
      <c r="F10" t="s">
        <v>192</v>
      </c>
      <c r="G10" t="s">
        <v>488</v>
      </c>
    </row>
    <row r="11" spans="1:9" ht="19">
      <c r="A11">
        <v>10</v>
      </c>
      <c r="B11" s="1" t="s">
        <v>284</v>
      </c>
      <c r="C11" t="s">
        <v>271</v>
      </c>
      <c r="E11" t="s">
        <v>390</v>
      </c>
      <c r="F11" t="s">
        <v>201</v>
      </c>
      <c r="G11" t="s">
        <v>489</v>
      </c>
    </row>
    <row r="12" spans="1:9" ht="19">
      <c r="A12">
        <v>11</v>
      </c>
      <c r="B12" s="1" t="s">
        <v>285</v>
      </c>
      <c r="C12" t="s">
        <v>274</v>
      </c>
      <c r="E12" t="s">
        <v>390</v>
      </c>
      <c r="F12" t="s">
        <v>192</v>
      </c>
      <c r="G12" t="s">
        <v>490</v>
      </c>
    </row>
    <row r="13" spans="1:9" ht="19">
      <c r="A13">
        <v>12</v>
      </c>
      <c r="B13" s="1" t="s">
        <v>286</v>
      </c>
      <c r="C13" t="s">
        <v>271</v>
      </c>
      <c r="E13" t="s">
        <v>390</v>
      </c>
      <c r="F13" t="s">
        <v>201</v>
      </c>
      <c r="G13" t="s">
        <v>491</v>
      </c>
    </row>
    <row r="14" spans="1:9" ht="19" hidden="1">
      <c r="A14">
        <v>13</v>
      </c>
      <c r="B14" s="1" t="s">
        <v>287</v>
      </c>
      <c r="C14" t="s">
        <v>298</v>
      </c>
      <c r="E14" t="s">
        <v>391</v>
      </c>
      <c r="F14" t="s">
        <v>192</v>
      </c>
      <c r="G14" t="s">
        <v>492</v>
      </c>
    </row>
    <row r="15" spans="1:9" ht="19">
      <c r="A15">
        <v>14</v>
      </c>
      <c r="B15" s="1" t="s">
        <v>288</v>
      </c>
      <c r="C15" t="s">
        <v>274</v>
      </c>
      <c r="E15" t="s">
        <v>390</v>
      </c>
      <c r="F15" t="s">
        <v>201</v>
      </c>
      <c r="G15" t="s">
        <v>493</v>
      </c>
    </row>
    <row r="16" spans="1:9" ht="19" hidden="1">
      <c r="A16">
        <v>15</v>
      </c>
      <c r="B16" s="1" t="s">
        <v>289</v>
      </c>
      <c r="C16" t="s">
        <v>295</v>
      </c>
      <c r="E16" t="s">
        <v>391</v>
      </c>
      <c r="F16" t="s">
        <v>192</v>
      </c>
      <c r="G16" t="s">
        <v>494</v>
      </c>
    </row>
    <row r="17" spans="1:7" ht="19">
      <c r="A17">
        <v>16</v>
      </c>
      <c r="B17" s="1" t="s">
        <v>290</v>
      </c>
      <c r="C17" t="s">
        <v>271</v>
      </c>
      <c r="E17" t="s">
        <v>390</v>
      </c>
      <c r="F17" t="s">
        <v>201</v>
      </c>
      <c r="G17" t="s">
        <v>495</v>
      </c>
    </row>
    <row r="18" spans="1:7" ht="19">
      <c r="A18">
        <v>17</v>
      </c>
      <c r="B18" s="1" t="s">
        <v>291</v>
      </c>
      <c r="C18" t="s">
        <v>271</v>
      </c>
      <c r="E18" t="s">
        <v>390</v>
      </c>
      <c r="F18" t="s">
        <v>192</v>
      </c>
      <c r="G18" t="s">
        <v>496</v>
      </c>
    </row>
    <row r="19" spans="1:7" ht="19">
      <c r="A19">
        <v>18</v>
      </c>
      <c r="B19" s="1" t="s">
        <v>292</v>
      </c>
      <c r="C19" t="s">
        <v>267</v>
      </c>
      <c r="E19" t="s">
        <v>390</v>
      </c>
      <c r="F19" t="s">
        <v>201</v>
      </c>
      <c r="G19" t="s">
        <v>497</v>
      </c>
    </row>
    <row r="20" spans="1:7" ht="19">
      <c r="A20">
        <v>19</v>
      </c>
      <c r="B20" s="1" t="s">
        <v>293</v>
      </c>
      <c r="C20" t="s">
        <v>271</v>
      </c>
      <c r="E20" t="s">
        <v>390</v>
      </c>
      <c r="F20" t="s">
        <v>201</v>
      </c>
      <c r="G20" t="s">
        <v>498</v>
      </c>
    </row>
    <row r="21" spans="1:7" ht="19">
      <c r="A21">
        <v>20</v>
      </c>
      <c r="B21" s="1" t="s">
        <v>294</v>
      </c>
      <c r="C21" t="s">
        <v>271</v>
      </c>
      <c r="E21" t="s">
        <v>390</v>
      </c>
      <c r="F21" t="s">
        <v>201</v>
      </c>
      <c r="G21" t="s">
        <v>499</v>
      </c>
    </row>
  </sheetData>
  <autoFilter ref="A1:I21" xr:uid="{46E281F8-A859-224A-892F-F3EE4BBD4B3E}">
    <filterColumn colId="4">
      <filters>
        <filter val="no"/>
      </filters>
    </filterColumn>
  </autoFilter>
  <phoneticPr fontId="1" type="noConversion"/>
  <conditionalFormatting sqref="E1:E1048576">
    <cfRule type="cellIs" dxfId="11" priority="2" operator="equal">
      <formula>"no"</formula>
    </cfRule>
    <cfRule type="cellIs" dxfId="10" priority="3" operator="equal">
      <formula>"yes"</formula>
    </cfRule>
  </conditionalFormatting>
  <conditionalFormatting sqref="F2:F142">
    <cfRule type="expression" dxfId="9" priority="1">
      <formula>F2&lt;&gt;E2</formula>
    </cfRule>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7B0A-ED92-AD49-B168-4745CE120991}">
  <sheetPr codeName="工作表20" filterMode="1"/>
  <dimension ref="A1:I56"/>
  <sheetViews>
    <sheetView workbookViewId="0">
      <selection activeCell="H14" sqref="A1:I56"/>
    </sheetView>
  </sheetViews>
  <sheetFormatPr baseColWidth="10" defaultRowHeight="15"/>
  <cols>
    <col min="5" max="6" width="11.33203125" customWidth="1"/>
  </cols>
  <sheetData>
    <row r="1" spans="1:9">
      <c r="A1" t="s">
        <v>88</v>
      </c>
      <c r="B1" t="s">
        <v>0</v>
      </c>
      <c r="C1" s="2" t="s">
        <v>202</v>
      </c>
      <c r="D1" t="s">
        <v>6</v>
      </c>
      <c r="E1" t="s">
        <v>1</v>
      </c>
      <c r="F1" t="s">
        <v>500</v>
      </c>
      <c r="G1" t="s">
        <v>2</v>
      </c>
      <c r="H1" t="s">
        <v>5</v>
      </c>
      <c r="I1" t="s">
        <v>3</v>
      </c>
    </row>
    <row r="2" spans="1:9" ht="19">
      <c r="A2">
        <v>1</v>
      </c>
      <c r="B2" s="1" t="s">
        <v>356</v>
      </c>
      <c r="E2" t="s">
        <v>390</v>
      </c>
      <c r="F2" t="s">
        <v>192</v>
      </c>
      <c r="G2" t="s">
        <v>899</v>
      </c>
    </row>
    <row r="3" spans="1:9" ht="19" hidden="1">
      <c r="A3">
        <v>2</v>
      </c>
      <c r="B3" s="1" t="s">
        <v>357</v>
      </c>
      <c r="E3" t="s">
        <v>390</v>
      </c>
      <c r="F3" t="s">
        <v>201</v>
      </c>
      <c r="G3" t="s">
        <v>900</v>
      </c>
    </row>
    <row r="4" spans="1:9" ht="19" hidden="1">
      <c r="A4">
        <v>3</v>
      </c>
      <c r="B4" s="1" t="s">
        <v>358</v>
      </c>
      <c r="E4" t="s">
        <v>390</v>
      </c>
      <c r="F4" t="s">
        <v>201</v>
      </c>
      <c r="G4" t="s">
        <v>900</v>
      </c>
    </row>
    <row r="5" spans="1:9" ht="19">
      <c r="A5">
        <v>4</v>
      </c>
      <c r="B5" s="1" t="s">
        <v>359</v>
      </c>
      <c r="E5" t="s">
        <v>390</v>
      </c>
      <c r="F5" t="s">
        <v>192</v>
      </c>
      <c r="G5" t="s">
        <v>901</v>
      </c>
    </row>
    <row r="6" spans="1:9" ht="19">
      <c r="A6">
        <v>5</v>
      </c>
      <c r="B6" s="1" t="s">
        <v>360</v>
      </c>
      <c r="E6" t="s">
        <v>390</v>
      </c>
      <c r="F6" t="s">
        <v>192</v>
      </c>
      <c r="G6" t="s">
        <v>902</v>
      </c>
    </row>
    <row r="7" spans="1:9" ht="19" hidden="1">
      <c r="A7">
        <v>6</v>
      </c>
      <c r="B7" s="1" t="s">
        <v>361</v>
      </c>
      <c r="E7" t="s">
        <v>390</v>
      </c>
      <c r="F7" t="s">
        <v>201</v>
      </c>
      <c r="G7" t="s">
        <v>903</v>
      </c>
    </row>
    <row r="8" spans="1:9" ht="19" hidden="1">
      <c r="A8">
        <v>7</v>
      </c>
      <c r="B8" s="1" t="s">
        <v>362</v>
      </c>
      <c r="E8" t="s">
        <v>390</v>
      </c>
      <c r="F8" t="s">
        <v>201</v>
      </c>
      <c r="G8" t="s">
        <v>904</v>
      </c>
    </row>
    <row r="9" spans="1:9" ht="19" hidden="1">
      <c r="A9">
        <v>8</v>
      </c>
      <c r="B9" s="1" t="s">
        <v>363</v>
      </c>
      <c r="E9" t="s">
        <v>390</v>
      </c>
      <c r="F9" t="s">
        <v>201</v>
      </c>
      <c r="G9" t="s">
        <v>905</v>
      </c>
    </row>
    <row r="10" spans="1:9" ht="19" hidden="1">
      <c r="A10">
        <v>9</v>
      </c>
      <c r="B10" s="1" t="s">
        <v>364</v>
      </c>
      <c r="E10" t="s">
        <v>390</v>
      </c>
      <c r="F10" t="s">
        <v>201</v>
      </c>
      <c r="G10" t="s">
        <v>906</v>
      </c>
    </row>
    <row r="11" spans="1:9" ht="19" hidden="1">
      <c r="A11">
        <v>10</v>
      </c>
      <c r="B11" s="1" t="s">
        <v>365</v>
      </c>
      <c r="E11" t="s">
        <v>390</v>
      </c>
      <c r="F11" t="s">
        <v>201</v>
      </c>
      <c r="G11" t="s">
        <v>907</v>
      </c>
    </row>
    <row r="12" spans="1:9" ht="19" hidden="1">
      <c r="A12">
        <v>11</v>
      </c>
      <c r="B12" s="1" t="s">
        <v>366</v>
      </c>
      <c r="E12" t="s">
        <v>390</v>
      </c>
      <c r="F12" t="s">
        <v>201</v>
      </c>
      <c r="G12" t="s">
        <v>908</v>
      </c>
    </row>
    <row r="13" spans="1:9" ht="19" hidden="1">
      <c r="A13">
        <v>12</v>
      </c>
      <c r="B13" s="1" t="s">
        <v>367</v>
      </c>
      <c r="E13" t="s">
        <v>390</v>
      </c>
      <c r="F13" t="s">
        <v>201</v>
      </c>
      <c r="G13" t="s">
        <v>909</v>
      </c>
    </row>
    <row r="14" spans="1:9" ht="19" hidden="1">
      <c r="A14">
        <v>13</v>
      </c>
      <c r="B14" s="1" t="s">
        <v>368</v>
      </c>
      <c r="E14" t="s">
        <v>390</v>
      </c>
      <c r="F14" t="s">
        <v>201</v>
      </c>
      <c r="G14" t="s">
        <v>910</v>
      </c>
    </row>
    <row r="15" spans="1:9" ht="19">
      <c r="A15">
        <v>14</v>
      </c>
      <c r="B15" s="1" t="s">
        <v>369</v>
      </c>
      <c r="E15" t="s">
        <v>390</v>
      </c>
      <c r="F15" t="s">
        <v>192</v>
      </c>
      <c r="G15" t="s">
        <v>911</v>
      </c>
    </row>
    <row r="16" spans="1:9" ht="19" hidden="1">
      <c r="A16">
        <v>15</v>
      </c>
      <c r="B16" s="1" t="s">
        <v>370</v>
      </c>
      <c r="E16" t="s">
        <v>390</v>
      </c>
      <c r="F16" t="s">
        <v>201</v>
      </c>
      <c r="G16" t="s">
        <v>912</v>
      </c>
    </row>
    <row r="17" spans="1:7" ht="19" hidden="1">
      <c r="A17">
        <v>16</v>
      </c>
      <c r="B17" s="1" t="s">
        <v>371</v>
      </c>
      <c r="E17" t="s">
        <v>390</v>
      </c>
      <c r="F17" t="s">
        <v>201</v>
      </c>
      <c r="G17" t="s">
        <v>913</v>
      </c>
    </row>
    <row r="18" spans="1:7" ht="19" hidden="1">
      <c r="A18">
        <v>17</v>
      </c>
      <c r="B18" s="1" t="s">
        <v>372</v>
      </c>
      <c r="E18" t="s">
        <v>390</v>
      </c>
      <c r="F18" t="s">
        <v>201</v>
      </c>
      <c r="G18" t="s">
        <v>914</v>
      </c>
    </row>
    <row r="19" spans="1:7" ht="19">
      <c r="A19">
        <v>18</v>
      </c>
      <c r="B19" s="1" t="s">
        <v>373</v>
      </c>
      <c r="E19" t="s">
        <v>390</v>
      </c>
      <c r="F19" t="s">
        <v>192</v>
      </c>
      <c r="G19" t="s">
        <v>915</v>
      </c>
    </row>
    <row r="20" spans="1:7" ht="19">
      <c r="A20">
        <v>19</v>
      </c>
      <c r="B20" s="1" t="s">
        <v>374</v>
      </c>
      <c r="E20" t="s">
        <v>390</v>
      </c>
      <c r="F20" t="s">
        <v>192</v>
      </c>
      <c r="G20" t="s">
        <v>916</v>
      </c>
    </row>
    <row r="21" spans="1:7" ht="19" hidden="1">
      <c r="A21">
        <v>20</v>
      </c>
      <c r="B21" s="1" t="s">
        <v>375</v>
      </c>
      <c r="E21" t="s">
        <v>390</v>
      </c>
      <c r="F21" t="s">
        <v>201</v>
      </c>
      <c r="G21" t="s">
        <v>917</v>
      </c>
    </row>
    <row r="22" spans="1:7" ht="19" hidden="1">
      <c r="A22">
        <v>21</v>
      </c>
      <c r="B22" s="1" t="s">
        <v>376</v>
      </c>
      <c r="E22" t="s">
        <v>390</v>
      </c>
      <c r="F22" t="s">
        <v>201</v>
      </c>
      <c r="G22" t="s">
        <v>918</v>
      </c>
    </row>
    <row r="23" spans="1:7" ht="19" hidden="1">
      <c r="A23">
        <v>22</v>
      </c>
      <c r="B23" s="1" t="s">
        <v>377</v>
      </c>
      <c r="E23" t="s">
        <v>390</v>
      </c>
      <c r="F23" t="s">
        <v>201</v>
      </c>
      <c r="G23" t="s">
        <v>919</v>
      </c>
    </row>
    <row r="24" spans="1:7" ht="19" hidden="1">
      <c r="A24">
        <v>23</v>
      </c>
      <c r="B24" s="1" t="s">
        <v>378</v>
      </c>
      <c r="E24" t="s">
        <v>390</v>
      </c>
      <c r="F24" t="s">
        <v>201</v>
      </c>
      <c r="G24" t="s">
        <v>920</v>
      </c>
    </row>
    <row r="25" spans="1:7" ht="19" hidden="1">
      <c r="A25">
        <v>24</v>
      </c>
      <c r="B25" s="1" t="s">
        <v>379</v>
      </c>
      <c r="E25" t="s">
        <v>390</v>
      </c>
      <c r="F25" t="s">
        <v>201</v>
      </c>
      <c r="G25" t="s">
        <v>921</v>
      </c>
    </row>
    <row r="26" spans="1:7" ht="19" hidden="1">
      <c r="A26">
        <v>25</v>
      </c>
      <c r="B26" s="1" t="s">
        <v>380</v>
      </c>
      <c r="E26" t="s">
        <v>390</v>
      </c>
      <c r="F26" t="s">
        <v>201</v>
      </c>
      <c r="G26" t="s">
        <v>922</v>
      </c>
    </row>
    <row r="27" spans="1:7" ht="19" hidden="1">
      <c r="A27">
        <v>26</v>
      </c>
      <c r="B27" s="1" t="s">
        <v>381</v>
      </c>
      <c r="E27" t="s">
        <v>390</v>
      </c>
      <c r="F27" t="s">
        <v>201</v>
      </c>
      <c r="G27" t="s">
        <v>923</v>
      </c>
    </row>
    <row r="28" spans="1:7" ht="19" hidden="1">
      <c r="A28">
        <v>27</v>
      </c>
      <c r="B28" s="1" t="s">
        <v>382</v>
      </c>
      <c r="E28" t="s">
        <v>390</v>
      </c>
      <c r="F28" t="s">
        <v>201</v>
      </c>
      <c r="G28" t="s">
        <v>924</v>
      </c>
    </row>
    <row r="29" spans="1:7" ht="19" hidden="1">
      <c r="A29">
        <v>28</v>
      </c>
      <c r="B29" s="1" t="s">
        <v>383</v>
      </c>
      <c r="E29" t="s">
        <v>390</v>
      </c>
      <c r="F29" t="s">
        <v>201</v>
      </c>
      <c r="G29" t="s">
        <v>925</v>
      </c>
    </row>
    <row r="30" spans="1:7" ht="19" hidden="1">
      <c r="A30">
        <v>29</v>
      </c>
      <c r="B30" s="1" t="s">
        <v>384</v>
      </c>
      <c r="E30" t="s">
        <v>390</v>
      </c>
      <c r="F30" t="s">
        <v>201</v>
      </c>
      <c r="G30" t="s">
        <v>926</v>
      </c>
    </row>
    <row r="31" spans="1:7" ht="19" hidden="1">
      <c r="A31">
        <v>30</v>
      </c>
      <c r="B31" s="1" t="s">
        <v>385</v>
      </c>
      <c r="E31" t="s">
        <v>390</v>
      </c>
      <c r="F31" t="s">
        <v>201</v>
      </c>
      <c r="G31" t="s">
        <v>927</v>
      </c>
    </row>
    <row r="32" spans="1:7" ht="19">
      <c r="A32">
        <v>31</v>
      </c>
      <c r="B32" s="1" t="s">
        <v>386</v>
      </c>
      <c r="E32" t="s">
        <v>390</v>
      </c>
      <c r="F32" t="s">
        <v>192</v>
      </c>
      <c r="G32" t="s">
        <v>928</v>
      </c>
    </row>
    <row r="33" spans="1:7" ht="19" hidden="1">
      <c r="A33">
        <v>32</v>
      </c>
      <c r="B33" s="1" t="s">
        <v>387</v>
      </c>
      <c r="E33" t="s">
        <v>390</v>
      </c>
      <c r="F33" t="s">
        <v>201</v>
      </c>
      <c r="G33" t="s">
        <v>929</v>
      </c>
    </row>
    <row r="34" spans="1:7" ht="19" hidden="1">
      <c r="A34">
        <v>33</v>
      </c>
      <c r="B34" s="1" t="s">
        <v>388</v>
      </c>
      <c r="E34" t="s">
        <v>390</v>
      </c>
      <c r="F34" t="s">
        <v>201</v>
      </c>
      <c r="G34" t="s">
        <v>930</v>
      </c>
    </row>
    <row r="35" spans="1:7" ht="19" hidden="1">
      <c r="A35">
        <v>34</v>
      </c>
      <c r="B35" s="1" t="s">
        <v>389</v>
      </c>
      <c r="E35" t="s">
        <v>390</v>
      </c>
      <c r="F35" t="s">
        <v>201</v>
      </c>
      <c r="G35" t="s">
        <v>931</v>
      </c>
    </row>
    <row r="36" spans="1:7" ht="19" hidden="1">
      <c r="B36" s="1"/>
    </row>
    <row r="37" spans="1:7" ht="19" hidden="1">
      <c r="B37" s="1"/>
    </row>
    <row r="38" spans="1:7" ht="19" hidden="1">
      <c r="B38" s="1"/>
    </row>
    <row r="39" spans="1:7" ht="19" hidden="1">
      <c r="B39" s="1"/>
    </row>
    <row r="40" spans="1:7" ht="19" hidden="1">
      <c r="B40" s="1"/>
    </row>
    <row r="41" spans="1:7" ht="19" hidden="1">
      <c r="B41" s="1"/>
    </row>
    <row r="42" spans="1:7" ht="19" hidden="1">
      <c r="B42" s="1"/>
    </row>
    <row r="43" spans="1:7" ht="19" hidden="1">
      <c r="B43" s="1"/>
    </row>
    <row r="44" spans="1:7" ht="19" hidden="1">
      <c r="B44" s="1"/>
    </row>
    <row r="45" spans="1:7" ht="19" hidden="1">
      <c r="B45" s="1"/>
    </row>
    <row r="46" spans="1:7" ht="19" hidden="1">
      <c r="B46" s="1"/>
    </row>
    <row r="47" spans="1:7" ht="19" hidden="1">
      <c r="B47" s="1"/>
    </row>
    <row r="48" spans="1:7" ht="19" hidden="1">
      <c r="B48" s="1"/>
    </row>
    <row r="49" spans="2:2" ht="19" hidden="1">
      <c r="B49" s="1"/>
    </row>
    <row r="50" spans="2:2" ht="19" hidden="1">
      <c r="B50" s="1"/>
    </row>
    <row r="51" spans="2:2" ht="19" hidden="1">
      <c r="B51" s="1"/>
    </row>
    <row r="52" spans="2:2" ht="19" hidden="1">
      <c r="B52" s="1"/>
    </row>
    <row r="53" spans="2:2" ht="19" hidden="1">
      <c r="B53" s="1"/>
    </row>
    <row r="54" spans="2:2" ht="19" hidden="1">
      <c r="B54" s="1"/>
    </row>
    <row r="55" spans="2:2" ht="19" hidden="1">
      <c r="B55" s="1"/>
    </row>
    <row r="56" spans="2:2" ht="19" hidden="1">
      <c r="B56" s="1"/>
    </row>
  </sheetData>
  <autoFilter ref="A1:I56" xr:uid="{F90519FF-E703-824A-9E8D-FEA88787CBB8}">
    <filterColumn colId="5">
      <filters>
        <filter val="yes"/>
      </filters>
    </filterColumn>
  </autoFilter>
  <phoneticPr fontId="1" type="noConversion"/>
  <conditionalFormatting sqref="E1:E1048576">
    <cfRule type="cellIs" dxfId="8" priority="2" operator="equal">
      <formula>"no"</formula>
    </cfRule>
    <cfRule type="cellIs" dxfId="7" priority="3" operator="equal">
      <formula>"yes"</formula>
    </cfRule>
  </conditionalFormatting>
  <conditionalFormatting sqref="F2:F142">
    <cfRule type="expression" dxfId="6" priority="1">
      <formula>F2&lt;&gt;E2</formula>
    </cfRule>
  </conditionalFormatting>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81279-8CEE-F744-B4CD-82A14E296E20}">
  <sheetPr codeName="工作表19"/>
  <dimension ref="A1:I56"/>
  <sheetViews>
    <sheetView workbookViewId="0">
      <selection activeCell="H14" sqref="H14"/>
    </sheetView>
  </sheetViews>
  <sheetFormatPr baseColWidth="10" defaultRowHeight="15"/>
  <cols>
    <col min="5" max="6" width="11.33203125" customWidth="1"/>
  </cols>
  <sheetData>
    <row r="1" spans="1:9">
      <c r="A1" t="s">
        <v>88</v>
      </c>
      <c r="B1" t="s">
        <v>0</v>
      </c>
      <c r="C1" s="2" t="s">
        <v>202</v>
      </c>
      <c r="D1" t="s">
        <v>6</v>
      </c>
      <c r="E1" t="s">
        <v>1</v>
      </c>
      <c r="F1" t="s">
        <v>500</v>
      </c>
      <c r="G1" t="s">
        <v>2</v>
      </c>
      <c r="H1" t="s">
        <v>5</v>
      </c>
      <c r="I1" t="s">
        <v>3</v>
      </c>
    </row>
    <row r="2" spans="1:9" ht="19">
      <c r="A2">
        <v>1</v>
      </c>
      <c r="B2" s="1" t="s">
        <v>356</v>
      </c>
      <c r="E2" t="s">
        <v>390</v>
      </c>
      <c r="F2" t="s">
        <v>192</v>
      </c>
      <c r="G2" t="s">
        <v>845</v>
      </c>
    </row>
    <row r="3" spans="1:9" ht="19">
      <c r="A3">
        <v>2</v>
      </c>
      <c r="B3" s="1" t="s">
        <v>357</v>
      </c>
      <c r="E3" t="s">
        <v>390</v>
      </c>
      <c r="F3" t="s">
        <v>201</v>
      </c>
      <c r="G3" t="s">
        <v>846</v>
      </c>
    </row>
    <row r="4" spans="1:9" ht="19">
      <c r="A4">
        <v>3</v>
      </c>
      <c r="B4" s="1" t="s">
        <v>358</v>
      </c>
      <c r="E4" t="s">
        <v>390</v>
      </c>
      <c r="F4" t="s">
        <v>201</v>
      </c>
      <c r="G4" t="s">
        <v>847</v>
      </c>
    </row>
    <row r="5" spans="1:9" ht="19">
      <c r="A5">
        <v>4</v>
      </c>
      <c r="B5" s="1" t="s">
        <v>359</v>
      </c>
      <c r="E5" t="s">
        <v>390</v>
      </c>
      <c r="F5" t="s">
        <v>201</v>
      </c>
      <c r="G5" t="s">
        <v>848</v>
      </c>
    </row>
    <row r="6" spans="1:9" ht="19">
      <c r="A6">
        <v>5</v>
      </c>
      <c r="B6" s="1" t="s">
        <v>360</v>
      </c>
      <c r="E6" t="s">
        <v>390</v>
      </c>
      <c r="F6" t="s">
        <v>201</v>
      </c>
      <c r="G6" t="s">
        <v>849</v>
      </c>
    </row>
    <row r="7" spans="1:9" ht="19">
      <c r="A7">
        <v>6</v>
      </c>
      <c r="B7" s="1" t="s">
        <v>361</v>
      </c>
      <c r="E7" t="s">
        <v>390</v>
      </c>
      <c r="F7" t="s">
        <v>201</v>
      </c>
      <c r="G7" t="s">
        <v>850</v>
      </c>
    </row>
    <row r="8" spans="1:9" ht="19">
      <c r="A8">
        <v>7</v>
      </c>
      <c r="B8" s="1" t="s">
        <v>362</v>
      </c>
      <c r="E8" t="s">
        <v>390</v>
      </c>
      <c r="F8" t="s">
        <v>201</v>
      </c>
      <c r="G8" t="s">
        <v>851</v>
      </c>
    </row>
    <row r="9" spans="1:9" ht="19">
      <c r="A9">
        <v>8</v>
      </c>
      <c r="B9" s="1" t="s">
        <v>363</v>
      </c>
      <c r="E9" t="s">
        <v>390</v>
      </c>
      <c r="F9" t="s">
        <v>201</v>
      </c>
      <c r="G9" t="s">
        <v>852</v>
      </c>
    </row>
    <row r="10" spans="1:9" ht="19">
      <c r="A10">
        <v>9</v>
      </c>
      <c r="B10" s="1" t="s">
        <v>364</v>
      </c>
      <c r="E10" t="s">
        <v>390</v>
      </c>
      <c r="F10" t="s">
        <v>201</v>
      </c>
      <c r="G10" t="s">
        <v>853</v>
      </c>
    </row>
    <row r="11" spans="1:9" ht="19">
      <c r="A11">
        <v>10</v>
      </c>
      <c r="B11" s="1" t="s">
        <v>365</v>
      </c>
      <c r="E11" t="s">
        <v>390</v>
      </c>
      <c r="F11" t="s">
        <v>201</v>
      </c>
      <c r="G11" t="s">
        <v>854</v>
      </c>
    </row>
    <row r="12" spans="1:9" ht="19">
      <c r="A12">
        <v>11</v>
      </c>
      <c r="B12" s="1" t="s">
        <v>366</v>
      </c>
      <c r="E12" t="s">
        <v>390</v>
      </c>
      <c r="F12" t="s">
        <v>201</v>
      </c>
      <c r="G12" t="s">
        <v>855</v>
      </c>
    </row>
    <row r="13" spans="1:9" ht="19">
      <c r="A13">
        <v>12</v>
      </c>
      <c r="B13" s="1" t="s">
        <v>367</v>
      </c>
      <c r="E13" t="s">
        <v>390</v>
      </c>
      <c r="F13" t="s">
        <v>192</v>
      </c>
      <c r="G13" t="s">
        <v>856</v>
      </c>
    </row>
    <row r="14" spans="1:9" ht="19">
      <c r="A14">
        <v>13</v>
      </c>
      <c r="B14" s="1" t="s">
        <v>368</v>
      </c>
      <c r="E14" t="s">
        <v>390</v>
      </c>
      <c r="F14" t="s">
        <v>201</v>
      </c>
      <c r="G14" t="s">
        <v>857</v>
      </c>
    </row>
    <row r="15" spans="1:9" ht="19">
      <c r="A15">
        <v>14</v>
      </c>
      <c r="B15" s="1" t="s">
        <v>369</v>
      </c>
      <c r="E15" t="s">
        <v>390</v>
      </c>
      <c r="F15" t="s">
        <v>192</v>
      </c>
      <c r="G15" t="s">
        <v>858</v>
      </c>
    </row>
    <row r="16" spans="1:9" ht="19">
      <c r="A16">
        <v>15</v>
      </c>
      <c r="B16" s="1" t="s">
        <v>370</v>
      </c>
      <c r="E16" t="s">
        <v>390</v>
      </c>
      <c r="F16" t="s">
        <v>201</v>
      </c>
      <c r="G16" t="s">
        <v>859</v>
      </c>
    </row>
    <row r="17" spans="1:7" ht="19">
      <c r="A17">
        <v>16</v>
      </c>
      <c r="B17" s="1" t="s">
        <v>371</v>
      </c>
      <c r="E17" t="s">
        <v>390</v>
      </c>
      <c r="F17" t="s">
        <v>201</v>
      </c>
      <c r="G17" t="s">
        <v>860</v>
      </c>
    </row>
    <row r="18" spans="1:7" ht="19">
      <c r="A18">
        <v>17</v>
      </c>
      <c r="B18" s="1" t="s">
        <v>372</v>
      </c>
      <c r="E18" t="s">
        <v>390</v>
      </c>
      <c r="F18" t="s">
        <v>201</v>
      </c>
      <c r="G18" t="s">
        <v>861</v>
      </c>
    </row>
    <row r="19" spans="1:7" ht="19">
      <c r="A19">
        <v>18</v>
      </c>
      <c r="B19" s="1" t="s">
        <v>373</v>
      </c>
      <c r="E19" t="s">
        <v>390</v>
      </c>
      <c r="F19" t="s">
        <v>192</v>
      </c>
      <c r="G19" t="s">
        <v>862</v>
      </c>
    </row>
    <row r="20" spans="1:7" ht="19">
      <c r="A20">
        <v>19</v>
      </c>
      <c r="B20" s="1" t="s">
        <v>374</v>
      </c>
      <c r="E20" t="s">
        <v>390</v>
      </c>
      <c r="F20" t="s">
        <v>201</v>
      </c>
      <c r="G20" t="s">
        <v>863</v>
      </c>
    </row>
    <row r="21" spans="1:7" ht="19">
      <c r="A21">
        <v>20</v>
      </c>
      <c r="B21" s="1" t="s">
        <v>375</v>
      </c>
      <c r="E21" t="s">
        <v>390</v>
      </c>
      <c r="F21" t="s">
        <v>201</v>
      </c>
      <c r="G21" t="s">
        <v>864</v>
      </c>
    </row>
    <row r="22" spans="1:7" ht="19">
      <c r="A22">
        <v>21</v>
      </c>
      <c r="B22" s="1" t="s">
        <v>376</v>
      </c>
      <c r="E22" t="s">
        <v>390</v>
      </c>
      <c r="F22" t="s">
        <v>201</v>
      </c>
      <c r="G22" t="s">
        <v>865</v>
      </c>
    </row>
    <row r="23" spans="1:7" ht="19">
      <c r="A23">
        <v>22</v>
      </c>
      <c r="B23" s="1" t="s">
        <v>377</v>
      </c>
      <c r="E23" t="s">
        <v>390</v>
      </c>
      <c r="F23" t="s">
        <v>201</v>
      </c>
      <c r="G23" t="s">
        <v>866</v>
      </c>
    </row>
    <row r="24" spans="1:7" ht="19">
      <c r="A24">
        <v>23</v>
      </c>
      <c r="B24" s="1" t="s">
        <v>378</v>
      </c>
      <c r="E24" t="s">
        <v>390</v>
      </c>
      <c r="F24" t="s">
        <v>201</v>
      </c>
      <c r="G24" t="s">
        <v>867</v>
      </c>
    </row>
    <row r="25" spans="1:7" ht="19">
      <c r="A25">
        <v>24</v>
      </c>
      <c r="B25" s="1" t="s">
        <v>379</v>
      </c>
      <c r="E25" t="s">
        <v>390</v>
      </c>
      <c r="F25" t="s">
        <v>201</v>
      </c>
      <c r="G25" t="s">
        <v>868</v>
      </c>
    </row>
    <row r="26" spans="1:7" ht="19">
      <c r="A26">
        <v>25</v>
      </c>
      <c r="B26" s="1" t="s">
        <v>380</v>
      </c>
      <c r="E26" t="s">
        <v>390</v>
      </c>
      <c r="F26" t="s">
        <v>201</v>
      </c>
      <c r="G26" t="s">
        <v>869</v>
      </c>
    </row>
    <row r="27" spans="1:7" ht="19">
      <c r="A27">
        <v>26</v>
      </c>
      <c r="B27" s="1" t="s">
        <v>381</v>
      </c>
      <c r="E27" t="s">
        <v>390</v>
      </c>
      <c r="F27" t="s">
        <v>201</v>
      </c>
      <c r="G27" t="s">
        <v>870</v>
      </c>
    </row>
    <row r="28" spans="1:7" ht="19">
      <c r="A28">
        <v>27</v>
      </c>
      <c r="B28" s="1" t="s">
        <v>382</v>
      </c>
      <c r="E28" t="s">
        <v>390</v>
      </c>
      <c r="F28" t="s">
        <v>201</v>
      </c>
      <c r="G28" t="s">
        <v>871</v>
      </c>
    </row>
    <row r="29" spans="1:7" ht="19">
      <c r="A29">
        <v>28</v>
      </c>
      <c r="B29" s="1" t="s">
        <v>383</v>
      </c>
      <c r="E29" t="s">
        <v>390</v>
      </c>
      <c r="F29" t="s">
        <v>192</v>
      </c>
      <c r="G29" t="s">
        <v>872</v>
      </c>
    </row>
    <row r="30" spans="1:7" ht="19">
      <c r="A30">
        <v>29</v>
      </c>
      <c r="B30" s="1" t="s">
        <v>384</v>
      </c>
      <c r="E30" t="s">
        <v>390</v>
      </c>
      <c r="F30" t="s">
        <v>192</v>
      </c>
      <c r="G30" t="s">
        <v>873</v>
      </c>
    </row>
    <row r="31" spans="1:7" ht="19">
      <c r="A31">
        <v>30</v>
      </c>
      <c r="B31" s="1" t="s">
        <v>385</v>
      </c>
      <c r="E31" t="s">
        <v>390</v>
      </c>
      <c r="F31" t="s">
        <v>201</v>
      </c>
      <c r="G31" t="s">
        <v>874</v>
      </c>
    </row>
    <row r="32" spans="1:7" ht="19">
      <c r="A32">
        <v>31</v>
      </c>
      <c r="B32" s="1" t="s">
        <v>386</v>
      </c>
      <c r="E32" t="s">
        <v>390</v>
      </c>
      <c r="F32" t="s">
        <v>192</v>
      </c>
      <c r="G32" t="s">
        <v>875</v>
      </c>
    </row>
    <row r="33" spans="1:7" ht="19">
      <c r="A33">
        <v>32</v>
      </c>
      <c r="B33" s="1" t="s">
        <v>387</v>
      </c>
      <c r="E33" t="s">
        <v>390</v>
      </c>
      <c r="F33" t="s">
        <v>201</v>
      </c>
      <c r="G33" t="s">
        <v>876</v>
      </c>
    </row>
    <row r="34" spans="1:7" ht="19">
      <c r="A34">
        <v>33</v>
      </c>
      <c r="B34" s="1" t="s">
        <v>388</v>
      </c>
      <c r="E34" t="s">
        <v>390</v>
      </c>
      <c r="F34" t="s">
        <v>201</v>
      </c>
      <c r="G34" t="s">
        <v>877</v>
      </c>
    </row>
    <row r="35" spans="1:7" ht="19">
      <c r="A35">
        <v>34</v>
      </c>
      <c r="B35" s="1" t="s">
        <v>389</v>
      </c>
      <c r="E35" t="s">
        <v>390</v>
      </c>
      <c r="F35" t="s">
        <v>192</v>
      </c>
      <c r="G35" t="s">
        <v>879</v>
      </c>
    </row>
    <row r="36" spans="1:7" ht="19">
      <c r="B36" s="1"/>
    </row>
    <row r="37" spans="1:7" ht="19">
      <c r="B37" s="1"/>
    </row>
    <row r="38" spans="1:7" ht="19">
      <c r="B38" s="1"/>
    </row>
    <row r="39" spans="1:7" ht="19">
      <c r="B39" s="1"/>
    </row>
    <row r="40" spans="1:7" ht="19">
      <c r="B40" s="1"/>
    </row>
    <row r="41" spans="1:7" ht="19">
      <c r="B41" s="1"/>
    </row>
    <row r="42" spans="1:7" ht="19">
      <c r="B42" s="1"/>
    </row>
    <row r="43" spans="1:7" ht="19">
      <c r="B43" s="1"/>
    </row>
    <row r="44" spans="1:7" ht="19">
      <c r="B44" s="1"/>
    </row>
    <row r="45" spans="1:7" ht="19">
      <c r="B45" s="1"/>
    </row>
    <row r="46" spans="1:7" ht="19">
      <c r="B46" s="1"/>
    </row>
    <row r="47" spans="1:7" ht="19">
      <c r="B47" s="1"/>
    </row>
    <row r="48" spans="1:7" ht="19">
      <c r="B48" s="1"/>
    </row>
    <row r="49" spans="2:2" ht="19">
      <c r="B49" s="1"/>
    </row>
    <row r="50" spans="2:2" ht="19">
      <c r="B50" s="1"/>
    </row>
    <row r="51" spans="2:2" ht="19">
      <c r="B51" s="1"/>
    </row>
    <row r="52" spans="2:2" ht="19">
      <c r="B52" s="1"/>
    </row>
    <row r="53" spans="2:2" ht="19">
      <c r="B53" s="1"/>
    </row>
    <row r="54" spans="2:2" ht="19">
      <c r="B54" s="1"/>
    </row>
    <row r="55" spans="2:2" ht="19">
      <c r="B55" s="1"/>
    </row>
    <row r="56" spans="2:2" ht="19">
      <c r="B56" s="1"/>
    </row>
  </sheetData>
  <autoFilter ref="A1:I56" xr:uid="{F90519FF-E703-824A-9E8D-FEA88787CBB8}"/>
  <phoneticPr fontId="1" type="noConversion"/>
  <conditionalFormatting sqref="E1:E1048576">
    <cfRule type="cellIs" dxfId="5" priority="2" operator="equal">
      <formula>"no"</formula>
    </cfRule>
    <cfRule type="cellIs" dxfId="4" priority="3" operator="equal">
      <formula>"yes"</formula>
    </cfRule>
  </conditionalFormatting>
  <conditionalFormatting sqref="F2:F142">
    <cfRule type="expression" dxfId="3" priority="1">
      <formula>F2&lt;&gt;E2</formula>
    </cfRule>
  </conditionalFormatting>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FF-E703-824A-9E8D-FEA88787CBB8}">
  <sheetPr codeName="工作表18" filterMode="1"/>
  <dimension ref="A1:I56"/>
  <sheetViews>
    <sheetView workbookViewId="0">
      <selection sqref="A1:I56"/>
    </sheetView>
  </sheetViews>
  <sheetFormatPr baseColWidth="10" defaultRowHeight="15"/>
  <cols>
    <col min="5" max="6" width="11.33203125" customWidth="1"/>
  </cols>
  <sheetData>
    <row r="1" spans="1:9">
      <c r="A1" t="s">
        <v>88</v>
      </c>
      <c r="B1" t="s">
        <v>0</v>
      </c>
      <c r="C1" s="2" t="s">
        <v>202</v>
      </c>
      <c r="D1" t="s">
        <v>6</v>
      </c>
      <c r="E1" t="s">
        <v>1</v>
      </c>
      <c r="F1" t="s">
        <v>500</v>
      </c>
      <c r="G1" t="s">
        <v>2</v>
      </c>
      <c r="H1" t="s">
        <v>5</v>
      </c>
      <c r="I1" t="s">
        <v>3</v>
      </c>
    </row>
    <row r="2" spans="1:9" ht="19" hidden="1">
      <c r="A2">
        <v>1</v>
      </c>
      <c r="B2" s="1" t="s">
        <v>356</v>
      </c>
      <c r="E2" t="s">
        <v>390</v>
      </c>
      <c r="F2" t="s">
        <v>201</v>
      </c>
      <c r="G2" t="s">
        <v>446</v>
      </c>
    </row>
    <row r="3" spans="1:9" ht="19" hidden="1">
      <c r="A3">
        <v>2</v>
      </c>
      <c r="B3" s="1" t="s">
        <v>357</v>
      </c>
      <c r="E3" t="s">
        <v>390</v>
      </c>
      <c r="F3" t="s">
        <v>201</v>
      </c>
      <c r="G3" t="s">
        <v>447</v>
      </c>
    </row>
    <row r="4" spans="1:9" ht="19" hidden="1">
      <c r="A4">
        <v>3</v>
      </c>
      <c r="B4" s="1" t="s">
        <v>358</v>
      </c>
      <c r="E4" t="s">
        <v>390</v>
      </c>
      <c r="F4" t="s">
        <v>201</v>
      </c>
      <c r="G4" t="s">
        <v>448</v>
      </c>
    </row>
    <row r="5" spans="1:9" ht="19">
      <c r="A5">
        <v>4</v>
      </c>
      <c r="B5" s="1" t="s">
        <v>359</v>
      </c>
      <c r="E5" t="s">
        <v>390</v>
      </c>
      <c r="F5" t="s">
        <v>192</v>
      </c>
      <c r="G5" t="s">
        <v>449</v>
      </c>
    </row>
    <row r="6" spans="1:9" ht="19" hidden="1">
      <c r="A6">
        <v>5</v>
      </c>
      <c r="B6" s="1" t="s">
        <v>360</v>
      </c>
      <c r="E6" t="s">
        <v>390</v>
      </c>
      <c r="F6" t="s">
        <v>201</v>
      </c>
      <c r="G6" t="s">
        <v>450</v>
      </c>
    </row>
    <row r="7" spans="1:9" ht="19" hidden="1">
      <c r="A7">
        <v>6</v>
      </c>
      <c r="B7" s="1" t="s">
        <v>361</v>
      </c>
      <c r="E7" t="s">
        <v>390</v>
      </c>
      <c r="F7" t="s">
        <v>201</v>
      </c>
      <c r="G7" t="s">
        <v>451</v>
      </c>
    </row>
    <row r="8" spans="1:9" ht="19" hidden="1">
      <c r="A8">
        <v>7</v>
      </c>
      <c r="B8" s="1" t="s">
        <v>362</v>
      </c>
      <c r="E8" t="s">
        <v>390</v>
      </c>
      <c r="F8" t="s">
        <v>201</v>
      </c>
      <c r="G8" t="s">
        <v>452</v>
      </c>
    </row>
    <row r="9" spans="1:9" ht="19" hidden="1">
      <c r="A9">
        <v>8</v>
      </c>
      <c r="B9" s="1" t="s">
        <v>363</v>
      </c>
      <c r="E9" t="s">
        <v>390</v>
      </c>
      <c r="F9" t="s">
        <v>201</v>
      </c>
      <c r="G9" t="s">
        <v>453</v>
      </c>
    </row>
    <row r="10" spans="1:9" ht="19" hidden="1">
      <c r="A10">
        <v>9</v>
      </c>
      <c r="B10" s="1" t="s">
        <v>364</v>
      </c>
      <c r="E10" t="s">
        <v>390</v>
      </c>
      <c r="F10" t="s">
        <v>201</v>
      </c>
      <c r="G10" t="s">
        <v>454</v>
      </c>
    </row>
    <row r="11" spans="1:9" ht="19" hidden="1">
      <c r="A11">
        <v>10</v>
      </c>
      <c r="B11" s="1" t="s">
        <v>365</v>
      </c>
      <c r="E11" t="s">
        <v>390</v>
      </c>
      <c r="F11" t="s">
        <v>201</v>
      </c>
      <c r="G11" t="s">
        <v>455</v>
      </c>
    </row>
    <row r="12" spans="1:9" ht="19" hidden="1">
      <c r="A12">
        <v>11</v>
      </c>
      <c r="B12" s="1" t="s">
        <v>366</v>
      </c>
      <c r="E12" t="s">
        <v>390</v>
      </c>
      <c r="F12" t="s">
        <v>201</v>
      </c>
      <c r="G12" t="s">
        <v>456</v>
      </c>
    </row>
    <row r="13" spans="1:9" ht="19" hidden="1">
      <c r="A13">
        <v>12</v>
      </c>
      <c r="B13" s="1" t="s">
        <v>367</v>
      </c>
      <c r="E13" t="s">
        <v>390</v>
      </c>
      <c r="F13" t="s">
        <v>201</v>
      </c>
      <c r="G13" t="s">
        <v>457</v>
      </c>
    </row>
    <row r="14" spans="1:9" ht="19" hidden="1">
      <c r="A14">
        <v>13</v>
      </c>
      <c r="B14" s="1" t="s">
        <v>368</v>
      </c>
      <c r="E14" t="s">
        <v>390</v>
      </c>
      <c r="F14" t="s">
        <v>201</v>
      </c>
      <c r="G14" t="s">
        <v>458</v>
      </c>
    </row>
    <row r="15" spans="1:9" ht="19">
      <c r="A15">
        <v>14</v>
      </c>
      <c r="B15" s="1" t="s">
        <v>369</v>
      </c>
      <c r="E15" t="s">
        <v>390</v>
      </c>
      <c r="F15" t="s">
        <v>192</v>
      </c>
      <c r="G15" t="s">
        <v>459</v>
      </c>
    </row>
    <row r="16" spans="1:9" ht="19" hidden="1">
      <c r="A16">
        <v>15</v>
      </c>
      <c r="B16" s="1" t="s">
        <v>370</v>
      </c>
      <c r="E16" t="s">
        <v>390</v>
      </c>
      <c r="F16" t="s">
        <v>201</v>
      </c>
      <c r="G16" t="s">
        <v>460</v>
      </c>
    </row>
    <row r="17" spans="1:7" ht="19" hidden="1">
      <c r="A17">
        <v>16</v>
      </c>
      <c r="B17" s="1" t="s">
        <v>371</v>
      </c>
      <c r="E17" t="s">
        <v>390</v>
      </c>
      <c r="F17" t="s">
        <v>201</v>
      </c>
      <c r="G17" t="s">
        <v>461</v>
      </c>
    </row>
    <row r="18" spans="1:7" ht="19" hidden="1">
      <c r="A18">
        <v>17</v>
      </c>
      <c r="B18" s="1" t="s">
        <v>372</v>
      </c>
      <c r="E18" t="s">
        <v>390</v>
      </c>
      <c r="F18" t="s">
        <v>201</v>
      </c>
      <c r="G18" t="s">
        <v>462</v>
      </c>
    </row>
    <row r="19" spans="1:7" ht="19">
      <c r="A19">
        <v>18</v>
      </c>
      <c r="B19" s="1" t="s">
        <v>373</v>
      </c>
      <c r="E19" t="s">
        <v>390</v>
      </c>
      <c r="F19" t="s">
        <v>192</v>
      </c>
      <c r="G19" t="s">
        <v>463</v>
      </c>
    </row>
    <row r="20" spans="1:7" ht="19" hidden="1">
      <c r="A20">
        <v>19</v>
      </c>
      <c r="B20" s="1" t="s">
        <v>374</v>
      </c>
      <c r="E20" t="s">
        <v>390</v>
      </c>
      <c r="F20" t="s">
        <v>201</v>
      </c>
      <c r="G20" t="s">
        <v>464</v>
      </c>
    </row>
    <row r="21" spans="1:7" ht="19" hidden="1">
      <c r="A21">
        <v>20</v>
      </c>
      <c r="B21" s="1" t="s">
        <v>375</v>
      </c>
      <c r="E21" t="s">
        <v>390</v>
      </c>
      <c r="F21" t="s">
        <v>201</v>
      </c>
      <c r="G21" t="s">
        <v>465</v>
      </c>
    </row>
    <row r="22" spans="1:7" ht="19" hidden="1">
      <c r="A22">
        <v>21</v>
      </c>
      <c r="B22" s="1" t="s">
        <v>376</v>
      </c>
      <c r="E22" t="s">
        <v>390</v>
      </c>
      <c r="F22" t="s">
        <v>201</v>
      </c>
      <c r="G22" t="s">
        <v>466</v>
      </c>
    </row>
    <row r="23" spans="1:7" ht="19" hidden="1">
      <c r="A23">
        <v>22</v>
      </c>
      <c r="B23" s="1" t="s">
        <v>377</v>
      </c>
      <c r="E23" t="s">
        <v>390</v>
      </c>
      <c r="F23" t="s">
        <v>201</v>
      </c>
      <c r="G23" t="s">
        <v>467</v>
      </c>
    </row>
    <row r="24" spans="1:7" ht="19" hidden="1">
      <c r="A24">
        <v>23</v>
      </c>
      <c r="B24" s="1" t="s">
        <v>378</v>
      </c>
      <c r="E24" t="s">
        <v>390</v>
      </c>
      <c r="F24" t="s">
        <v>201</v>
      </c>
      <c r="G24" t="s">
        <v>468</v>
      </c>
    </row>
    <row r="25" spans="1:7" ht="19" hidden="1">
      <c r="A25">
        <v>24</v>
      </c>
      <c r="B25" s="1" t="s">
        <v>379</v>
      </c>
      <c r="E25" t="s">
        <v>390</v>
      </c>
      <c r="F25" t="s">
        <v>201</v>
      </c>
      <c r="G25" t="s">
        <v>469</v>
      </c>
    </row>
    <row r="26" spans="1:7" ht="19" hidden="1">
      <c r="A26">
        <v>25</v>
      </c>
      <c r="B26" s="1" t="s">
        <v>380</v>
      </c>
      <c r="E26" t="s">
        <v>390</v>
      </c>
      <c r="F26" t="s">
        <v>201</v>
      </c>
      <c r="G26" t="s">
        <v>471</v>
      </c>
    </row>
    <row r="27" spans="1:7" ht="19" hidden="1">
      <c r="A27">
        <v>26</v>
      </c>
      <c r="B27" s="1" t="s">
        <v>381</v>
      </c>
      <c r="E27" t="s">
        <v>390</v>
      </c>
      <c r="F27" t="s">
        <v>201</v>
      </c>
      <c r="G27" t="s">
        <v>472</v>
      </c>
    </row>
    <row r="28" spans="1:7" ht="19" hidden="1">
      <c r="A28">
        <v>27</v>
      </c>
      <c r="B28" s="1" t="s">
        <v>382</v>
      </c>
      <c r="E28" t="s">
        <v>390</v>
      </c>
      <c r="F28" t="s">
        <v>201</v>
      </c>
      <c r="G28" t="s">
        <v>473</v>
      </c>
    </row>
    <row r="29" spans="1:7" ht="19">
      <c r="A29">
        <v>28</v>
      </c>
      <c r="B29" s="1" t="s">
        <v>383</v>
      </c>
      <c r="E29" t="s">
        <v>390</v>
      </c>
      <c r="F29" t="s">
        <v>192</v>
      </c>
      <c r="G29" t="s">
        <v>474</v>
      </c>
    </row>
    <row r="30" spans="1:7" ht="19" hidden="1">
      <c r="A30">
        <v>29</v>
      </c>
      <c r="B30" s="1" t="s">
        <v>384</v>
      </c>
      <c r="E30" t="s">
        <v>390</v>
      </c>
      <c r="F30" t="s">
        <v>201</v>
      </c>
      <c r="G30" t="s">
        <v>475</v>
      </c>
    </row>
    <row r="31" spans="1:7" ht="19" hidden="1">
      <c r="A31">
        <v>30</v>
      </c>
      <c r="B31" s="1" t="s">
        <v>385</v>
      </c>
      <c r="E31" t="s">
        <v>390</v>
      </c>
      <c r="F31" t="s">
        <v>201</v>
      </c>
      <c r="G31" t="s">
        <v>476</v>
      </c>
    </row>
    <row r="32" spans="1:7" ht="19">
      <c r="A32">
        <v>31</v>
      </c>
      <c r="B32" s="1" t="s">
        <v>386</v>
      </c>
      <c r="E32" t="s">
        <v>390</v>
      </c>
      <c r="F32" t="s">
        <v>192</v>
      </c>
      <c r="G32" t="s">
        <v>477</v>
      </c>
    </row>
    <row r="33" spans="1:7" ht="19" hidden="1">
      <c r="A33">
        <v>32</v>
      </c>
      <c r="B33" s="1" t="s">
        <v>387</v>
      </c>
      <c r="E33" t="s">
        <v>390</v>
      </c>
      <c r="F33" t="s">
        <v>201</v>
      </c>
      <c r="G33" t="s">
        <v>479</v>
      </c>
    </row>
    <row r="34" spans="1:7" ht="19" hidden="1">
      <c r="A34">
        <v>33</v>
      </c>
      <c r="B34" s="1" t="s">
        <v>388</v>
      </c>
      <c r="E34" t="s">
        <v>390</v>
      </c>
      <c r="F34" t="s">
        <v>201</v>
      </c>
      <c r="G34" t="s">
        <v>478</v>
      </c>
    </row>
    <row r="35" spans="1:7" ht="19" hidden="1">
      <c r="A35">
        <v>34</v>
      </c>
      <c r="B35" s="1" t="s">
        <v>389</v>
      </c>
      <c r="E35" t="s">
        <v>390</v>
      </c>
      <c r="F35" t="s">
        <v>201</v>
      </c>
      <c r="G35" t="s">
        <v>480</v>
      </c>
    </row>
    <row r="36" spans="1:7" ht="19" hidden="1">
      <c r="B36" s="1"/>
    </row>
    <row r="37" spans="1:7" ht="19" hidden="1">
      <c r="B37" s="1"/>
    </row>
    <row r="38" spans="1:7" ht="19" hidden="1">
      <c r="B38" s="1"/>
    </row>
    <row r="39" spans="1:7" ht="19" hidden="1">
      <c r="B39" s="1"/>
    </row>
    <row r="40" spans="1:7" ht="19" hidden="1">
      <c r="B40" s="1"/>
    </row>
    <row r="41" spans="1:7" ht="19" hidden="1">
      <c r="B41" s="1"/>
    </row>
    <row r="42" spans="1:7" ht="19" hidden="1">
      <c r="B42" s="1"/>
    </row>
    <row r="43" spans="1:7" ht="19" hidden="1">
      <c r="B43" s="1"/>
    </row>
    <row r="44" spans="1:7" ht="19" hidden="1">
      <c r="B44" s="1"/>
    </row>
    <row r="45" spans="1:7" ht="19" hidden="1">
      <c r="B45" s="1"/>
    </row>
    <row r="46" spans="1:7" ht="19" hidden="1">
      <c r="B46" s="1"/>
    </row>
    <row r="47" spans="1:7" ht="19" hidden="1">
      <c r="B47" s="1"/>
    </row>
    <row r="48" spans="1:7" ht="19" hidden="1">
      <c r="B48" s="1"/>
    </row>
    <row r="49" spans="2:2" ht="19" hidden="1">
      <c r="B49" s="1"/>
    </row>
    <row r="50" spans="2:2" ht="19" hidden="1">
      <c r="B50" s="1"/>
    </row>
    <row r="51" spans="2:2" ht="19" hidden="1">
      <c r="B51" s="1"/>
    </row>
    <row r="52" spans="2:2" ht="19" hidden="1">
      <c r="B52" s="1"/>
    </row>
    <row r="53" spans="2:2" ht="19" hidden="1">
      <c r="B53" s="1"/>
    </row>
    <row r="54" spans="2:2" ht="19" hidden="1">
      <c r="B54" s="1"/>
    </row>
    <row r="55" spans="2:2" ht="19" hidden="1">
      <c r="B55" s="1"/>
    </row>
    <row r="56" spans="2:2" ht="19" hidden="1">
      <c r="B56" s="1"/>
    </row>
  </sheetData>
  <autoFilter ref="A1:I56" xr:uid="{F90519FF-E703-824A-9E8D-FEA88787CBB8}">
    <filterColumn colId="5">
      <filters>
        <filter val="yes"/>
      </filters>
    </filterColumn>
  </autoFilter>
  <phoneticPr fontId="1" type="noConversion"/>
  <conditionalFormatting sqref="E1:E1048576">
    <cfRule type="cellIs" dxfId="2" priority="2" operator="equal">
      <formula>"no"</formula>
    </cfRule>
    <cfRule type="cellIs" dxfId="1" priority="3" operator="equal">
      <formula>"yes"</formula>
    </cfRule>
  </conditionalFormatting>
  <conditionalFormatting sqref="F2:F142">
    <cfRule type="expression" dxfId="0" priority="1">
      <formula>F2&lt;&gt;E2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44</vt:i4>
      </vt:variant>
    </vt:vector>
  </HeadingPairs>
  <TitlesOfParts>
    <vt:vector size="44" baseType="lpstr">
      <vt:lpstr>latex</vt:lpstr>
      <vt:lpstr>Charts-new</vt:lpstr>
      <vt:lpstr>charts</vt:lpstr>
      <vt:lpstr>train_c difference</vt:lpstr>
      <vt:lpstr>train_c 6v6g</vt:lpstr>
      <vt:lpstr>playground</vt:lpstr>
      <vt:lpstr>c 6-235bseg 32bns</vt:lpstr>
      <vt:lpstr>a 6-235bseg 32bns</vt:lpstr>
      <vt:lpstr>b 6-235bseg 32bns</vt:lpstr>
      <vt:lpstr>d 6-235bseg 32bns</vt:lpstr>
      <vt:lpstr>train_c 6-32b (2)</vt:lpstr>
      <vt:lpstr>train_a 6-32b (2)</vt:lpstr>
      <vt:lpstr>train_b 6-32b (2)</vt:lpstr>
      <vt:lpstr>train_d 6-32b (2)</vt:lpstr>
      <vt:lpstr>train_c 6-235b</vt:lpstr>
      <vt:lpstr>train_a 6-235b</vt:lpstr>
      <vt:lpstr>train_b 6-235b</vt:lpstr>
      <vt:lpstr>train_d 6-235b</vt:lpstr>
      <vt:lpstr>train_n 6-ubuntu</vt:lpstr>
      <vt:lpstr>train_c 6-ubuntu</vt:lpstr>
      <vt:lpstr>train_a 6-ubuntu</vt:lpstr>
      <vt:lpstr>train_b 6-ubuntu</vt:lpstr>
      <vt:lpstr>train_d 6-ubuntu</vt:lpstr>
      <vt:lpstr>train_c 6v dig no score</vt:lpstr>
      <vt:lpstr>train_c 5v dignose</vt:lpstr>
      <vt:lpstr>train_a 5v</vt:lpstr>
      <vt:lpstr>train_b 5v</vt:lpstr>
      <vt:lpstr>train_d 5v</vt:lpstr>
      <vt:lpstr>train_c 4v</vt:lpstr>
      <vt:lpstr>train_c 3v</vt:lpstr>
      <vt:lpstr>train_c 2v</vt:lpstr>
      <vt:lpstr>train_c 2m</vt:lpstr>
      <vt:lpstr>train_c 1v</vt:lpstr>
      <vt:lpstr>train_c 1m</vt:lpstr>
      <vt:lpstr>train_n 2v</vt:lpstr>
      <vt:lpstr>train_a 2v</vt:lpstr>
      <vt:lpstr>train_a 2m</vt:lpstr>
      <vt:lpstr>train_a 1m</vt:lpstr>
      <vt:lpstr>train_b 2v</vt:lpstr>
      <vt:lpstr>train_b 2m</vt:lpstr>
      <vt:lpstr>train_b 1m</vt:lpstr>
      <vt:lpstr>train_d 2v</vt:lpstr>
      <vt:lpstr>train_d 2m</vt:lpstr>
      <vt:lpstr>train_d 1m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Garfield</dc:creator>
  <cp:lastModifiedBy>Garfield</cp:lastModifiedBy>
  <dcterms:created xsi:type="dcterms:W3CDTF">2026-01-21T09:44:00Z</dcterms:created>
  <dcterms:modified xsi:type="dcterms:W3CDTF">2026-06-09T13:17:12Z</dcterms:modified>
</cp:coreProperties>
</file>